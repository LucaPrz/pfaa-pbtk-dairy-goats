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drawings/drawing5.xml" ContentType="application/vnd.openxmlformats-officedocument.drawing+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drawings/drawing6.xml" ContentType="application/vnd.openxmlformats-officedocument.drawing+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drawings/drawing7.xml" ContentType="application/vnd.openxmlformats-officedocument.drawingml.chartshapes+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drawings/drawing8.xml" ContentType="application/vnd.openxmlformats-officedocument.drawing+xml"/>
  <Override PartName="/xl/charts/chart38.xml" ContentType="application/vnd.openxmlformats-officedocument.drawingml.chart+xml"/>
  <Override PartName="/xl/charts/style38.xml" ContentType="application/vnd.ms-office.chartstyle+xml"/>
  <Override PartName="/xl/charts/colors38.xml" ContentType="application/vnd.ms-office.chartcolorstyle+xml"/>
  <Override PartName="/xl/drawings/drawing9.xml" ContentType="application/vnd.openxmlformats-officedocument.drawing+xml"/>
  <Override PartName="/xl/charts/chart39.xml" ContentType="application/vnd.openxmlformats-officedocument.drawingml.chart+xml"/>
  <Override PartName="/xl/charts/style39.xml" ContentType="application/vnd.ms-office.chartstyle+xml"/>
  <Override PartName="/xl/charts/colors39.xml" ContentType="application/vnd.ms-office.chartcolorstyle+xml"/>
  <Override PartName="/xl/drawings/drawing10.xml" ContentType="application/vnd.openxmlformats-officedocument.drawing+xml"/>
  <Override PartName="/xl/charts/chart40.xml" ContentType="application/vnd.openxmlformats-officedocument.drawingml.chart+xml"/>
  <Override PartName="/xl/charts/style40.xml" ContentType="application/vnd.ms-office.chartstyle+xml"/>
  <Override PartName="/xl/charts/colors40.xml" ContentType="application/vnd.ms-office.chartcolorstyle+xml"/>
  <Override PartName="/xl/charts/chart41.xml" ContentType="application/vnd.openxmlformats-officedocument.drawingml.chart+xml"/>
  <Override PartName="/xl/charts/style41.xml" ContentType="application/vnd.ms-office.chartstyle+xml"/>
  <Override PartName="/xl/charts/colors41.xml" ContentType="application/vnd.ms-office.chartcolorstyle+xml"/>
  <Override PartName="/xl/charts/chart42.xml" ContentType="application/vnd.openxmlformats-officedocument.drawingml.chart+xml"/>
  <Override PartName="/xl/charts/style42.xml" ContentType="application/vnd.ms-office.chartstyle+xml"/>
  <Override PartName="/xl/charts/colors42.xml" ContentType="application/vnd.ms-office.chartcolorstyle+xml"/>
  <Override PartName="/xl/drawings/drawing11.xml" ContentType="application/vnd.openxmlformats-officedocument.drawing+xml"/>
  <Override PartName="/xl/charts/chart43.xml" ContentType="application/vnd.openxmlformats-officedocument.drawingml.chart+xml"/>
  <Override PartName="/xl/charts/style43.xml" ContentType="application/vnd.ms-office.chartstyle+xml"/>
  <Override PartName="/xl/charts/colors43.xml" ContentType="application/vnd.ms-office.chartcolorstyle+xml"/>
  <Override PartName="/xl/charts/chart44.xml" ContentType="application/vnd.openxmlformats-officedocument.drawingml.chart+xml"/>
  <Override PartName="/xl/charts/style44.xml" ContentType="application/vnd.ms-office.chartstyle+xml"/>
  <Override PartName="/xl/charts/colors44.xml" ContentType="application/vnd.ms-office.chartcolorstyle+xml"/>
  <Override PartName="/xl/drawings/drawing12.xml" ContentType="application/vnd.openxmlformats-officedocument.drawing+xml"/>
  <Override PartName="/xl/charts/chart45.xml" ContentType="application/vnd.openxmlformats-officedocument.drawingml.chart+xml"/>
  <Override PartName="/xl/charts/style45.xml" ContentType="application/vnd.ms-office.chartstyle+xml"/>
  <Override PartName="/xl/charts/colors45.xml" ContentType="application/vnd.ms-office.chartcolorstyle+xml"/>
  <Override PartName="/xl/charts/chart46.xml" ContentType="application/vnd.openxmlformats-officedocument.drawingml.chart+xml"/>
  <Override PartName="/xl/charts/style46.xml" ContentType="application/vnd.ms-office.chartstyle+xml"/>
  <Override PartName="/xl/charts/colors46.xml" ContentType="application/vnd.ms-office.chartcolorstyle+xml"/>
  <Override PartName="/xl/charts/chart47.xml" ContentType="application/vnd.openxmlformats-officedocument.drawingml.chart+xml"/>
  <Override PartName="/xl/charts/style47.xml" ContentType="application/vnd.ms-office.chartstyle+xml"/>
  <Override PartName="/xl/charts/colors47.xml" ContentType="application/vnd.ms-office.chartcolorstyle+xml"/>
  <Override PartName="/xl/drawings/drawing13.xml" ContentType="application/vnd.openxmlformats-officedocument.drawing+xml"/>
  <Override PartName="/xl/charts/chart48.xml" ContentType="application/vnd.openxmlformats-officedocument.drawingml.chart+xml"/>
  <Override PartName="/xl/charts/style48.xml" ContentType="application/vnd.ms-office.chartstyle+xml"/>
  <Override PartName="/xl/charts/colors48.xml" ContentType="application/vnd.ms-office.chartcolorstyle+xml"/>
  <Override PartName="/xl/drawings/drawing14.xml" ContentType="application/vnd.openxmlformats-officedocument.drawingml.chartshapes+xml"/>
  <Override PartName="/xl/charts/chart49.xml" ContentType="application/vnd.openxmlformats-officedocument.drawingml.chart+xml"/>
  <Override PartName="/xl/charts/style49.xml" ContentType="application/vnd.ms-office.chartstyle+xml"/>
  <Override PartName="/xl/charts/colors49.xml" ContentType="application/vnd.ms-office.chartcolorstyle+xml"/>
  <Override PartName="/xl/drawings/drawing15.xml" ContentType="application/vnd.openxmlformats-officedocument.drawingml.chartshapes+xml"/>
  <Override PartName="/xl/charts/chart50.xml" ContentType="application/vnd.openxmlformats-officedocument.drawingml.chart+xml"/>
  <Override PartName="/xl/charts/style50.xml" ContentType="application/vnd.ms-office.chartstyle+xml"/>
  <Override PartName="/xl/charts/colors50.xml" ContentType="application/vnd.ms-office.chartcolorstyle+xml"/>
  <Override PartName="/xl/drawings/drawing16.xml" ContentType="application/vnd.openxmlformats-officedocument.drawingml.chartshapes+xml"/>
  <Override PartName="/xl/charts/chart51.xml" ContentType="application/vnd.openxmlformats-officedocument.drawingml.chart+xml"/>
  <Override PartName="/xl/charts/style51.xml" ContentType="application/vnd.ms-office.chartstyle+xml"/>
  <Override PartName="/xl/charts/colors51.xml" ContentType="application/vnd.ms-office.chartcolorstyle+xml"/>
  <Override PartName="/xl/drawings/drawing17.xml" ContentType="application/vnd.openxmlformats-officedocument.drawingml.chartshapes+xml"/>
  <Override PartName="/xl/charts/chart52.xml" ContentType="application/vnd.openxmlformats-officedocument.drawingml.chart+xml"/>
  <Override PartName="/xl/charts/style52.xml" ContentType="application/vnd.ms-office.chartstyle+xml"/>
  <Override PartName="/xl/charts/colors52.xml" ContentType="application/vnd.ms-office.chartcolorstyle+xml"/>
  <Override PartName="/xl/charts/chart53.xml" ContentType="application/vnd.openxmlformats-officedocument.drawingml.chart+xml"/>
  <Override PartName="/xl/charts/style53.xml" ContentType="application/vnd.ms-office.chartstyle+xml"/>
  <Override PartName="/xl/charts/colors53.xml" ContentType="application/vnd.ms-office.chartcolorstyle+xml"/>
  <Override PartName="/xl/drawings/drawing18.xml" ContentType="application/vnd.openxmlformats-officedocument.drawing+xml"/>
  <Override PartName="/xl/charts/chart54.xml" ContentType="application/vnd.openxmlformats-officedocument.drawingml.chart+xml"/>
  <Override PartName="/xl/charts/style54.xml" ContentType="application/vnd.ms-office.chartstyle+xml"/>
  <Override PartName="/xl/charts/colors54.xml" ContentType="application/vnd.ms-office.chartcolorstyle+xml"/>
  <Override PartName="/xl/drawings/drawing19.xml" ContentType="application/vnd.openxmlformats-officedocument.drawingml.chartshapes+xml"/>
  <Override PartName="/xl/drawings/drawing2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G:\Abteilung-8-LFS\04_8FZ\4_Themen\PFAS\01_Forschungsprojekte\PFAS-Transfer Ziege\Auswertung\Neue Auswertung mit Reserveziege\"/>
    </mc:Choice>
  </mc:AlternateContent>
  <xr:revisionPtr revIDLastSave="0" documentId="13_ncr:1_{2545C9D1-9F6C-425C-BE28-86C79E2DF648}" xr6:coauthVersionLast="47" xr6:coauthVersionMax="47" xr10:uidLastSave="{00000000-0000-0000-0000-000000000000}"/>
  <bookViews>
    <workbookView xWindow="-120" yWindow="-120" windowWidth="29040" windowHeight="15720" firstSheet="3" activeTab="5" xr2:uid="{75E39F1F-1E1F-471E-B730-271DDE32248E}"/>
  </bookViews>
  <sheets>
    <sheet name="Tabelle7 (2)" sheetId="30" r:id="rId1"/>
    <sheet name="Heu_neu_Pool" sheetId="18" r:id="rId2"/>
    <sheet name="Milch" sheetId="1" r:id="rId3"/>
    <sheet name="Heu-Milch" sheetId="15" r:id="rId4"/>
    <sheet name="MilkSerumRatio" sheetId="12" r:id="rId5"/>
    <sheet name="Milk_Serum" sheetId="31" r:id="rId6"/>
    <sheet name="Serum-Milk-Korr" sheetId="19" r:id="rId7"/>
    <sheet name="Serum" sheetId="3" r:id="rId8"/>
    <sheet name="Organe" sheetId="4" r:id="rId9"/>
    <sheet name="Kot" sheetId="7" r:id="rId10"/>
    <sheet name="Urin" sheetId="10" r:id="rId11"/>
    <sheet name="Mittelwerte" sheetId="13" r:id="rId12"/>
    <sheet name="Transferraten" sheetId="8" r:id="rId13"/>
    <sheet name="SPSS HL und TR" sheetId="29" r:id="rId14"/>
    <sheet name="Halbwertszeiten" sheetId="9" r:id="rId15"/>
    <sheet name="Grafik Gehalte" sheetId="21" r:id="rId16"/>
    <sheet name="Grafik Heu-Milch" sheetId="16" r:id="rId17"/>
    <sheet name="Literatur" sheetId="22" r:id="rId1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9" i="12" l="1"/>
  <c r="D9" i="12"/>
  <c r="E9" i="12"/>
  <c r="F9" i="12"/>
  <c r="G9" i="12"/>
  <c r="H9" i="12"/>
  <c r="I9" i="12"/>
  <c r="J9" i="12"/>
  <c r="K9" i="12"/>
  <c r="L9" i="12"/>
  <c r="M9" i="12"/>
  <c r="N9" i="12"/>
  <c r="O9" i="12"/>
  <c r="P9" i="12"/>
  <c r="Q9" i="12"/>
  <c r="R9" i="12"/>
  <c r="S9" i="12"/>
  <c r="T9" i="12"/>
  <c r="U9" i="12"/>
  <c r="V9" i="12"/>
  <c r="W9" i="12"/>
  <c r="X9" i="12"/>
  <c r="Y9" i="12"/>
  <c r="Z9" i="12"/>
  <c r="AA9" i="12"/>
  <c r="AB9" i="12"/>
  <c r="AC9" i="12"/>
  <c r="AD9" i="12"/>
  <c r="AE9" i="12"/>
  <c r="AF9" i="12"/>
  <c r="AG9" i="12"/>
  <c r="AH9" i="12"/>
  <c r="AI9" i="12"/>
  <c r="AJ9" i="12"/>
  <c r="AK9" i="12"/>
  <c r="AL9" i="12"/>
  <c r="AM9" i="12"/>
  <c r="AN9" i="12"/>
  <c r="D10" i="12"/>
  <c r="E10" i="12"/>
  <c r="F10" i="12"/>
  <c r="G10" i="12"/>
  <c r="H10" i="12"/>
  <c r="I10" i="12"/>
  <c r="J10" i="12"/>
  <c r="K10" i="12"/>
  <c r="L10" i="12"/>
  <c r="M10" i="12"/>
  <c r="N10" i="12"/>
  <c r="O10" i="12"/>
  <c r="P10" i="12"/>
  <c r="Q10" i="12"/>
  <c r="R10" i="12"/>
  <c r="S10" i="12"/>
  <c r="T10" i="12"/>
  <c r="U10" i="12"/>
  <c r="V10" i="12"/>
  <c r="W10" i="12"/>
  <c r="X10" i="12"/>
  <c r="Y10" i="12"/>
  <c r="Z10" i="12"/>
  <c r="AA10" i="12"/>
  <c r="AB10" i="12"/>
  <c r="AC10" i="12"/>
  <c r="AD10" i="12"/>
  <c r="AE10" i="12"/>
  <c r="AF10" i="12"/>
  <c r="AG10" i="12"/>
  <c r="AH10" i="12"/>
  <c r="AI10" i="12"/>
  <c r="AJ10" i="12"/>
  <c r="AK10" i="12"/>
  <c r="AL10" i="12"/>
  <c r="AM10" i="12"/>
  <c r="AN10" i="12"/>
  <c r="D11" i="12"/>
  <c r="E11" i="12"/>
  <c r="F11" i="12"/>
  <c r="G11" i="12"/>
  <c r="H11" i="12"/>
  <c r="I11" i="12"/>
  <c r="J11" i="12"/>
  <c r="K11" i="12"/>
  <c r="L11" i="12"/>
  <c r="M11" i="12"/>
  <c r="N11" i="12"/>
  <c r="O11" i="12"/>
  <c r="P11" i="12"/>
  <c r="Q11" i="12"/>
  <c r="R11" i="12"/>
  <c r="S11" i="12"/>
  <c r="T11" i="12"/>
  <c r="U11" i="12"/>
  <c r="V11" i="12"/>
  <c r="W11" i="12"/>
  <c r="X11" i="12"/>
  <c r="Y11" i="12"/>
  <c r="Z11" i="12"/>
  <c r="AA11" i="12"/>
  <c r="AB11" i="12"/>
  <c r="AC11" i="12"/>
  <c r="AD11" i="12"/>
  <c r="AE11" i="12"/>
  <c r="AF11" i="12"/>
  <c r="AG11" i="12"/>
  <c r="AH11" i="12"/>
  <c r="AI11" i="12"/>
  <c r="AJ11" i="12"/>
  <c r="AK11" i="12"/>
  <c r="AL11" i="12"/>
  <c r="AM11" i="12"/>
  <c r="AN11" i="12"/>
  <c r="C10" i="12"/>
  <c r="C11" i="12"/>
  <c r="BE32" i="18"/>
  <c r="BD32" i="18"/>
  <c r="BC32" i="18"/>
  <c r="BB32" i="18"/>
  <c r="BA32" i="18"/>
  <c r="AZ32" i="18"/>
  <c r="AY32" i="18"/>
  <c r="BE11" i="18"/>
  <c r="BD11" i="18"/>
  <c r="BC11" i="18"/>
  <c r="BB11" i="18"/>
  <c r="BA11" i="18"/>
  <c r="AZ11" i="18"/>
  <c r="AY11" i="18"/>
  <c r="AZ6" i="18"/>
  <c r="BA6" i="18"/>
  <c r="BB6" i="18"/>
  <c r="BC6" i="18"/>
  <c r="BD6" i="18"/>
  <c r="BE6" i="18"/>
  <c r="AY6" i="18"/>
  <c r="AU3" i="18"/>
  <c r="AV3" i="18"/>
  <c r="AW3" i="18"/>
  <c r="AX3" i="18"/>
  <c r="AU4" i="18"/>
  <c r="AV4" i="18"/>
  <c r="AW4" i="18"/>
  <c r="AX4" i="18"/>
  <c r="AU5" i="18"/>
  <c r="AV5" i="18"/>
  <c r="AW5" i="18"/>
  <c r="AX5" i="18"/>
  <c r="AU6" i="18"/>
  <c r="AV6" i="18"/>
  <c r="AW6" i="18"/>
  <c r="AX6" i="18"/>
  <c r="AU7" i="18"/>
  <c r="AV7" i="18"/>
  <c r="AW7" i="18"/>
  <c r="AX7" i="18"/>
  <c r="AU8" i="18"/>
  <c r="AV8" i="18"/>
  <c r="AW8" i="18"/>
  <c r="AX8" i="18"/>
  <c r="AU9" i="18"/>
  <c r="AV9" i="18"/>
  <c r="AW9" i="18"/>
  <c r="AX9" i="18"/>
  <c r="AU10" i="18"/>
  <c r="AV10" i="18"/>
  <c r="AW10" i="18"/>
  <c r="AX10" i="18"/>
  <c r="AU11" i="18"/>
  <c r="AV11" i="18"/>
  <c r="AW11" i="18"/>
  <c r="AX11" i="18"/>
  <c r="AU12" i="18"/>
  <c r="AV12" i="18"/>
  <c r="AW12" i="18"/>
  <c r="AX12" i="18"/>
  <c r="AU13" i="18"/>
  <c r="AV13" i="18"/>
  <c r="AW13" i="18"/>
  <c r="AX13" i="18"/>
  <c r="AU14" i="18"/>
  <c r="AV14" i="18"/>
  <c r="AW14" i="18"/>
  <c r="AX14" i="18"/>
  <c r="AU15" i="18"/>
  <c r="AV15" i="18"/>
  <c r="AW15" i="18"/>
  <c r="AX15" i="18"/>
  <c r="AU16" i="18"/>
  <c r="AV16" i="18"/>
  <c r="AW16" i="18"/>
  <c r="AX16" i="18"/>
  <c r="AU17" i="18"/>
  <c r="AV17" i="18"/>
  <c r="AW17" i="18"/>
  <c r="AX17" i="18"/>
  <c r="AU18" i="18"/>
  <c r="AV18" i="18"/>
  <c r="AW18" i="18"/>
  <c r="AX18" i="18"/>
  <c r="AU19" i="18"/>
  <c r="AV19" i="18"/>
  <c r="AW19" i="18"/>
  <c r="AX19" i="18"/>
  <c r="AU20" i="18"/>
  <c r="AV20" i="18"/>
  <c r="AW20" i="18"/>
  <c r="AX20" i="18"/>
  <c r="AU21" i="18"/>
  <c r="AV21" i="18"/>
  <c r="AW21" i="18"/>
  <c r="AX21" i="18"/>
  <c r="AU22" i="18"/>
  <c r="AV22" i="18"/>
  <c r="AW22" i="18"/>
  <c r="AX22" i="18"/>
  <c r="AU23" i="18"/>
  <c r="AV23" i="18"/>
  <c r="AW23" i="18"/>
  <c r="AX23" i="18"/>
  <c r="AU24" i="18"/>
  <c r="AV24" i="18"/>
  <c r="AW24" i="18"/>
  <c r="AX24" i="18"/>
  <c r="AU25" i="18"/>
  <c r="AV25" i="18"/>
  <c r="AW25" i="18"/>
  <c r="AX25" i="18"/>
  <c r="AU26" i="18"/>
  <c r="AV26" i="18"/>
  <c r="AW26" i="18"/>
  <c r="AX26" i="18"/>
  <c r="AU27" i="18"/>
  <c r="AV27" i="18"/>
  <c r="AW27" i="18"/>
  <c r="AX27" i="18"/>
  <c r="AU28" i="18"/>
  <c r="AV28" i="18"/>
  <c r="AW28" i="18"/>
  <c r="AX28" i="18"/>
  <c r="AU29" i="18"/>
  <c r="AV29" i="18"/>
  <c r="AW29" i="18"/>
  <c r="AX29" i="18"/>
  <c r="AU30" i="18"/>
  <c r="AV30" i="18"/>
  <c r="AW30" i="18"/>
  <c r="AX30" i="18"/>
  <c r="AU31" i="18"/>
  <c r="AV31" i="18"/>
  <c r="AW31" i="18"/>
  <c r="AX31" i="18"/>
  <c r="AU32" i="18"/>
  <c r="AV32" i="18"/>
  <c r="AW32" i="18"/>
  <c r="AX32" i="18"/>
  <c r="AU33" i="18"/>
  <c r="AV33" i="18"/>
  <c r="AW33" i="18"/>
  <c r="AX33" i="18"/>
  <c r="AU34" i="18"/>
  <c r="AV34" i="18"/>
  <c r="AW34" i="18"/>
  <c r="AX34" i="18"/>
  <c r="AU35" i="18"/>
  <c r="AV35" i="18"/>
  <c r="AW35" i="18"/>
  <c r="AX35" i="18"/>
  <c r="AU36" i="18"/>
  <c r="AV36" i="18"/>
  <c r="AW36" i="18"/>
  <c r="AX36" i="18"/>
  <c r="AU37" i="18"/>
  <c r="AV37" i="18"/>
  <c r="AW37" i="18"/>
  <c r="AX37" i="18"/>
  <c r="AU38" i="18"/>
  <c r="AV38" i="18"/>
  <c r="AW38" i="18"/>
  <c r="AX38" i="18"/>
  <c r="AU39" i="18"/>
  <c r="AV39" i="18"/>
  <c r="AW39" i="18"/>
  <c r="AX39" i="18"/>
  <c r="AU40" i="18"/>
  <c r="AV40" i="18"/>
  <c r="AW40" i="18"/>
  <c r="AX40" i="18"/>
  <c r="AX2" i="18"/>
  <c r="AW2" i="18"/>
  <c r="AV2" i="18"/>
  <c r="AU2" i="18"/>
  <c r="AQ37" i="21"/>
  <c r="AR37" i="21"/>
  <c r="AS37" i="21"/>
  <c r="AT37" i="21"/>
  <c r="AU37" i="21"/>
  <c r="AV37" i="21"/>
  <c r="AQ38" i="21"/>
  <c r="AR38" i="21"/>
  <c r="AS38" i="21"/>
  <c r="AT38" i="21"/>
  <c r="AU38" i="21"/>
  <c r="AV38" i="21"/>
  <c r="AQ40" i="21"/>
  <c r="AR40" i="21"/>
  <c r="AS40" i="21"/>
  <c r="AT40" i="21"/>
  <c r="AU40" i="21"/>
  <c r="AV40" i="21"/>
  <c r="AV35" i="21"/>
  <c r="AU35" i="21"/>
  <c r="AT35" i="21"/>
  <c r="AS35" i="21"/>
  <c r="AR35" i="21"/>
  <c r="AQ35" i="21"/>
  <c r="AU51" i="18"/>
  <c r="AR51" i="18"/>
  <c r="AW51" i="18" l="1"/>
  <c r="AX51" i="18"/>
  <c r="AV51" i="18"/>
  <c r="H42" i="8"/>
  <c r="D47" i="1"/>
  <c r="W13" i="12"/>
  <c r="Y13" i="12"/>
  <c r="AA13" i="12"/>
  <c r="AC13" i="12"/>
  <c r="AE13" i="12"/>
  <c r="AG13" i="12"/>
  <c r="AF13" i="12"/>
  <c r="W39" i="12"/>
  <c r="W40" i="12"/>
  <c r="W41" i="12"/>
  <c r="W42" i="12"/>
  <c r="W43" i="12"/>
  <c r="W44" i="12"/>
  <c r="W45" i="12"/>
  <c r="W46" i="12"/>
  <c r="W47" i="12"/>
  <c r="W48" i="12"/>
  <c r="W49" i="12"/>
  <c r="W50" i="12"/>
  <c r="W51" i="12"/>
  <c r="W52" i="12"/>
  <c r="W53" i="12"/>
  <c r="V53" i="12"/>
  <c r="V52" i="12"/>
  <c r="V40" i="12"/>
  <c r="V41" i="12"/>
  <c r="V42" i="12"/>
  <c r="V43" i="12"/>
  <c r="V44" i="12"/>
  <c r="V45" i="12"/>
  <c r="V46" i="12"/>
  <c r="V47" i="12"/>
  <c r="V48" i="12"/>
  <c r="V49" i="12"/>
  <c r="V50" i="12"/>
  <c r="V51" i="12"/>
  <c r="V39" i="12"/>
  <c r="F41" i="9"/>
  <c r="AP51" i="3"/>
  <c r="AO51" i="3"/>
  <c r="AO30" i="3"/>
  <c r="AP30" i="3"/>
  <c r="AQ30" i="3"/>
  <c r="AR30" i="3"/>
  <c r="AS30" i="3"/>
  <c r="AT30" i="3"/>
  <c r="AU30" i="3"/>
  <c r="AV30" i="3"/>
  <c r="AO31" i="3"/>
  <c r="AP31" i="3"/>
  <c r="AQ31" i="3"/>
  <c r="AR31" i="3"/>
  <c r="AS31" i="3"/>
  <c r="AT31" i="3"/>
  <c r="AU31" i="3"/>
  <c r="AV31" i="3"/>
  <c r="AO32" i="3"/>
  <c r="AP32" i="3"/>
  <c r="AQ32" i="3"/>
  <c r="AR32" i="3"/>
  <c r="AS32" i="3"/>
  <c r="AT32" i="3"/>
  <c r="AU32" i="3"/>
  <c r="AV32" i="3"/>
  <c r="AO33" i="3"/>
  <c r="AP33" i="3"/>
  <c r="AQ33" i="3"/>
  <c r="AR33" i="3"/>
  <c r="AS33" i="3"/>
  <c r="AT33" i="3"/>
  <c r="AU33" i="3"/>
  <c r="AV33" i="3"/>
  <c r="AO34" i="3"/>
  <c r="AP34" i="3"/>
  <c r="AQ34" i="3"/>
  <c r="AR34" i="3"/>
  <c r="AS34" i="3"/>
  <c r="AT34" i="3"/>
  <c r="AU34" i="3"/>
  <c r="AV34" i="3"/>
  <c r="AO36" i="3"/>
  <c r="AP36" i="3"/>
  <c r="AQ36" i="3"/>
  <c r="AR36" i="3"/>
  <c r="AS36" i="3"/>
  <c r="AT36" i="3"/>
  <c r="AU36" i="3"/>
  <c r="AV36" i="3"/>
  <c r="AO37" i="3"/>
  <c r="AP37" i="3"/>
  <c r="AQ37" i="3"/>
  <c r="AR37" i="3"/>
  <c r="AS37" i="3"/>
  <c r="AT37" i="3"/>
  <c r="AU37" i="3"/>
  <c r="AV37" i="3"/>
  <c r="AO38" i="3"/>
  <c r="AP38" i="3"/>
  <c r="AQ38" i="3"/>
  <c r="AR38" i="3"/>
  <c r="AS38" i="3"/>
  <c r="AT38" i="3"/>
  <c r="AU38" i="3"/>
  <c r="AV38" i="3"/>
  <c r="AO39" i="3"/>
  <c r="AP39" i="3"/>
  <c r="AQ39" i="3"/>
  <c r="AR39" i="3"/>
  <c r="AS39" i="3"/>
  <c r="AT39" i="3"/>
  <c r="AU39" i="3"/>
  <c r="AV39" i="3"/>
  <c r="AO40" i="3"/>
  <c r="AP40" i="3"/>
  <c r="AQ40" i="3"/>
  <c r="AR40" i="3"/>
  <c r="AS40" i="3"/>
  <c r="AT40" i="3"/>
  <c r="AU40" i="3"/>
  <c r="AV40" i="3"/>
  <c r="AO42" i="3"/>
  <c r="AP42" i="3"/>
  <c r="AQ42" i="3"/>
  <c r="AR42" i="3"/>
  <c r="AS42" i="3"/>
  <c r="AT42" i="3"/>
  <c r="AU42" i="3"/>
  <c r="AV42" i="3"/>
  <c r="AO43" i="3"/>
  <c r="AP43" i="3"/>
  <c r="AQ43" i="3"/>
  <c r="AR43" i="3"/>
  <c r="AS43" i="3"/>
  <c r="AT43" i="3"/>
  <c r="AU43" i="3"/>
  <c r="AV43" i="3"/>
  <c r="AO44" i="3"/>
  <c r="AP44" i="3"/>
  <c r="AQ44" i="3"/>
  <c r="AR44" i="3"/>
  <c r="AS44" i="3"/>
  <c r="AT44" i="3"/>
  <c r="AU44" i="3"/>
  <c r="AV44" i="3"/>
  <c r="AO45" i="3"/>
  <c r="AP45" i="3"/>
  <c r="AQ45" i="3"/>
  <c r="AR45" i="3"/>
  <c r="AS45" i="3"/>
  <c r="AT45" i="3"/>
  <c r="AU45" i="3"/>
  <c r="AV45" i="3"/>
  <c r="AO46" i="3"/>
  <c r="AP46" i="3"/>
  <c r="AQ46" i="3"/>
  <c r="AR46" i="3"/>
  <c r="AS46" i="3"/>
  <c r="AT46" i="3"/>
  <c r="AU46" i="3"/>
  <c r="AV46" i="3"/>
  <c r="AO48" i="3"/>
  <c r="AP48" i="3"/>
  <c r="AQ48" i="3"/>
  <c r="AR48" i="3"/>
  <c r="AS48" i="3"/>
  <c r="AT48" i="3"/>
  <c r="AU48" i="3"/>
  <c r="AV48" i="3"/>
  <c r="AO49" i="3"/>
  <c r="AP49" i="3"/>
  <c r="AQ49" i="3"/>
  <c r="AR49" i="3"/>
  <c r="AS49" i="3"/>
  <c r="AT49" i="3"/>
  <c r="AU49" i="3"/>
  <c r="AV49" i="3"/>
  <c r="AO50" i="3"/>
  <c r="AP50" i="3"/>
  <c r="AQ50" i="3"/>
  <c r="AQ51" i="3" s="1"/>
  <c r="AR50" i="3"/>
  <c r="AR51" i="3" s="1"/>
  <c r="AS50" i="3"/>
  <c r="AS51" i="3" s="1"/>
  <c r="AT50" i="3"/>
  <c r="AT51" i="3" s="1"/>
  <c r="AU50" i="3"/>
  <c r="AU51" i="3" s="1"/>
  <c r="AV50" i="3"/>
  <c r="AV51" i="3" s="1"/>
  <c r="AO4" i="3"/>
  <c r="AP4" i="3"/>
  <c r="AQ4" i="3"/>
  <c r="AU4" i="3" s="1"/>
  <c r="AR4" i="3"/>
  <c r="AT4" i="3" s="1"/>
  <c r="AS4" i="3"/>
  <c r="AO5" i="3"/>
  <c r="AU5" i="3" s="1"/>
  <c r="AP5" i="3"/>
  <c r="AS5" i="3" s="1"/>
  <c r="AQ5" i="3"/>
  <c r="AR5" i="3"/>
  <c r="AO6" i="3"/>
  <c r="AP6" i="3"/>
  <c r="AS6" i="3" s="1"/>
  <c r="AQ6" i="3"/>
  <c r="AR6" i="3"/>
  <c r="AU6" i="3"/>
  <c r="AV6" i="3"/>
  <c r="AO7" i="3"/>
  <c r="AP7" i="3"/>
  <c r="AS7" i="3" s="1"/>
  <c r="AQ7" i="3"/>
  <c r="AU7" i="3" s="1"/>
  <c r="AR7" i="3"/>
  <c r="AV7" i="3" s="1"/>
  <c r="AO8" i="3"/>
  <c r="AP8" i="3"/>
  <c r="AS8" i="3" s="1"/>
  <c r="AQ8" i="3"/>
  <c r="AR8" i="3"/>
  <c r="AU8" i="3"/>
  <c r="AV8" i="3"/>
  <c r="AO9" i="3"/>
  <c r="AP9" i="3"/>
  <c r="AS9" i="3" s="1"/>
  <c r="AQ9" i="3"/>
  <c r="AU9" i="3" s="1"/>
  <c r="AR9" i="3"/>
  <c r="AV9" i="3" s="1"/>
  <c r="AO10" i="3"/>
  <c r="AP10" i="3"/>
  <c r="AS10" i="3" s="1"/>
  <c r="AQ10" i="3"/>
  <c r="AR10" i="3"/>
  <c r="AU10" i="3"/>
  <c r="AV10" i="3"/>
  <c r="AO11" i="3"/>
  <c r="AP11" i="3"/>
  <c r="AS11" i="3" s="1"/>
  <c r="AQ11" i="3"/>
  <c r="AU11" i="3" s="1"/>
  <c r="AR11" i="3"/>
  <c r="AV11" i="3" s="1"/>
  <c r="AO12" i="3"/>
  <c r="AP12" i="3"/>
  <c r="AS12" i="3" s="1"/>
  <c r="AQ12" i="3"/>
  <c r="AR12" i="3"/>
  <c r="AU12" i="3"/>
  <c r="AO13" i="3"/>
  <c r="AP13" i="3"/>
  <c r="AQ13" i="3"/>
  <c r="AR13" i="3"/>
  <c r="AU13" i="3"/>
  <c r="AO14" i="3"/>
  <c r="AP14" i="3"/>
  <c r="AS14" i="3" s="1"/>
  <c r="AQ14" i="3"/>
  <c r="AU14" i="3" s="1"/>
  <c r="AR14" i="3"/>
  <c r="AV14" i="3" s="1"/>
  <c r="AO15" i="3"/>
  <c r="AP15" i="3"/>
  <c r="AS15" i="3" s="1"/>
  <c r="AQ15" i="3"/>
  <c r="AR15" i="3"/>
  <c r="AU15" i="3"/>
  <c r="AV15" i="3"/>
  <c r="AO16" i="3"/>
  <c r="AP16" i="3"/>
  <c r="AS16" i="3" s="1"/>
  <c r="AQ16" i="3"/>
  <c r="AU16" i="3" s="1"/>
  <c r="AR16" i="3"/>
  <c r="AV16" i="3" s="1"/>
  <c r="AO17" i="3"/>
  <c r="AP17" i="3"/>
  <c r="AS17" i="3" s="1"/>
  <c r="AQ17" i="3"/>
  <c r="AR17" i="3"/>
  <c r="AU17" i="3"/>
  <c r="AO18" i="3"/>
  <c r="AP18" i="3"/>
  <c r="AQ18" i="3"/>
  <c r="AR18" i="3"/>
  <c r="AV18" i="3" s="1"/>
  <c r="AU18" i="3"/>
  <c r="AO19" i="3"/>
  <c r="AP19" i="3"/>
  <c r="AS19" i="3" s="1"/>
  <c r="AQ19" i="3"/>
  <c r="AU19" i="3" s="1"/>
  <c r="AR19" i="3"/>
  <c r="AV19" i="3"/>
  <c r="AO20" i="3"/>
  <c r="AP20" i="3"/>
  <c r="AQ20" i="3"/>
  <c r="AR20" i="3"/>
  <c r="AV20" i="3" s="1"/>
  <c r="AU20" i="3"/>
  <c r="AO21" i="3"/>
  <c r="AP21" i="3"/>
  <c r="AS21" i="3" s="1"/>
  <c r="AQ21" i="3"/>
  <c r="AR21" i="3"/>
  <c r="AV21" i="3"/>
  <c r="AO22" i="3"/>
  <c r="AU22" i="3" s="1"/>
  <c r="AP22" i="3"/>
  <c r="AQ22" i="3"/>
  <c r="AR22" i="3"/>
  <c r="AS22" i="3"/>
  <c r="AO23" i="3"/>
  <c r="AP23" i="3"/>
  <c r="AS23" i="3" s="1"/>
  <c r="AQ23" i="3"/>
  <c r="AR23" i="3"/>
  <c r="AV23" i="3"/>
  <c r="AO24" i="3"/>
  <c r="AU24" i="3" s="1"/>
  <c r="AP24" i="3"/>
  <c r="AQ24" i="3"/>
  <c r="AR24" i="3"/>
  <c r="AS24" i="3"/>
  <c r="AO25" i="3"/>
  <c r="AP25" i="3"/>
  <c r="AQ25" i="3"/>
  <c r="AR25" i="3"/>
  <c r="AT25" i="3" s="1"/>
  <c r="AS25" i="3"/>
  <c r="AO26" i="3"/>
  <c r="AU26" i="3" s="1"/>
  <c r="AP26" i="3"/>
  <c r="AS26" i="3" s="1"/>
  <c r="AQ26" i="3"/>
  <c r="AR26" i="3"/>
  <c r="AV26" i="3"/>
  <c r="AO27" i="3"/>
  <c r="AP27" i="3"/>
  <c r="AQ27" i="3"/>
  <c r="AR27" i="3"/>
  <c r="AT27" i="3" s="1"/>
  <c r="AS27" i="3"/>
  <c r="AO28" i="3"/>
  <c r="AU28" i="3" s="1"/>
  <c r="AP28" i="3"/>
  <c r="AS28" i="3" s="1"/>
  <c r="AQ28" i="3"/>
  <c r="AR28" i="3"/>
  <c r="AV28" i="3"/>
  <c r="AO29" i="3"/>
  <c r="AP29" i="3"/>
  <c r="AQ29" i="3"/>
  <c r="AR29" i="3"/>
  <c r="AT29" i="3" s="1"/>
  <c r="AS29" i="3"/>
  <c r="AR3" i="3"/>
  <c r="AQ3" i="3"/>
  <c r="AU3" i="3" s="1"/>
  <c r="AP3" i="3"/>
  <c r="AV3" i="3" s="1"/>
  <c r="AO3" i="3"/>
  <c r="AS3" i="3" s="1"/>
  <c r="AT3" i="3" s="1"/>
  <c r="L42" i="8"/>
  <c r="O43" i="8"/>
  <c r="P43" i="8"/>
  <c r="R43" i="8" s="1"/>
  <c r="Q43" i="8"/>
  <c r="N43" i="8"/>
  <c r="O42" i="8"/>
  <c r="P42" i="8"/>
  <c r="Q42" i="8"/>
  <c r="N42" i="8"/>
  <c r="R42" i="8"/>
  <c r="L43" i="8"/>
  <c r="H43" i="8"/>
  <c r="I43" i="8"/>
  <c r="J43" i="8"/>
  <c r="K43" i="8"/>
  <c r="I42" i="8"/>
  <c r="J42" i="8"/>
  <c r="K42" i="8"/>
  <c r="BP31" i="19"/>
  <c r="AI31" i="19"/>
  <c r="CI62" i="15"/>
  <c r="CG65" i="15"/>
  <c r="CH65" i="15"/>
  <c r="CF5" i="15"/>
  <c r="CG5" i="15"/>
  <c r="CH5" i="15"/>
  <c r="CI5" i="15"/>
  <c r="CF6" i="15"/>
  <c r="CG6" i="15"/>
  <c r="CH6" i="15"/>
  <c r="CI6" i="15"/>
  <c r="CF7" i="15"/>
  <c r="CG7" i="15"/>
  <c r="CH7" i="15"/>
  <c r="CI7" i="15"/>
  <c r="CF8" i="15"/>
  <c r="CF62" i="15" s="1"/>
  <c r="CI8" i="15"/>
  <c r="CF9" i="15"/>
  <c r="CG9" i="15"/>
  <c r="CH9" i="15"/>
  <c r="CI9" i="15"/>
  <c r="CF10" i="15"/>
  <c r="CG10" i="15"/>
  <c r="CH10" i="15"/>
  <c r="CI10" i="15"/>
  <c r="CF11" i="15"/>
  <c r="CG11" i="15"/>
  <c r="CH11" i="15"/>
  <c r="CI11" i="15"/>
  <c r="CF12" i="15"/>
  <c r="CG12" i="15"/>
  <c r="CH12" i="15"/>
  <c r="CI12" i="15"/>
  <c r="CF13" i="15"/>
  <c r="CF63" i="15" s="1"/>
  <c r="CG13" i="15"/>
  <c r="CG63" i="15" s="1"/>
  <c r="CH13" i="15"/>
  <c r="CH63" i="15" s="1"/>
  <c r="CI13" i="15"/>
  <c r="CI63" i="15" s="1"/>
  <c r="CF14" i="15"/>
  <c r="CG14" i="15"/>
  <c r="CH14" i="15"/>
  <c r="CI14" i="15"/>
  <c r="CF15" i="15"/>
  <c r="CG15" i="15"/>
  <c r="CH15" i="15"/>
  <c r="CI15" i="15"/>
  <c r="CF16" i="15"/>
  <c r="CG16" i="15"/>
  <c r="CH16" i="15"/>
  <c r="CI16" i="15"/>
  <c r="CF17" i="15"/>
  <c r="CG17" i="15"/>
  <c r="CH17" i="15"/>
  <c r="CI17" i="15"/>
  <c r="CF18" i="15"/>
  <c r="CG18" i="15"/>
  <c r="CH18" i="15"/>
  <c r="CI18" i="15"/>
  <c r="CF19" i="15"/>
  <c r="CF64" i="15" s="1"/>
  <c r="CI19" i="15"/>
  <c r="CI64" i="15" s="1"/>
  <c r="CF20" i="15"/>
  <c r="CG20" i="15"/>
  <c r="CH20" i="15"/>
  <c r="CI20" i="15"/>
  <c r="CF21" i="15"/>
  <c r="CG21" i="15"/>
  <c r="CH21" i="15"/>
  <c r="CI21" i="15"/>
  <c r="CF22" i="15"/>
  <c r="CG22" i="15"/>
  <c r="CH22" i="15"/>
  <c r="CI22" i="15"/>
  <c r="CF23" i="15"/>
  <c r="CG23" i="15"/>
  <c r="CH23" i="15"/>
  <c r="CI23" i="15"/>
  <c r="CF24" i="15"/>
  <c r="CF65" i="15" s="1"/>
  <c r="CG24" i="15"/>
  <c r="CH24" i="15"/>
  <c r="CI24" i="15"/>
  <c r="CI65" i="15" s="1"/>
  <c r="CF25" i="15"/>
  <c r="CG25" i="15"/>
  <c r="CH25" i="15"/>
  <c r="CI25" i="15"/>
  <c r="CF26" i="15"/>
  <c r="CG26" i="15"/>
  <c r="CH26" i="15"/>
  <c r="CI26" i="15"/>
  <c r="CF27" i="15"/>
  <c r="CG27" i="15"/>
  <c r="CH27" i="15"/>
  <c r="CI27" i="15"/>
  <c r="CF28" i="15"/>
  <c r="CG28" i="15"/>
  <c r="CH28" i="15"/>
  <c r="CI28" i="15"/>
  <c r="CF29" i="15"/>
  <c r="CG29" i="15"/>
  <c r="CH29" i="15"/>
  <c r="CI29" i="15"/>
  <c r="CF30" i="15"/>
  <c r="CG30" i="15"/>
  <c r="CH30" i="15"/>
  <c r="CI30" i="15"/>
  <c r="CF31" i="15"/>
  <c r="CG31" i="15"/>
  <c r="CH31" i="15"/>
  <c r="CI31" i="15"/>
  <c r="CF32" i="15"/>
  <c r="CG32" i="15"/>
  <c r="CH32" i="15"/>
  <c r="CI32" i="15"/>
  <c r="CF33" i="15"/>
  <c r="CG33" i="15"/>
  <c r="CH33" i="15"/>
  <c r="CI33" i="15"/>
  <c r="CF34" i="15"/>
  <c r="CG34" i="15"/>
  <c r="CH34" i="15"/>
  <c r="CI34" i="15"/>
  <c r="CF35" i="15"/>
  <c r="CG35" i="15"/>
  <c r="CH35" i="15"/>
  <c r="CI35" i="15"/>
  <c r="CF36" i="15"/>
  <c r="CG36" i="15"/>
  <c r="CH36" i="15"/>
  <c r="CI36" i="15"/>
  <c r="CF37" i="15"/>
  <c r="CG37" i="15"/>
  <c r="CH37" i="15"/>
  <c r="CI37" i="15"/>
  <c r="CF38" i="15"/>
  <c r="CG38" i="15"/>
  <c r="CH38" i="15"/>
  <c r="CI38" i="15"/>
  <c r="CF39" i="15"/>
  <c r="CG39" i="15"/>
  <c r="CH39" i="15"/>
  <c r="CI39" i="15"/>
  <c r="CF40" i="15"/>
  <c r="CG40" i="15"/>
  <c r="CH40" i="15"/>
  <c r="CI40" i="15"/>
  <c r="CF41" i="15"/>
  <c r="CG41" i="15"/>
  <c r="CH41" i="15"/>
  <c r="CI41" i="15"/>
  <c r="CF42" i="15"/>
  <c r="CG42" i="15"/>
  <c r="CH42" i="15"/>
  <c r="CI42" i="15"/>
  <c r="CF43" i="15"/>
  <c r="CG43" i="15"/>
  <c r="CH43" i="15"/>
  <c r="CI43" i="15"/>
  <c r="CF44" i="15"/>
  <c r="CG44" i="15"/>
  <c r="CH44" i="15"/>
  <c r="CI44" i="15"/>
  <c r="CF45" i="15"/>
  <c r="CG45" i="15"/>
  <c r="CH45" i="15"/>
  <c r="CI45" i="15"/>
  <c r="CF46" i="15"/>
  <c r="CG46" i="15"/>
  <c r="CH46" i="15"/>
  <c r="CI46" i="15"/>
  <c r="CF47" i="15"/>
  <c r="CG47" i="15"/>
  <c r="CH47" i="15"/>
  <c r="CI47" i="15"/>
  <c r="CI4" i="15"/>
  <c r="CI61" i="15" s="1"/>
  <c r="CF4" i="15"/>
  <c r="CF61" i="15" s="1"/>
  <c r="CF56" i="15"/>
  <c r="AV36" i="21"/>
  <c r="AP33" i="21"/>
  <c r="AQ33" i="21"/>
  <c r="AR33" i="21"/>
  <c r="AS33" i="21"/>
  <c r="AT33" i="21"/>
  <c r="AU33" i="21"/>
  <c r="AV33" i="21"/>
  <c r="AP34" i="21"/>
  <c r="AQ34" i="21"/>
  <c r="AR34" i="21"/>
  <c r="AS34" i="21"/>
  <c r="AT34" i="21"/>
  <c r="AU34" i="21"/>
  <c r="AV34" i="21"/>
  <c r="AP36" i="21"/>
  <c r="AQ36" i="21"/>
  <c r="AR36" i="21"/>
  <c r="AS36" i="21"/>
  <c r="AT36" i="21"/>
  <c r="AU36" i="21"/>
  <c r="AP39" i="21"/>
  <c r="AQ39" i="21"/>
  <c r="AR39" i="21"/>
  <c r="AS39" i="21"/>
  <c r="AT39" i="21"/>
  <c r="AU39" i="21"/>
  <c r="AV39" i="21"/>
  <c r="AP41" i="21"/>
  <c r="AQ41" i="21"/>
  <c r="AR41" i="21"/>
  <c r="AS41" i="21"/>
  <c r="AT41" i="21"/>
  <c r="AU41" i="21"/>
  <c r="AV41" i="21"/>
  <c r="AL90" i="4"/>
  <c r="AC91" i="4"/>
  <c r="M92" i="4"/>
  <c r="Q92" i="4"/>
  <c r="AG92" i="4"/>
  <c r="AK93" i="4"/>
  <c r="AC94" i="4"/>
  <c r="I95" i="4"/>
  <c r="J95" i="4"/>
  <c r="AG95" i="4"/>
  <c r="AK95" i="4"/>
  <c r="AL95" i="4"/>
  <c r="I96" i="4"/>
  <c r="AG96" i="4"/>
  <c r="AO96" i="4"/>
  <c r="E81" i="4"/>
  <c r="E90" i="4" s="1"/>
  <c r="F81" i="4"/>
  <c r="F90" i="4" s="1"/>
  <c r="G81" i="4"/>
  <c r="G90" i="4" s="1"/>
  <c r="H81" i="4"/>
  <c r="H91" i="4" s="1"/>
  <c r="I81" i="4"/>
  <c r="I91" i="4" s="1"/>
  <c r="J81" i="4"/>
  <c r="J90" i="4" s="1"/>
  <c r="K81" i="4"/>
  <c r="K90" i="4" s="1"/>
  <c r="L81" i="4"/>
  <c r="L91" i="4" s="1"/>
  <c r="M81" i="4"/>
  <c r="M94" i="4" s="1"/>
  <c r="N81" i="4"/>
  <c r="N90" i="4" s="1"/>
  <c r="O81" i="4"/>
  <c r="O90" i="4" s="1"/>
  <c r="P81" i="4"/>
  <c r="P91" i="4" s="1"/>
  <c r="Q81" i="4"/>
  <c r="Q95" i="4" s="1"/>
  <c r="R81" i="4"/>
  <c r="R90" i="4" s="1"/>
  <c r="S81" i="4"/>
  <c r="S92" i="4" s="1"/>
  <c r="T81" i="4"/>
  <c r="T91" i="4" s="1"/>
  <c r="U81" i="4"/>
  <c r="U93" i="4" s="1"/>
  <c r="V81" i="4"/>
  <c r="V90" i="4" s="1"/>
  <c r="W81" i="4"/>
  <c r="W90" i="4" s="1"/>
  <c r="X81" i="4"/>
  <c r="X91" i="4" s="1"/>
  <c r="Y81" i="4"/>
  <c r="Y90" i="4" s="1"/>
  <c r="Z81" i="4"/>
  <c r="Z90" i="4" s="1"/>
  <c r="AA81" i="4"/>
  <c r="AA90" i="4" s="1"/>
  <c r="AB81" i="4"/>
  <c r="AB91" i="4" s="1"/>
  <c r="AC81" i="4"/>
  <c r="AC96" i="4" s="1"/>
  <c r="AD81" i="4"/>
  <c r="AD91" i="4" s="1"/>
  <c r="AE81" i="4"/>
  <c r="AE90" i="4" s="1"/>
  <c r="AF81" i="4"/>
  <c r="AF90" i="4" s="1"/>
  <c r="AG81" i="4"/>
  <c r="AG90" i="4" s="1"/>
  <c r="AH81" i="4"/>
  <c r="AH90" i="4" s="1"/>
  <c r="AI81" i="4"/>
  <c r="AI90" i="4" s="1"/>
  <c r="AJ81" i="4"/>
  <c r="AJ91" i="4" s="1"/>
  <c r="AK81" i="4"/>
  <c r="AK91" i="4" s="1"/>
  <c r="AL81" i="4"/>
  <c r="AL93" i="4" s="1"/>
  <c r="AM81" i="4"/>
  <c r="AM90" i="4" s="1"/>
  <c r="AN81" i="4"/>
  <c r="AN91" i="4" s="1"/>
  <c r="AO81" i="4"/>
  <c r="AO90" i="4" s="1"/>
  <c r="AP81" i="4"/>
  <c r="AP90" i="4" s="1"/>
  <c r="D81" i="4"/>
  <c r="D90" i="4" s="1"/>
  <c r="D13" i="12"/>
  <c r="E13" i="12"/>
  <c r="F13" i="12"/>
  <c r="H13" i="12"/>
  <c r="N13" i="12"/>
  <c r="O13" i="12"/>
  <c r="X13" i="12"/>
  <c r="Z13" i="12"/>
  <c r="AB13" i="12"/>
  <c r="AD13" i="12"/>
  <c r="W42" i="4"/>
  <c r="X42" i="4"/>
  <c r="V42" i="4"/>
  <c r="H42" i="4"/>
  <c r="S38" i="4"/>
  <c r="H38" i="4"/>
  <c r="K3" i="9"/>
  <c r="K4" i="9"/>
  <c r="K5" i="9"/>
  <c r="K6" i="9"/>
  <c r="K7" i="9"/>
  <c r="K8" i="9"/>
  <c r="K9" i="9"/>
  <c r="K10" i="9"/>
  <c r="S10" i="9" s="1"/>
  <c r="P43" i="9" s="1"/>
  <c r="K11" i="9"/>
  <c r="S11" i="9" s="1"/>
  <c r="P44" i="9" s="1"/>
  <c r="K12" i="9"/>
  <c r="K13" i="9"/>
  <c r="K14" i="9"/>
  <c r="K15" i="9"/>
  <c r="K16" i="9"/>
  <c r="K17" i="9"/>
  <c r="K18" i="9"/>
  <c r="U7" i="9" s="1"/>
  <c r="S40" i="9" s="1"/>
  <c r="K19" i="9"/>
  <c r="U8" i="9" s="1"/>
  <c r="S41" i="9" s="1"/>
  <c r="K20" i="9"/>
  <c r="K21" i="9"/>
  <c r="K22" i="9"/>
  <c r="K23" i="9"/>
  <c r="K24" i="9"/>
  <c r="K25" i="9"/>
  <c r="K26" i="9"/>
  <c r="K27" i="9"/>
  <c r="K28" i="9"/>
  <c r="K29" i="9"/>
  <c r="K30" i="9"/>
  <c r="K31" i="9"/>
  <c r="K32" i="9"/>
  <c r="K33" i="9"/>
  <c r="K34" i="9"/>
  <c r="K35" i="9"/>
  <c r="K36" i="9"/>
  <c r="K37" i="9"/>
  <c r="K38" i="9"/>
  <c r="V10" i="9" s="1"/>
  <c r="U43" i="9" s="1"/>
  <c r="K39" i="9"/>
  <c r="V11" i="9" s="1"/>
  <c r="U44" i="9" s="1"/>
  <c r="K40" i="9"/>
  <c r="U11" i="9"/>
  <c r="S44" i="9" s="1"/>
  <c r="V7" i="9"/>
  <c r="U40" i="9" s="1"/>
  <c r="K46" i="9"/>
  <c r="K47" i="9"/>
  <c r="K48" i="9"/>
  <c r="K49" i="9"/>
  <c r="K50" i="9"/>
  <c r="K51" i="9"/>
  <c r="K52" i="9"/>
  <c r="K53" i="9"/>
  <c r="K54" i="9"/>
  <c r="K55" i="9"/>
  <c r="K56" i="9"/>
  <c r="K57" i="9"/>
  <c r="K58" i="9"/>
  <c r="K59" i="9"/>
  <c r="K60" i="9"/>
  <c r="K61" i="9"/>
  <c r="K62" i="9"/>
  <c r="K63" i="9"/>
  <c r="K64" i="9"/>
  <c r="K65" i="9"/>
  <c r="K66" i="9"/>
  <c r="K67" i="9"/>
  <c r="K68" i="9"/>
  <c r="K69" i="9"/>
  <c r="K70" i="9"/>
  <c r="K71" i="9"/>
  <c r="K72" i="9"/>
  <c r="K73" i="9"/>
  <c r="K74" i="9"/>
  <c r="K75" i="9"/>
  <c r="K76" i="9"/>
  <c r="K77" i="9"/>
  <c r="K78" i="9"/>
  <c r="K79" i="9"/>
  <c r="K80" i="9"/>
  <c r="K81" i="9"/>
  <c r="K82" i="9"/>
  <c r="L45" i="9"/>
  <c r="K45" i="9"/>
  <c r="U6" i="9"/>
  <c r="S39" i="9" s="1"/>
  <c r="U10" i="9"/>
  <c r="S43" i="9" s="1"/>
  <c r="V9" i="9"/>
  <c r="U42" i="9" s="1"/>
  <c r="L46" i="9"/>
  <c r="L47" i="9"/>
  <c r="L48" i="9"/>
  <c r="L49" i="9"/>
  <c r="L50" i="9"/>
  <c r="L51" i="9"/>
  <c r="L52" i="9"/>
  <c r="L53" i="9"/>
  <c r="L54" i="9"/>
  <c r="L55" i="9"/>
  <c r="L56" i="9"/>
  <c r="L57" i="9"/>
  <c r="L58" i="9"/>
  <c r="L59" i="9"/>
  <c r="L60" i="9"/>
  <c r="L61" i="9"/>
  <c r="L62" i="9"/>
  <c r="L63" i="9"/>
  <c r="L64" i="9"/>
  <c r="L65" i="9"/>
  <c r="L66" i="9"/>
  <c r="L67" i="9"/>
  <c r="L68" i="9"/>
  <c r="L69" i="9"/>
  <c r="L70" i="9"/>
  <c r="L71" i="9"/>
  <c r="L72" i="9"/>
  <c r="L73" i="9"/>
  <c r="L74" i="9"/>
  <c r="L75" i="9"/>
  <c r="L76" i="9"/>
  <c r="L77" i="9"/>
  <c r="L78" i="9"/>
  <c r="L79" i="9"/>
  <c r="L80" i="9"/>
  <c r="L81" i="9"/>
  <c r="L82" i="9"/>
  <c r="H51" i="9"/>
  <c r="I51" i="9"/>
  <c r="J51" i="9"/>
  <c r="H52" i="9"/>
  <c r="I52" i="9"/>
  <c r="J52" i="9"/>
  <c r="H53" i="9"/>
  <c r="I53" i="9"/>
  <c r="J53" i="9"/>
  <c r="H54" i="9"/>
  <c r="I54" i="9"/>
  <c r="J54" i="9"/>
  <c r="H58" i="9"/>
  <c r="I58" i="9"/>
  <c r="J58" i="9"/>
  <c r="H59" i="9"/>
  <c r="I59" i="9"/>
  <c r="J59" i="9"/>
  <c r="H60" i="9"/>
  <c r="I60" i="9"/>
  <c r="J60" i="9"/>
  <c r="H61" i="9"/>
  <c r="I61" i="9"/>
  <c r="J61" i="9"/>
  <c r="H62" i="9"/>
  <c r="I62" i="9"/>
  <c r="J62" i="9"/>
  <c r="H63" i="9"/>
  <c r="I63" i="9"/>
  <c r="J63" i="9"/>
  <c r="H64" i="9"/>
  <c r="I64" i="9"/>
  <c r="J64" i="9"/>
  <c r="H76" i="9"/>
  <c r="H77" i="9"/>
  <c r="I77" i="9"/>
  <c r="J77" i="9"/>
  <c r="H78" i="9"/>
  <c r="I78" i="9"/>
  <c r="J78" i="9"/>
  <c r="H79" i="9"/>
  <c r="I79" i="9"/>
  <c r="J79" i="9"/>
  <c r="H80" i="9"/>
  <c r="I80" i="9"/>
  <c r="J80" i="9"/>
  <c r="H81" i="9"/>
  <c r="I81" i="9"/>
  <c r="J81" i="9"/>
  <c r="H82" i="9"/>
  <c r="I82" i="9"/>
  <c r="J82" i="9"/>
  <c r="G46" i="9"/>
  <c r="G47" i="9"/>
  <c r="G48" i="9"/>
  <c r="G49" i="9"/>
  <c r="G50" i="9"/>
  <c r="G51" i="9"/>
  <c r="G52" i="9"/>
  <c r="G53" i="9"/>
  <c r="G54" i="9"/>
  <c r="G55" i="9"/>
  <c r="G56" i="9"/>
  <c r="G57" i="9"/>
  <c r="G58" i="9"/>
  <c r="G59" i="9"/>
  <c r="G60" i="9"/>
  <c r="G61" i="9"/>
  <c r="G62" i="9"/>
  <c r="G63" i="9"/>
  <c r="G64" i="9"/>
  <c r="G65" i="9"/>
  <c r="G66" i="9"/>
  <c r="G67" i="9"/>
  <c r="G68" i="9"/>
  <c r="G69" i="9"/>
  <c r="G70" i="9"/>
  <c r="G71" i="9"/>
  <c r="G72" i="9"/>
  <c r="G73" i="9"/>
  <c r="G74" i="9"/>
  <c r="G75" i="9"/>
  <c r="G76" i="9"/>
  <c r="G77" i="9"/>
  <c r="G78" i="9"/>
  <c r="G79" i="9"/>
  <c r="G80" i="9"/>
  <c r="G81" i="9"/>
  <c r="G82" i="9"/>
  <c r="G45" i="9"/>
  <c r="F46" i="9"/>
  <c r="F47" i="9"/>
  <c r="F48" i="9"/>
  <c r="F49" i="9"/>
  <c r="F50" i="9"/>
  <c r="F51" i="9"/>
  <c r="F52" i="9"/>
  <c r="F53" i="9"/>
  <c r="F54" i="9"/>
  <c r="F55" i="9"/>
  <c r="F56" i="9"/>
  <c r="F57" i="9"/>
  <c r="F58" i="9"/>
  <c r="F59" i="9"/>
  <c r="F60" i="9"/>
  <c r="F61" i="9"/>
  <c r="F62" i="9"/>
  <c r="F63" i="9"/>
  <c r="F64" i="9"/>
  <c r="F65" i="9"/>
  <c r="F66" i="9"/>
  <c r="F67" i="9"/>
  <c r="F68" i="9"/>
  <c r="F69" i="9"/>
  <c r="F70" i="9"/>
  <c r="F71" i="9"/>
  <c r="F72" i="9"/>
  <c r="F73" i="9"/>
  <c r="F74" i="9"/>
  <c r="F75" i="9"/>
  <c r="F76" i="9"/>
  <c r="F77" i="9"/>
  <c r="F78" i="9"/>
  <c r="F79" i="9"/>
  <c r="F80" i="9"/>
  <c r="F81" i="9"/>
  <c r="F82" i="9"/>
  <c r="C49" i="9"/>
  <c r="D49" i="9"/>
  <c r="E49" i="9"/>
  <c r="C50" i="9"/>
  <c r="D50" i="9"/>
  <c r="E50" i="9"/>
  <c r="B51" i="9"/>
  <c r="C51" i="9"/>
  <c r="D51" i="9"/>
  <c r="E51" i="9"/>
  <c r="B52" i="9"/>
  <c r="C52" i="9"/>
  <c r="D52" i="9"/>
  <c r="E52" i="9"/>
  <c r="B53" i="9"/>
  <c r="C53" i="9"/>
  <c r="D53" i="9"/>
  <c r="E53" i="9"/>
  <c r="C54" i="9"/>
  <c r="D54" i="9"/>
  <c r="E54" i="9"/>
  <c r="C55" i="9"/>
  <c r="B58" i="9"/>
  <c r="C58" i="9"/>
  <c r="D58" i="9"/>
  <c r="E58" i="9"/>
  <c r="B59" i="9"/>
  <c r="C59" i="9"/>
  <c r="D59" i="9"/>
  <c r="E59" i="9"/>
  <c r="B60" i="9"/>
  <c r="C60" i="9"/>
  <c r="D60" i="9"/>
  <c r="E60" i="9"/>
  <c r="B61" i="9"/>
  <c r="C61" i="9"/>
  <c r="D61" i="9"/>
  <c r="E61" i="9"/>
  <c r="B62" i="9"/>
  <c r="C62" i="9"/>
  <c r="D62" i="9"/>
  <c r="E62" i="9"/>
  <c r="B63" i="9"/>
  <c r="C63" i="9"/>
  <c r="D63" i="9"/>
  <c r="E63" i="9"/>
  <c r="B64" i="9"/>
  <c r="C64" i="9"/>
  <c r="D64" i="9"/>
  <c r="E64" i="9"/>
  <c r="B65" i="9"/>
  <c r="C65" i="9"/>
  <c r="D65" i="9"/>
  <c r="E65" i="9"/>
  <c r="B68" i="9"/>
  <c r="B70" i="9"/>
  <c r="B71" i="9"/>
  <c r="C71" i="9"/>
  <c r="D71" i="9"/>
  <c r="E71" i="9"/>
  <c r="B72" i="9"/>
  <c r="C72" i="9"/>
  <c r="D72" i="9"/>
  <c r="E72" i="9"/>
  <c r="B73" i="9"/>
  <c r="C73" i="9"/>
  <c r="D73" i="9"/>
  <c r="E73" i="9"/>
  <c r="B74" i="9"/>
  <c r="B77" i="9"/>
  <c r="C77" i="9"/>
  <c r="D77" i="9"/>
  <c r="E77" i="9"/>
  <c r="B78" i="9"/>
  <c r="C78" i="9"/>
  <c r="D78" i="9"/>
  <c r="E78" i="9"/>
  <c r="B79" i="9"/>
  <c r="C79" i="9"/>
  <c r="D79" i="9"/>
  <c r="E79" i="9"/>
  <c r="B80" i="9"/>
  <c r="C80" i="9"/>
  <c r="D80" i="9"/>
  <c r="E80" i="9"/>
  <c r="B81" i="9"/>
  <c r="C81" i="9"/>
  <c r="D81" i="9"/>
  <c r="E81" i="9"/>
  <c r="B82" i="9"/>
  <c r="C82" i="9"/>
  <c r="D82" i="9"/>
  <c r="E82" i="9"/>
  <c r="C45" i="9"/>
  <c r="D45" i="9"/>
  <c r="E45" i="9"/>
  <c r="F45" i="9"/>
  <c r="F3" i="9"/>
  <c r="F7" i="9"/>
  <c r="F8" i="9"/>
  <c r="F9" i="9"/>
  <c r="F10" i="9"/>
  <c r="F11" i="9"/>
  <c r="F12" i="9"/>
  <c r="F13" i="9"/>
  <c r="F16" i="9"/>
  <c r="F17" i="9"/>
  <c r="F18" i="9"/>
  <c r="F19" i="9"/>
  <c r="F20" i="9"/>
  <c r="F21" i="9"/>
  <c r="F22" i="9"/>
  <c r="F23" i="9"/>
  <c r="F26" i="9"/>
  <c r="F28" i="9"/>
  <c r="F29" i="9"/>
  <c r="F30" i="9"/>
  <c r="F31" i="9"/>
  <c r="F32" i="9"/>
  <c r="F33" i="9"/>
  <c r="F34" i="9"/>
  <c r="F35" i="9"/>
  <c r="F36" i="9"/>
  <c r="F37" i="9"/>
  <c r="F38" i="9"/>
  <c r="F39" i="9"/>
  <c r="F40" i="9"/>
  <c r="E44" i="4"/>
  <c r="F44" i="4"/>
  <c r="G44" i="4"/>
  <c r="H44" i="4"/>
  <c r="I44" i="4"/>
  <c r="J44" i="4"/>
  <c r="K44" i="4"/>
  <c r="L44" i="4"/>
  <c r="M44" i="4"/>
  <c r="N44" i="4"/>
  <c r="O44" i="4"/>
  <c r="P44" i="4"/>
  <c r="P70" i="4" s="1"/>
  <c r="Q44" i="4"/>
  <c r="R44" i="4"/>
  <c r="S44" i="4"/>
  <c r="T44" i="4"/>
  <c r="U44" i="4"/>
  <c r="V44" i="4"/>
  <c r="W44" i="4"/>
  <c r="X44" i="4"/>
  <c r="Y44" i="4"/>
  <c r="Y70" i="4" s="1"/>
  <c r="Z44" i="4"/>
  <c r="AA44" i="4"/>
  <c r="AB44" i="4"/>
  <c r="AC44" i="4"/>
  <c r="AD44" i="4"/>
  <c r="AE44" i="4"/>
  <c r="AF44" i="4"/>
  <c r="AG44" i="4"/>
  <c r="AH44" i="4"/>
  <c r="AI44" i="4"/>
  <c r="AJ44" i="4"/>
  <c r="AK44" i="4"/>
  <c r="AL44" i="4"/>
  <c r="AM44" i="4"/>
  <c r="AN44" i="4"/>
  <c r="AO44" i="4"/>
  <c r="AP44" i="4"/>
  <c r="E45" i="4"/>
  <c r="F45" i="4"/>
  <c r="G45" i="4"/>
  <c r="H45" i="4"/>
  <c r="I45" i="4"/>
  <c r="J45" i="4"/>
  <c r="K45" i="4"/>
  <c r="L45" i="4"/>
  <c r="M45" i="4"/>
  <c r="N45" i="4"/>
  <c r="O45" i="4"/>
  <c r="P45" i="4"/>
  <c r="Q45" i="4"/>
  <c r="R45" i="4"/>
  <c r="S45" i="4"/>
  <c r="T45" i="4"/>
  <c r="U45" i="4"/>
  <c r="V45" i="4"/>
  <c r="W45" i="4"/>
  <c r="X45" i="4"/>
  <c r="Y45" i="4"/>
  <c r="Z45" i="4"/>
  <c r="AA45" i="4"/>
  <c r="AB45" i="4"/>
  <c r="AC45" i="4"/>
  <c r="AD45" i="4"/>
  <c r="AE45" i="4"/>
  <c r="AF45" i="4"/>
  <c r="AG45" i="4"/>
  <c r="AH45" i="4"/>
  <c r="AI45" i="4"/>
  <c r="AJ45" i="4"/>
  <c r="AK45" i="4"/>
  <c r="AL45" i="4"/>
  <c r="AM45" i="4"/>
  <c r="AN45" i="4"/>
  <c r="AO45" i="4"/>
  <c r="AP45" i="4"/>
  <c r="E46" i="4"/>
  <c r="F46" i="4"/>
  <c r="G46" i="4"/>
  <c r="H46" i="4"/>
  <c r="I46" i="4"/>
  <c r="J46" i="4"/>
  <c r="K46" i="4"/>
  <c r="L46" i="4"/>
  <c r="M46" i="4"/>
  <c r="N46" i="4"/>
  <c r="O46" i="4"/>
  <c r="P46" i="4"/>
  <c r="Q46" i="4"/>
  <c r="R46" i="4"/>
  <c r="S46" i="4"/>
  <c r="T46" i="4"/>
  <c r="U46" i="4"/>
  <c r="V46" i="4"/>
  <c r="W46" i="4"/>
  <c r="X46" i="4"/>
  <c r="Y46" i="4"/>
  <c r="Z46" i="4"/>
  <c r="AA46" i="4"/>
  <c r="AB46" i="4"/>
  <c r="AC46" i="4"/>
  <c r="AD46" i="4"/>
  <c r="AE46" i="4"/>
  <c r="AF46" i="4"/>
  <c r="AG46" i="4"/>
  <c r="AH46" i="4"/>
  <c r="AI46" i="4"/>
  <c r="AJ46" i="4"/>
  <c r="AK46" i="4"/>
  <c r="AL46" i="4"/>
  <c r="AM46" i="4"/>
  <c r="AN46" i="4"/>
  <c r="AO46" i="4"/>
  <c r="AP46" i="4"/>
  <c r="E47" i="4"/>
  <c r="F47" i="4"/>
  <c r="G47" i="4"/>
  <c r="H47" i="4"/>
  <c r="I47" i="4"/>
  <c r="J47" i="4"/>
  <c r="K47" i="4"/>
  <c r="L47" i="4"/>
  <c r="M47" i="4"/>
  <c r="N47" i="4"/>
  <c r="O47" i="4"/>
  <c r="P47" i="4"/>
  <c r="P71" i="4" s="1"/>
  <c r="Q47" i="4"/>
  <c r="R47" i="4"/>
  <c r="S47" i="4"/>
  <c r="T47" i="4"/>
  <c r="U47" i="4"/>
  <c r="V47" i="4"/>
  <c r="W47" i="4"/>
  <c r="X47" i="4"/>
  <c r="Y47" i="4"/>
  <c r="Y71" i="4" s="1"/>
  <c r="Z47" i="4"/>
  <c r="AA47" i="4"/>
  <c r="AB47" i="4"/>
  <c r="AC47" i="4"/>
  <c r="AD47" i="4"/>
  <c r="AE47" i="4"/>
  <c r="AF47" i="4"/>
  <c r="AG47" i="4"/>
  <c r="AH47" i="4"/>
  <c r="AI47" i="4"/>
  <c r="AI71" i="4" s="1"/>
  <c r="AJ47" i="4"/>
  <c r="AK47" i="4"/>
  <c r="AL47" i="4"/>
  <c r="AM47" i="4"/>
  <c r="AN47" i="4"/>
  <c r="AO47" i="4"/>
  <c r="AP47" i="4"/>
  <c r="E48" i="4"/>
  <c r="F48" i="4"/>
  <c r="G48" i="4"/>
  <c r="H48" i="4"/>
  <c r="I48" i="4"/>
  <c r="J48" i="4"/>
  <c r="K48" i="4"/>
  <c r="L48" i="4"/>
  <c r="M48" i="4"/>
  <c r="N48" i="4"/>
  <c r="O48" i="4"/>
  <c r="P48" i="4"/>
  <c r="Q48" i="4"/>
  <c r="R48" i="4"/>
  <c r="S48" i="4"/>
  <c r="T48" i="4"/>
  <c r="U48" i="4"/>
  <c r="V48" i="4"/>
  <c r="W48" i="4"/>
  <c r="X48" i="4"/>
  <c r="Y48" i="4"/>
  <c r="Z48" i="4"/>
  <c r="AA48" i="4"/>
  <c r="AB48" i="4"/>
  <c r="AC48" i="4"/>
  <c r="AD48" i="4"/>
  <c r="AE48" i="4"/>
  <c r="AF48" i="4"/>
  <c r="AG48" i="4"/>
  <c r="AH48" i="4"/>
  <c r="AI48" i="4"/>
  <c r="AJ48" i="4"/>
  <c r="AK48" i="4"/>
  <c r="AL48" i="4"/>
  <c r="AM48" i="4"/>
  <c r="AN48" i="4"/>
  <c r="AO48" i="4"/>
  <c r="AP48" i="4"/>
  <c r="E49" i="4"/>
  <c r="F49" i="4"/>
  <c r="G49" i="4"/>
  <c r="H49" i="4"/>
  <c r="I49" i="4"/>
  <c r="J49" i="4"/>
  <c r="K49" i="4"/>
  <c r="L49" i="4"/>
  <c r="M49" i="4"/>
  <c r="N49" i="4"/>
  <c r="O49" i="4"/>
  <c r="P49" i="4"/>
  <c r="Q49" i="4"/>
  <c r="R49" i="4"/>
  <c r="S49" i="4"/>
  <c r="T49" i="4"/>
  <c r="U49" i="4"/>
  <c r="V49" i="4"/>
  <c r="W49" i="4"/>
  <c r="X49" i="4"/>
  <c r="Y49" i="4"/>
  <c r="Z49" i="4"/>
  <c r="AA49" i="4"/>
  <c r="AB49" i="4"/>
  <c r="AC49" i="4"/>
  <c r="AD49" i="4"/>
  <c r="AE49" i="4"/>
  <c r="AF49" i="4"/>
  <c r="AG49" i="4"/>
  <c r="AH49" i="4"/>
  <c r="AI49" i="4"/>
  <c r="AJ49" i="4"/>
  <c r="AK49" i="4"/>
  <c r="AL49" i="4"/>
  <c r="AM49" i="4"/>
  <c r="AN49" i="4"/>
  <c r="AO49" i="4"/>
  <c r="AP49" i="4"/>
  <c r="E50" i="4"/>
  <c r="F50" i="4"/>
  <c r="G50" i="4"/>
  <c r="H50" i="4"/>
  <c r="I50" i="4"/>
  <c r="J50" i="4"/>
  <c r="K50" i="4"/>
  <c r="L50" i="4"/>
  <c r="M50" i="4"/>
  <c r="N50" i="4"/>
  <c r="O50" i="4"/>
  <c r="P50" i="4"/>
  <c r="P72" i="4" s="1"/>
  <c r="Q50" i="4"/>
  <c r="R50" i="4"/>
  <c r="S50" i="4"/>
  <c r="T50" i="4"/>
  <c r="U50" i="4"/>
  <c r="V50" i="4"/>
  <c r="W50" i="4"/>
  <c r="X50" i="4"/>
  <c r="Y50" i="4"/>
  <c r="Y72" i="4" s="1"/>
  <c r="Z50" i="4"/>
  <c r="AA50" i="4"/>
  <c r="AB50" i="4"/>
  <c r="AC50" i="4"/>
  <c r="AD50" i="4"/>
  <c r="AE50" i="4"/>
  <c r="AF50" i="4"/>
  <c r="AG50" i="4"/>
  <c r="AH50" i="4"/>
  <c r="AI50" i="4"/>
  <c r="AJ50" i="4"/>
  <c r="AK50" i="4"/>
  <c r="AL50" i="4"/>
  <c r="AM50" i="4"/>
  <c r="AN50" i="4"/>
  <c r="AO50" i="4"/>
  <c r="AP50" i="4"/>
  <c r="E51" i="4"/>
  <c r="F51" i="4"/>
  <c r="G51" i="4"/>
  <c r="H51" i="4"/>
  <c r="I51" i="4"/>
  <c r="J51" i="4"/>
  <c r="K51" i="4"/>
  <c r="L51" i="4"/>
  <c r="M51" i="4"/>
  <c r="N51" i="4"/>
  <c r="O51" i="4"/>
  <c r="P51" i="4"/>
  <c r="Q51" i="4"/>
  <c r="R51" i="4"/>
  <c r="S51" i="4"/>
  <c r="T51" i="4"/>
  <c r="U51" i="4"/>
  <c r="V51" i="4"/>
  <c r="W51" i="4"/>
  <c r="X51" i="4"/>
  <c r="Y51" i="4"/>
  <c r="Z51" i="4"/>
  <c r="AA51" i="4"/>
  <c r="AB51" i="4"/>
  <c r="AC51" i="4"/>
  <c r="AD51" i="4"/>
  <c r="AE51" i="4"/>
  <c r="AF51" i="4"/>
  <c r="AG51" i="4"/>
  <c r="AH51" i="4"/>
  <c r="AI51" i="4"/>
  <c r="AJ51" i="4"/>
  <c r="AK51" i="4"/>
  <c r="AL51" i="4"/>
  <c r="AM51" i="4"/>
  <c r="AN51" i="4"/>
  <c r="AO51" i="4"/>
  <c r="AP51" i="4"/>
  <c r="E52" i="4"/>
  <c r="F52" i="4"/>
  <c r="G52" i="4"/>
  <c r="H52" i="4"/>
  <c r="I52" i="4"/>
  <c r="J52" i="4"/>
  <c r="K52" i="4"/>
  <c r="L52" i="4"/>
  <c r="M52" i="4"/>
  <c r="N52" i="4"/>
  <c r="O52" i="4"/>
  <c r="P52" i="4"/>
  <c r="Q52" i="4"/>
  <c r="R52" i="4"/>
  <c r="S52" i="4"/>
  <c r="T52" i="4"/>
  <c r="U52" i="4"/>
  <c r="V52" i="4"/>
  <c r="W52" i="4"/>
  <c r="X52" i="4"/>
  <c r="Y52" i="4"/>
  <c r="Z52" i="4"/>
  <c r="AA52" i="4"/>
  <c r="AB52" i="4"/>
  <c r="AC52" i="4"/>
  <c r="AD52" i="4"/>
  <c r="AE52" i="4"/>
  <c r="AF52" i="4"/>
  <c r="AG52" i="4"/>
  <c r="AH52" i="4"/>
  <c r="AI52" i="4"/>
  <c r="AJ52" i="4"/>
  <c r="AK52" i="4"/>
  <c r="AL52" i="4"/>
  <c r="AM52" i="4"/>
  <c r="AN52" i="4"/>
  <c r="AO52" i="4"/>
  <c r="AP52" i="4"/>
  <c r="E53" i="4"/>
  <c r="F53" i="4"/>
  <c r="G53" i="4"/>
  <c r="H53" i="4"/>
  <c r="I53" i="4"/>
  <c r="J53" i="4"/>
  <c r="K53" i="4"/>
  <c r="L53" i="4"/>
  <c r="M53" i="4"/>
  <c r="N53" i="4"/>
  <c r="O53" i="4"/>
  <c r="P53" i="4"/>
  <c r="Q53" i="4"/>
  <c r="R53" i="4"/>
  <c r="S53" i="4"/>
  <c r="T53" i="4"/>
  <c r="U53" i="4"/>
  <c r="V53" i="4"/>
  <c r="W53" i="4"/>
  <c r="X53" i="4"/>
  <c r="Y53" i="4"/>
  <c r="Y73" i="4" s="1"/>
  <c r="Z53" i="4"/>
  <c r="AA53" i="4"/>
  <c r="AB53" i="4"/>
  <c r="AC53" i="4"/>
  <c r="AD53" i="4"/>
  <c r="AE53" i="4"/>
  <c r="AF53" i="4"/>
  <c r="AG53" i="4"/>
  <c r="AH53" i="4"/>
  <c r="AI53" i="4"/>
  <c r="AI73" i="4" s="1"/>
  <c r="AJ53" i="4"/>
  <c r="AK53" i="4"/>
  <c r="AL53" i="4"/>
  <c r="AM53" i="4"/>
  <c r="AN53" i="4"/>
  <c r="AO53" i="4"/>
  <c r="AP53" i="4"/>
  <c r="E54" i="4"/>
  <c r="F54" i="4"/>
  <c r="G54" i="4"/>
  <c r="H54" i="4"/>
  <c r="I54" i="4"/>
  <c r="J54" i="4"/>
  <c r="K54" i="4"/>
  <c r="L54" i="4"/>
  <c r="M54" i="4"/>
  <c r="N54" i="4"/>
  <c r="O54" i="4"/>
  <c r="P54" i="4"/>
  <c r="Q54" i="4"/>
  <c r="R54" i="4"/>
  <c r="S54" i="4"/>
  <c r="T54" i="4"/>
  <c r="T73" i="4" s="1"/>
  <c r="U54" i="4"/>
  <c r="V54" i="4"/>
  <c r="W54" i="4"/>
  <c r="X54" i="4"/>
  <c r="Y54" i="4"/>
  <c r="Z54" i="4"/>
  <c r="AA54" i="4"/>
  <c r="AB54" i="4"/>
  <c r="AC54" i="4"/>
  <c r="AD54" i="4"/>
  <c r="AE54" i="4"/>
  <c r="AF54" i="4"/>
  <c r="AG54" i="4"/>
  <c r="AH54" i="4"/>
  <c r="AI54" i="4"/>
  <c r="AJ54" i="4"/>
  <c r="AK54" i="4"/>
  <c r="AL54" i="4"/>
  <c r="AM54" i="4"/>
  <c r="AN54" i="4"/>
  <c r="AO54" i="4"/>
  <c r="AP54" i="4"/>
  <c r="E55" i="4"/>
  <c r="F55" i="4"/>
  <c r="G55" i="4"/>
  <c r="H55" i="4"/>
  <c r="I55" i="4"/>
  <c r="J55" i="4"/>
  <c r="K55" i="4"/>
  <c r="L55" i="4"/>
  <c r="M55" i="4"/>
  <c r="N55" i="4"/>
  <c r="O55" i="4"/>
  <c r="P55" i="4"/>
  <c r="Q55" i="4"/>
  <c r="R55" i="4"/>
  <c r="S55" i="4"/>
  <c r="T55" i="4"/>
  <c r="U55" i="4"/>
  <c r="V55" i="4"/>
  <c r="W55" i="4"/>
  <c r="X55" i="4"/>
  <c r="Y55" i="4"/>
  <c r="Z55" i="4"/>
  <c r="AA55" i="4"/>
  <c r="AB55" i="4"/>
  <c r="AC55" i="4"/>
  <c r="AD55" i="4"/>
  <c r="AE55" i="4"/>
  <c r="AF55" i="4"/>
  <c r="AG55" i="4"/>
  <c r="AH55" i="4"/>
  <c r="AI55" i="4"/>
  <c r="AJ55" i="4"/>
  <c r="AK55" i="4"/>
  <c r="AL55" i="4"/>
  <c r="AM55" i="4"/>
  <c r="AN55" i="4"/>
  <c r="AO55" i="4"/>
  <c r="AP55" i="4"/>
  <c r="E56" i="4"/>
  <c r="F56" i="4"/>
  <c r="G56" i="4"/>
  <c r="H56" i="4"/>
  <c r="I56" i="4"/>
  <c r="J56" i="4"/>
  <c r="K56" i="4"/>
  <c r="L56" i="4"/>
  <c r="M56" i="4"/>
  <c r="N56" i="4"/>
  <c r="N74" i="4" s="1"/>
  <c r="O56" i="4"/>
  <c r="P56" i="4"/>
  <c r="P74" i="4" s="1"/>
  <c r="Q56" i="4"/>
  <c r="R56" i="4"/>
  <c r="R74" i="4" s="1"/>
  <c r="S56" i="4"/>
  <c r="T56" i="4"/>
  <c r="U56" i="4"/>
  <c r="V56" i="4"/>
  <c r="W56" i="4"/>
  <c r="X56" i="4"/>
  <c r="Y56" i="4"/>
  <c r="Y74" i="4" s="1"/>
  <c r="Z56" i="4"/>
  <c r="AA56" i="4"/>
  <c r="AB56" i="4"/>
  <c r="AC56" i="4"/>
  <c r="AD56" i="4"/>
  <c r="AE56" i="4"/>
  <c r="AF56" i="4"/>
  <c r="AG56" i="4"/>
  <c r="AH56" i="4"/>
  <c r="AI56" i="4"/>
  <c r="AI74" i="4" s="1"/>
  <c r="AJ56" i="4"/>
  <c r="AK56" i="4"/>
  <c r="AK74" i="4" s="1"/>
  <c r="AL56" i="4"/>
  <c r="AM56" i="4"/>
  <c r="AN56" i="4"/>
  <c r="AO56" i="4"/>
  <c r="AP56" i="4"/>
  <c r="E57" i="4"/>
  <c r="F57" i="4"/>
  <c r="G57" i="4"/>
  <c r="H57" i="4"/>
  <c r="I57" i="4"/>
  <c r="J57" i="4"/>
  <c r="K57" i="4"/>
  <c r="L57" i="4"/>
  <c r="M57" i="4"/>
  <c r="N57" i="4"/>
  <c r="O57" i="4"/>
  <c r="P57" i="4"/>
  <c r="Q57" i="4"/>
  <c r="R57" i="4"/>
  <c r="S57" i="4"/>
  <c r="T57" i="4"/>
  <c r="U57" i="4"/>
  <c r="V57" i="4"/>
  <c r="W57" i="4"/>
  <c r="X57" i="4"/>
  <c r="Y57" i="4"/>
  <c r="Z57" i="4"/>
  <c r="AA57" i="4"/>
  <c r="AB57" i="4"/>
  <c r="AC57" i="4"/>
  <c r="AD57" i="4"/>
  <c r="AE57" i="4"/>
  <c r="AF57" i="4"/>
  <c r="AG57" i="4"/>
  <c r="AH57" i="4"/>
  <c r="AI57" i="4"/>
  <c r="AJ57" i="4"/>
  <c r="AK57" i="4"/>
  <c r="AL57" i="4"/>
  <c r="AM57" i="4"/>
  <c r="AN57" i="4"/>
  <c r="AO57" i="4"/>
  <c r="AP57" i="4"/>
  <c r="E58" i="4"/>
  <c r="F58" i="4"/>
  <c r="G58" i="4"/>
  <c r="H58" i="4"/>
  <c r="I58" i="4"/>
  <c r="J58" i="4"/>
  <c r="K58" i="4"/>
  <c r="L58" i="4"/>
  <c r="M58" i="4"/>
  <c r="N58" i="4"/>
  <c r="O58" i="4"/>
  <c r="P58" i="4"/>
  <c r="Q58" i="4"/>
  <c r="R58" i="4"/>
  <c r="S58" i="4"/>
  <c r="T58" i="4"/>
  <c r="U58" i="4"/>
  <c r="V58" i="4"/>
  <c r="W58" i="4"/>
  <c r="X58" i="4"/>
  <c r="Y58" i="4"/>
  <c r="Z58" i="4"/>
  <c r="AA58" i="4"/>
  <c r="AB58" i="4"/>
  <c r="AC58" i="4"/>
  <c r="AD58" i="4"/>
  <c r="AE58" i="4"/>
  <c r="AF58" i="4"/>
  <c r="AG58" i="4"/>
  <c r="AH58" i="4"/>
  <c r="AI58" i="4"/>
  <c r="AJ58" i="4"/>
  <c r="AK58" i="4"/>
  <c r="AL58" i="4"/>
  <c r="AM58" i="4"/>
  <c r="AN58" i="4"/>
  <c r="AO58" i="4"/>
  <c r="AP58" i="4"/>
  <c r="E59" i="4"/>
  <c r="F59" i="4"/>
  <c r="G59" i="4"/>
  <c r="H59" i="4"/>
  <c r="I59" i="4"/>
  <c r="J59" i="4"/>
  <c r="K59" i="4"/>
  <c r="L59" i="4"/>
  <c r="M59" i="4"/>
  <c r="N59" i="4"/>
  <c r="O59" i="4"/>
  <c r="P59" i="4"/>
  <c r="Q59" i="4"/>
  <c r="R59" i="4"/>
  <c r="S59" i="4"/>
  <c r="T59" i="4"/>
  <c r="U59" i="4"/>
  <c r="V59" i="4"/>
  <c r="W59" i="4"/>
  <c r="X59" i="4"/>
  <c r="Y59" i="4"/>
  <c r="Z59" i="4"/>
  <c r="AA59" i="4"/>
  <c r="AB59" i="4"/>
  <c r="AC59" i="4"/>
  <c r="AD59" i="4"/>
  <c r="AE59" i="4"/>
  <c r="AF59" i="4"/>
  <c r="AG59" i="4"/>
  <c r="AH59" i="4"/>
  <c r="AI59" i="4"/>
  <c r="AJ59" i="4"/>
  <c r="AK59" i="4"/>
  <c r="AL59" i="4"/>
  <c r="AM59" i="4"/>
  <c r="AN59" i="4"/>
  <c r="AO59" i="4"/>
  <c r="AP59" i="4"/>
  <c r="E60" i="4"/>
  <c r="F60" i="4"/>
  <c r="G60" i="4"/>
  <c r="H60" i="4"/>
  <c r="I60" i="4"/>
  <c r="J60" i="4"/>
  <c r="K60" i="4"/>
  <c r="L60" i="4"/>
  <c r="M60" i="4"/>
  <c r="N60" i="4"/>
  <c r="O60" i="4"/>
  <c r="P60" i="4"/>
  <c r="Q60" i="4"/>
  <c r="R60" i="4"/>
  <c r="S60" i="4"/>
  <c r="T60" i="4"/>
  <c r="U60" i="4"/>
  <c r="V60" i="4"/>
  <c r="W60" i="4"/>
  <c r="X60" i="4"/>
  <c r="Y60" i="4"/>
  <c r="Z60" i="4"/>
  <c r="AA60" i="4"/>
  <c r="AB60" i="4"/>
  <c r="AC60" i="4"/>
  <c r="AD60" i="4"/>
  <c r="AE60" i="4"/>
  <c r="AF60" i="4"/>
  <c r="AG60" i="4"/>
  <c r="AH60" i="4"/>
  <c r="AI60" i="4"/>
  <c r="AJ60" i="4"/>
  <c r="AK60" i="4"/>
  <c r="AL60" i="4"/>
  <c r="AM60" i="4"/>
  <c r="AN60" i="4"/>
  <c r="AO60" i="4"/>
  <c r="AP60" i="4"/>
  <c r="E61" i="4"/>
  <c r="F61" i="4"/>
  <c r="G61" i="4"/>
  <c r="H61" i="4"/>
  <c r="I61" i="4"/>
  <c r="J61" i="4"/>
  <c r="K61" i="4"/>
  <c r="L61" i="4"/>
  <c r="M61" i="4"/>
  <c r="N61" i="4"/>
  <c r="O61" i="4"/>
  <c r="P61" i="4"/>
  <c r="Q61" i="4"/>
  <c r="R61" i="4"/>
  <c r="S61" i="4"/>
  <c r="T61" i="4"/>
  <c r="U61" i="4"/>
  <c r="V61" i="4"/>
  <c r="W61" i="4"/>
  <c r="X61" i="4"/>
  <c r="Y61" i="4"/>
  <c r="Z61" i="4"/>
  <c r="AA61" i="4"/>
  <c r="AB61" i="4"/>
  <c r="AC61" i="4"/>
  <c r="AD61" i="4"/>
  <c r="AE61" i="4"/>
  <c r="AF61" i="4"/>
  <c r="AG61" i="4"/>
  <c r="AH61" i="4"/>
  <c r="AI61" i="4"/>
  <c r="AJ61" i="4"/>
  <c r="AK61" i="4"/>
  <c r="AL61" i="4"/>
  <c r="AM61" i="4"/>
  <c r="AN61" i="4"/>
  <c r="AO61" i="4"/>
  <c r="AP61" i="4"/>
  <c r="E62" i="4"/>
  <c r="F62" i="4"/>
  <c r="G62" i="4"/>
  <c r="H62" i="4"/>
  <c r="I62" i="4"/>
  <c r="J62" i="4"/>
  <c r="K62" i="4"/>
  <c r="L62" i="4"/>
  <c r="M62" i="4"/>
  <c r="N62" i="4"/>
  <c r="O62" i="4"/>
  <c r="P62" i="4"/>
  <c r="P76" i="4" s="1"/>
  <c r="Q62" i="4"/>
  <c r="R62" i="4"/>
  <c r="S62" i="4"/>
  <c r="T62" i="4"/>
  <c r="U62" i="4"/>
  <c r="V62" i="4"/>
  <c r="W62" i="4"/>
  <c r="X62" i="4"/>
  <c r="Y62" i="4"/>
  <c r="Y76" i="4" s="1"/>
  <c r="Z62" i="4"/>
  <c r="AA62" i="4"/>
  <c r="AB62" i="4"/>
  <c r="AC62" i="4"/>
  <c r="AD62" i="4"/>
  <c r="AE62" i="4"/>
  <c r="AF62" i="4"/>
  <c r="AG62" i="4"/>
  <c r="AH62" i="4"/>
  <c r="AI62" i="4"/>
  <c r="AJ62" i="4"/>
  <c r="AK62" i="4"/>
  <c r="AL62" i="4"/>
  <c r="AM62" i="4"/>
  <c r="AN62" i="4"/>
  <c r="AO62" i="4"/>
  <c r="AP62" i="4"/>
  <c r="E63" i="4"/>
  <c r="F63" i="4"/>
  <c r="G63" i="4"/>
  <c r="H63" i="4"/>
  <c r="I63" i="4"/>
  <c r="J63" i="4"/>
  <c r="K63" i="4"/>
  <c r="L63" i="4"/>
  <c r="M63" i="4"/>
  <c r="N63" i="4"/>
  <c r="O63" i="4"/>
  <c r="P63" i="4"/>
  <c r="Q63" i="4"/>
  <c r="R63" i="4"/>
  <c r="S63" i="4"/>
  <c r="T63" i="4"/>
  <c r="U63" i="4"/>
  <c r="V63" i="4"/>
  <c r="W63" i="4"/>
  <c r="X63" i="4"/>
  <c r="Y63" i="4"/>
  <c r="Z63" i="4"/>
  <c r="AA63" i="4"/>
  <c r="AB63" i="4"/>
  <c r="AC63" i="4"/>
  <c r="AD63" i="4"/>
  <c r="AE63" i="4"/>
  <c r="AF63" i="4"/>
  <c r="AG63" i="4"/>
  <c r="AH63" i="4"/>
  <c r="AI63" i="4"/>
  <c r="AJ63" i="4"/>
  <c r="AK63" i="4"/>
  <c r="AL63" i="4"/>
  <c r="AM63" i="4"/>
  <c r="AN63" i="4"/>
  <c r="AO63" i="4"/>
  <c r="AP63" i="4"/>
  <c r="E64" i="4"/>
  <c r="F64" i="4"/>
  <c r="G64" i="4"/>
  <c r="H64" i="4"/>
  <c r="I64" i="4"/>
  <c r="J64" i="4"/>
  <c r="K64" i="4"/>
  <c r="L64" i="4"/>
  <c r="M64" i="4"/>
  <c r="N64" i="4"/>
  <c r="O64" i="4"/>
  <c r="P64" i="4"/>
  <c r="Q64" i="4"/>
  <c r="R64" i="4"/>
  <c r="S64" i="4"/>
  <c r="T64" i="4"/>
  <c r="U64" i="4"/>
  <c r="V64" i="4"/>
  <c r="W64" i="4"/>
  <c r="X64" i="4"/>
  <c r="Y64" i="4"/>
  <c r="Z64" i="4"/>
  <c r="AA64" i="4"/>
  <c r="AB64" i="4"/>
  <c r="AB76" i="4" s="1"/>
  <c r="AC64" i="4"/>
  <c r="AD64" i="4"/>
  <c r="AE64" i="4"/>
  <c r="AF64" i="4"/>
  <c r="AG64" i="4"/>
  <c r="AH64" i="4"/>
  <c r="AI64" i="4"/>
  <c r="AJ64" i="4"/>
  <c r="AK64" i="4"/>
  <c r="AL64" i="4"/>
  <c r="AM64" i="4"/>
  <c r="AN64" i="4"/>
  <c r="AO64" i="4"/>
  <c r="AP64" i="4"/>
  <c r="AQ67" i="4"/>
  <c r="AR67" i="4"/>
  <c r="AS67" i="4"/>
  <c r="AQ68" i="4"/>
  <c r="AR68" i="4"/>
  <c r="AS68" i="4"/>
  <c r="AS66" i="4"/>
  <c r="AR66" i="4"/>
  <c r="AQ66" i="4"/>
  <c r="AI72" i="4"/>
  <c r="P73" i="4"/>
  <c r="D64" i="4"/>
  <c r="D63" i="4"/>
  <c r="D62" i="4"/>
  <c r="D61" i="4"/>
  <c r="D60" i="4"/>
  <c r="D59" i="4"/>
  <c r="D58" i="4"/>
  <c r="D57" i="4"/>
  <c r="D56" i="4"/>
  <c r="D55" i="4"/>
  <c r="D54" i="4"/>
  <c r="D53" i="4"/>
  <c r="D52" i="4"/>
  <c r="D51" i="4"/>
  <c r="D50" i="4"/>
  <c r="D49" i="4"/>
  <c r="D48" i="4"/>
  <c r="D47" i="4"/>
  <c r="D45" i="4"/>
  <c r="D44" i="4"/>
  <c r="D46" i="4"/>
  <c r="E41" i="4"/>
  <c r="AQ3" i="4"/>
  <c r="AR3" i="4"/>
  <c r="AS3" i="4"/>
  <c r="AQ5" i="4"/>
  <c r="AR5" i="4"/>
  <c r="AS5" i="4"/>
  <c r="AQ6" i="4"/>
  <c r="AR6" i="4"/>
  <c r="AS6" i="4"/>
  <c r="AQ7" i="4"/>
  <c r="AR7" i="4"/>
  <c r="AS7" i="4"/>
  <c r="AQ8" i="4"/>
  <c r="AQ47" i="4" s="1"/>
  <c r="AR8" i="4"/>
  <c r="AR47" i="4" s="1"/>
  <c r="AS8" i="4"/>
  <c r="AQ9" i="4"/>
  <c r="AR9" i="4"/>
  <c r="AS9" i="4"/>
  <c r="AQ10" i="4"/>
  <c r="AR10" i="4"/>
  <c r="AS10" i="4"/>
  <c r="AQ11" i="4"/>
  <c r="AR11" i="4"/>
  <c r="AS11" i="4"/>
  <c r="AQ12" i="4"/>
  <c r="AQ50" i="4" s="1"/>
  <c r="AR12" i="4"/>
  <c r="AR50" i="4" s="1"/>
  <c r="AS12" i="4"/>
  <c r="AQ13" i="4"/>
  <c r="AR13" i="4"/>
  <c r="AS13" i="4"/>
  <c r="AQ14" i="4"/>
  <c r="AR14" i="4"/>
  <c r="AS14" i="4"/>
  <c r="AQ15" i="4"/>
  <c r="AR15" i="4"/>
  <c r="AS15" i="4"/>
  <c r="AQ16" i="4"/>
  <c r="AQ53" i="4" s="1"/>
  <c r="AR16" i="4"/>
  <c r="AR53" i="4" s="1"/>
  <c r="AS16" i="4"/>
  <c r="AQ17" i="4"/>
  <c r="AR17" i="4"/>
  <c r="AS17" i="4"/>
  <c r="AQ18" i="4"/>
  <c r="AR18" i="4"/>
  <c r="AS18" i="4"/>
  <c r="AS55" i="4" s="1"/>
  <c r="AQ19" i="4"/>
  <c r="AR19" i="4"/>
  <c r="AS19" i="4"/>
  <c r="AQ20" i="4"/>
  <c r="AQ56" i="4" s="1"/>
  <c r="AR20" i="4"/>
  <c r="AR56" i="4" s="1"/>
  <c r="AS20" i="4"/>
  <c r="AQ21" i="4"/>
  <c r="AR21" i="4"/>
  <c r="AS21" i="4"/>
  <c r="AQ22" i="4"/>
  <c r="AR22" i="4"/>
  <c r="AS22" i="4"/>
  <c r="AQ23" i="4"/>
  <c r="AR23" i="4"/>
  <c r="AS23" i="4"/>
  <c r="AQ24" i="4"/>
  <c r="AQ59" i="4" s="1"/>
  <c r="AR24" i="4"/>
  <c r="AR59" i="4" s="1"/>
  <c r="AS24" i="4"/>
  <c r="AQ25" i="4"/>
  <c r="AR25" i="4"/>
  <c r="AS25" i="4"/>
  <c r="AQ26" i="4"/>
  <c r="AR26" i="4"/>
  <c r="AS26" i="4"/>
  <c r="AQ27" i="4"/>
  <c r="AR27" i="4"/>
  <c r="AS27" i="4"/>
  <c r="AQ28" i="4"/>
  <c r="AQ62" i="4" s="1"/>
  <c r="AR28" i="4"/>
  <c r="AR62" i="4" s="1"/>
  <c r="AS28" i="4"/>
  <c r="AQ29" i="4"/>
  <c r="AR29" i="4"/>
  <c r="AS29" i="4"/>
  <c r="AQ30" i="4"/>
  <c r="AR30" i="4"/>
  <c r="AS30" i="4"/>
  <c r="AS64" i="4" s="1"/>
  <c r="AQ4" i="4"/>
  <c r="AQ44" i="4" s="1"/>
  <c r="AS4" i="4"/>
  <c r="AR4" i="4"/>
  <c r="AR44" i="4" s="1"/>
  <c r="AW75" i="4"/>
  <c r="AD54" i="1"/>
  <c r="AD47" i="1"/>
  <c r="K72" i="1"/>
  <c r="K71" i="1"/>
  <c r="O34" i="9"/>
  <c r="Q34" i="9"/>
  <c r="R34" i="9"/>
  <c r="T34" i="9"/>
  <c r="N36" i="9"/>
  <c r="N37" i="9"/>
  <c r="N38" i="9"/>
  <c r="N39" i="9"/>
  <c r="N40" i="9"/>
  <c r="N41" i="9"/>
  <c r="Q41" i="9"/>
  <c r="N42" i="9"/>
  <c r="N43" i="9"/>
  <c r="N44" i="9"/>
  <c r="N45" i="9"/>
  <c r="N46" i="9"/>
  <c r="L22" i="9"/>
  <c r="L4" i="9"/>
  <c r="L5" i="9"/>
  <c r="L6" i="9"/>
  <c r="L7" i="9"/>
  <c r="L8" i="9"/>
  <c r="S9" i="9"/>
  <c r="P42" i="9" s="1"/>
  <c r="L9" i="9"/>
  <c r="L10" i="9"/>
  <c r="L11" i="9"/>
  <c r="S12" i="9"/>
  <c r="P45" i="9" s="1"/>
  <c r="L12" i="9"/>
  <c r="L13" i="9"/>
  <c r="L14" i="9"/>
  <c r="L15" i="9"/>
  <c r="U5" i="9"/>
  <c r="S38" i="9" s="1"/>
  <c r="L16" i="9"/>
  <c r="L17" i="9"/>
  <c r="L18" i="9"/>
  <c r="L19" i="9"/>
  <c r="U9" i="9"/>
  <c r="S42" i="9" s="1"/>
  <c r="L20" i="9"/>
  <c r="L21" i="9"/>
  <c r="L23" i="9"/>
  <c r="L24" i="9"/>
  <c r="L25" i="9"/>
  <c r="L26" i="9"/>
  <c r="L27" i="9"/>
  <c r="L28" i="9"/>
  <c r="L29" i="9"/>
  <c r="L30" i="9"/>
  <c r="L31" i="9"/>
  <c r="L32" i="9"/>
  <c r="L33" i="9"/>
  <c r="L34" i="9"/>
  <c r="L35" i="9"/>
  <c r="V8" i="9"/>
  <c r="U41" i="9" s="1"/>
  <c r="L36" i="9"/>
  <c r="L37" i="9"/>
  <c r="L38" i="9"/>
  <c r="L39" i="9"/>
  <c r="V12" i="9"/>
  <c r="U45" i="9" s="1"/>
  <c r="L40" i="9"/>
  <c r="L3" i="9"/>
  <c r="CC59" i="16"/>
  <c r="AS16" i="21"/>
  <c r="J15" i="8"/>
  <c r="O15" i="8"/>
  <c r="N3" i="9"/>
  <c r="O36" i="9" s="1"/>
  <c r="G3" i="9"/>
  <c r="G4" i="9"/>
  <c r="G5" i="9"/>
  <c r="G6" i="9"/>
  <c r="Y71" i="1"/>
  <c r="Z71" i="1"/>
  <c r="AA71" i="1"/>
  <c r="AB71" i="1"/>
  <c r="AC71" i="1"/>
  <c r="AD71" i="1"/>
  <c r="AE71" i="1"/>
  <c r="AF71" i="1"/>
  <c r="AG71" i="1"/>
  <c r="AH71" i="1"/>
  <c r="AI71" i="1"/>
  <c r="AJ71" i="1"/>
  <c r="AK71" i="1"/>
  <c r="AL71" i="1"/>
  <c r="AM71" i="1"/>
  <c r="AN71" i="1"/>
  <c r="AO71" i="1"/>
  <c r="Y72" i="1"/>
  <c r="Z72" i="1"/>
  <c r="AA72" i="1"/>
  <c r="AB72" i="1"/>
  <c r="AC72" i="1"/>
  <c r="AD72" i="1"/>
  <c r="AE72" i="1"/>
  <c r="AF72" i="1"/>
  <c r="AG72" i="1"/>
  <c r="AH72" i="1"/>
  <c r="AI72" i="1"/>
  <c r="AJ72" i="1"/>
  <c r="AK72" i="1"/>
  <c r="AL72" i="1"/>
  <c r="AM72" i="1"/>
  <c r="AN72" i="1"/>
  <c r="AO72" i="1"/>
  <c r="Y73" i="1"/>
  <c r="Z73" i="1"/>
  <c r="AA73" i="1"/>
  <c r="AB73" i="1"/>
  <c r="AC73" i="1"/>
  <c r="AD73" i="1"/>
  <c r="AE73" i="1"/>
  <c r="AF73" i="1"/>
  <c r="AG73" i="1"/>
  <c r="AH73" i="1"/>
  <c r="AI73" i="1"/>
  <c r="AJ73" i="1"/>
  <c r="AK73" i="1"/>
  <c r="AL73" i="1"/>
  <c r="AM73" i="1"/>
  <c r="AN73" i="1"/>
  <c r="AO73" i="1"/>
  <c r="Y74" i="1"/>
  <c r="Z74" i="1"/>
  <c r="AA74" i="1"/>
  <c r="AB74" i="1"/>
  <c r="AC74" i="1"/>
  <c r="AD74" i="1"/>
  <c r="AE74" i="1"/>
  <c r="AF74" i="1"/>
  <c r="AG74" i="1"/>
  <c r="AH74" i="1"/>
  <c r="AI74" i="1"/>
  <c r="AJ74" i="1"/>
  <c r="AK74" i="1"/>
  <c r="AL74" i="1"/>
  <c r="AM74" i="1"/>
  <c r="AN74" i="1"/>
  <c r="AO74" i="1"/>
  <c r="AC47" i="1"/>
  <c r="E71" i="1"/>
  <c r="F71" i="1"/>
  <c r="G71" i="1"/>
  <c r="H71" i="1"/>
  <c r="I71" i="1"/>
  <c r="J71" i="1"/>
  <c r="L71" i="1"/>
  <c r="M71" i="1"/>
  <c r="N71" i="1"/>
  <c r="O71" i="1"/>
  <c r="P71" i="1"/>
  <c r="Q71" i="1"/>
  <c r="R71" i="1"/>
  <c r="S71" i="1"/>
  <c r="T71" i="1"/>
  <c r="U71" i="1"/>
  <c r="V71" i="1"/>
  <c r="W71" i="1"/>
  <c r="X71" i="1"/>
  <c r="E72" i="1"/>
  <c r="F72" i="1"/>
  <c r="G72" i="1"/>
  <c r="H72" i="1"/>
  <c r="I72" i="1"/>
  <c r="J72" i="1"/>
  <c r="L72" i="1"/>
  <c r="M72" i="1"/>
  <c r="N72" i="1"/>
  <c r="O72" i="1"/>
  <c r="P72" i="1"/>
  <c r="Q72" i="1"/>
  <c r="R72" i="1"/>
  <c r="S72" i="1"/>
  <c r="T72" i="1"/>
  <c r="U72" i="1"/>
  <c r="V72" i="1"/>
  <c r="W72" i="1"/>
  <c r="X72" i="1"/>
  <c r="E73" i="1"/>
  <c r="F73" i="1"/>
  <c r="G73" i="1"/>
  <c r="H73" i="1"/>
  <c r="I73" i="1"/>
  <c r="J73" i="1"/>
  <c r="K73" i="1"/>
  <c r="L73" i="1"/>
  <c r="M73" i="1"/>
  <c r="N73" i="1"/>
  <c r="O73" i="1"/>
  <c r="P73" i="1"/>
  <c r="Q73" i="1"/>
  <c r="R73" i="1"/>
  <c r="S73" i="1"/>
  <c r="T73" i="1"/>
  <c r="U73" i="1"/>
  <c r="V73" i="1"/>
  <c r="W73" i="1"/>
  <c r="X73" i="1"/>
  <c r="E74" i="1"/>
  <c r="F74" i="1"/>
  <c r="G74" i="1"/>
  <c r="H74" i="1"/>
  <c r="I74" i="1"/>
  <c r="J74" i="1"/>
  <c r="K74" i="1"/>
  <c r="L74" i="1"/>
  <c r="M74" i="1"/>
  <c r="N74" i="1"/>
  <c r="O74" i="1"/>
  <c r="P74" i="1"/>
  <c r="Q74" i="1"/>
  <c r="R74" i="1"/>
  <c r="S74" i="1"/>
  <c r="T74" i="1"/>
  <c r="U74" i="1"/>
  <c r="V74" i="1"/>
  <c r="W74" i="1"/>
  <c r="X74" i="1"/>
  <c r="D71" i="1"/>
  <c r="L47" i="1"/>
  <c r="AP3" i="1"/>
  <c r="AP4" i="1"/>
  <c r="AP5"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P34" i="1"/>
  <c r="AP35" i="1"/>
  <c r="AP36" i="1"/>
  <c r="AP37" i="1"/>
  <c r="AP38" i="1"/>
  <c r="AP39" i="1"/>
  <c r="AP40" i="1"/>
  <c r="AP41" i="1"/>
  <c r="AP42" i="1"/>
  <c r="F45" i="18"/>
  <c r="B41" i="8"/>
  <c r="C41" i="8"/>
  <c r="D41" i="8"/>
  <c r="E41" i="8"/>
  <c r="AS4" i="1"/>
  <c r="AT4" i="1"/>
  <c r="AU4" i="1"/>
  <c r="AV4" i="1"/>
  <c r="AS5" i="1"/>
  <c r="AT5" i="1"/>
  <c r="AU5" i="1"/>
  <c r="AV5" i="1"/>
  <c r="AS6" i="1"/>
  <c r="AT6" i="1"/>
  <c r="AU6" i="1"/>
  <c r="AV6" i="1"/>
  <c r="AS7" i="1"/>
  <c r="AT7" i="1"/>
  <c r="AU7" i="1"/>
  <c r="AV7" i="1"/>
  <c r="AS8" i="1"/>
  <c r="AT8" i="1"/>
  <c r="AU8" i="1"/>
  <c r="AV8" i="1"/>
  <c r="AS9" i="1"/>
  <c r="AT9" i="1"/>
  <c r="AU9" i="1"/>
  <c r="AV9" i="1"/>
  <c r="AS10" i="1"/>
  <c r="AT10" i="1"/>
  <c r="AU10" i="1"/>
  <c r="AV10" i="1"/>
  <c r="AS11" i="1"/>
  <c r="AT11" i="1"/>
  <c r="AU11" i="1"/>
  <c r="AV11" i="1"/>
  <c r="AS12" i="1"/>
  <c r="AT12" i="1"/>
  <c r="AU12" i="1"/>
  <c r="AV12" i="1"/>
  <c r="AS13" i="1"/>
  <c r="AT13" i="1"/>
  <c r="AU13" i="1"/>
  <c r="AV13" i="1"/>
  <c r="AS14" i="1"/>
  <c r="AT14" i="1"/>
  <c r="AU14" i="1"/>
  <c r="AV14" i="1"/>
  <c r="AS15" i="1"/>
  <c r="AT15" i="1"/>
  <c r="AU15" i="1"/>
  <c r="AV15" i="1"/>
  <c r="AS16" i="1"/>
  <c r="AT16" i="1"/>
  <c r="AU16" i="1"/>
  <c r="AV16" i="1"/>
  <c r="AS17" i="1"/>
  <c r="AT17" i="1"/>
  <c r="AU17" i="1"/>
  <c r="AV17" i="1"/>
  <c r="AS18" i="1"/>
  <c r="AT18" i="1"/>
  <c r="AU18" i="1"/>
  <c r="AV18" i="1"/>
  <c r="AS19" i="1"/>
  <c r="AT19" i="1"/>
  <c r="AU19" i="1"/>
  <c r="AV19" i="1"/>
  <c r="AS20" i="1"/>
  <c r="AT20" i="1"/>
  <c r="AU20" i="1"/>
  <c r="AV20" i="1"/>
  <c r="AS21" i="1"/>
  <c r="AT21" i="1"/>
  <c r="AU21" i="1"/>
  <c r="AV21" i="1"/>
  <c r="AS22" i="1"/>
  <c r="AT22" i="1"/>
  <c r="AU22" i="1"/>
  <c r="AV22" i="1"/>
  <c r="AS23" i="1"/>
  <c r="AT23" i="1"/>
  <c r="AU23" i="1"/>
  <c r="AV23" i="1"/>
  <c r="AS24" i="1"/>
  <c r="AT24" i="1"/>
  <c r="AU24" i="1"/>
  <c r="AV24" i="1"/>
  <c r="AS25" i="1"/>
  <c r="AT25" i="1"/>
  <c r="AU25" i="1"/>
  <c r="AV25" i="1"/>
  <c r="AS26" i="1"/>
  <c r="AT26" i="1"/>
  <c r="AU26" i="1"/>
  <c r="AV26" i="1"/>
  <c r="AS27" i="1"/>
  <c r="AT27" i="1"/>
  <c r="AU27" i="1"/>
  <c r="AV27" i="1"/>
  <c r="AS28" i="1"/>
  <c r="AT28" i="1"/>
  <c r="AU28" i="1"/>
  <c r="AV28" i="1"/>
  <c r="AS29" i="1"/>
  <c r="AT29" i="1"/>
  <c r="AU29" i="1"/>
  <c r="AV29" i="1"/>
  <c r="AS30" i="1"/>
  <c r="AT30" i="1"/>
  <c r="AU30" i="1"/>
  <c r="AV30" i="1"/>
  <c r="AS31" i="1"/>
  <c r="AT31" i="1"/>
  <c r="AU31" i="1"/>
  <c r="AV31" i="1"/>
  <c r="AS32" i="1"/>
  <c r="AT32" i="1"/>
  <c r="AU32" i="1"/>
  <c r="AV32" i="1"/>
  <c r="AS33" i="1"/>
  <c r="AT33" i="1"/>
  <c r="AU33" i="1"/>
  <c r="AV33" i="1"/>
  <c r="AS34" i="1"/>
  <c r="AT34" i="1"/>
  <c r="AU34" i="1"/>
  <c r="AV34" i="1"/>
  <c r="AS35" i="1"/>
  <c r="AT35" i="1"/>
  <c r="AU35" i="1"/>
  <c r="AV35" i="1"/>
  <c r="AS36" i="1"/>
  <c r="AT36" i="1"/>
  <c r="AU36" i="1"/>
  <c r="AV36" i="1"/>
  <c r="AS37" i="1"/>
  <c r="AT37" i="1"/>
  <c r="AU37" i="1"/>
  <c r="AV37" i="1"/>
  <c r="AS38" i="1"/>
  <c r="AT38" i="1"/>
  <c r="AU38" i="1"/>
  <c r="AV38" i="1"/>
  <c r="AS39" i="1"/>
  <c r="AT39" i="1"/>
  <c r="AU39" i="1"/>
  <c r="AV39" i="1"/>
  <c r="AS40" i="1"/>
  <c r="AT40" i="1"/>
  <c r="AU40" i="1"/>
  <c r="AV40" i="1"/>
  <c r="AS41" i="1"/>
  <c r="AT41" i="1"/>
  <c r="AU41" i="1"/>
  <c r="AV41" i="1"/>
  <c r="AS42" i="1"/>
  <c r="AT42" i="1"/>
  <c r="AU42" i="1"/>
  <c r="AV42" i="1"/>
  <c r="AV3" i="1"/>
  <c r="AU3" i="1"/>
  <c r="AT3" i="1"/>
  <c r="AS3" i="1"/>
  <c r="AR32" i="21"/>
  <c r="AQ32" i="21"/>
  <c r="AP32" i="21"/>
  <c r="AR31" i="21"/>
  <c r="AQ31" i="21"/>
  <c r="AP31" i="21"/>
  <c r="AR30" i="21"/>
  <c r="AQ30" i="21"/>
  <c r="AP30" i="21"/>
  <c r="AR29" i="21"/>
  <c r="AQ29" i="21"/>
  <c r="AP29" i="21"/>
  <c r="AR28" i="21"/>
  <c r="AQ28" i="21"/>
  <c r="AP28" i="21"/>
  <c r="AR27" i="21"/>
  <c r="AQ27" i="21"/>
  <c r="AP27" i="21"/>
  <c r="AR26" i="21"/>
  <c r="AQ26" i="21"/>
  <c r="AP26" i="21"/>
  <c r="AR25" i="21"/>
  <c r="AQ25" i="21"/>
  <c r="AP25" i="21"/>
  <c r="AR24" i="21"/>
  <c r="AQ24" i="21"/>
  <c r="AP24" i="21"/>
  <c r="AR23" i="21"/>
  <c r="AQ23" i="21"/>
  <c r="AP23" i="21"/>
  <c r="AR22" i="21"/>
  <c r="AQ22" i="21"/>
  <c r="AP22" i="21"/>
  <c r="AR21" i="21"/>
  <c r="AQ21" i="21"/>
  <c r="AP21" i="21"/>
  <c r="AR20" i="21"/>
  <c r="AQ20" i="21"/>
  <c r="AP20" i="21"/>
  <c r="AR19" i="21"/>
  <c r="AQ19" i="21"/>
  <c r="AP19" i="21"/>
  <c r="AR18" i="21"/>
  <c r="AQ18" i="21"/>
  <c r="AP18" i="21"/>
  <c r="AR17" i="21"/>
  <c r="AQ17" i="21"/>
  <c r="AP17" i="21"/>
  <c r="AR16" i="21"/>
  <c r="AQ16" i="21"/>
  <c r="AP16" i="21"/>
  <c r="AR15" i="21"/>
  <c r="AQ15" i="21"/>
  <c r="AP15" i="21"/>
  <c r="AR14" i="21"/>
  <c r="AQ14" i="21"/>
  <c r="AP14" i="21"/>
  <c r="AR13" i="21"/>
  <c r="AQ13" i="21"/>
  <c r="AP13" i="21"/>
  <c r="AR12" i="21"/>
  <c r="AQ12" i="21"/>
  <c r="AP12" i="21"/>
  <c r="AR11" i="21"/>
  <c r="AQ11" i="21"/>
  <c r="AP11" i="21"/>
  <c r="AR10" i="21"/>
  <c r="AQ10" i="21"/>
  <c r="AP10" i="21"/>
  <c r="AR9" i="21"/>
  <c r="AQ9" i="21"/>
  <c r="AP9" i="21"/>
  <c r="AR8" i="21"/>
  <c r="AQ8" i="21"/>
  <c r="AP8" i="21"/>
  <c r="AR7" i="21"/>
  <c r="AQ7" i="21"/>
  <c r="AP7" i="21"/>
  <c r="AR6" i="21"/>
  <c r="AQ6" i="21"/>
  <c r="AP6" i="21"/>
  <c r="AR5" i="21"/>
  <c r="AQ5" i="21"/>
  <c r="AP5" i="21"/>
  <c r="AR4" i="21"/>
  <c r="AQ4" i="21"/>
  <c r="AP4" i="21"/>
  <c r="AR3" i="21"/>
  <c r="AQ3" i="21"/>
  <c r="AP3" i="21"/>
  <c r="AR2" i="21"/>
  <c r="AQ2" i="21"/>
  <c r="AP2" i="21"/>
  <c r="AR41" i="18"/>
  <c r="CC6" i="16"/>
  <c r="CB6" i="16"/>
  <c r="CE141" i="16"/>
  <c r="CE106" i="16"/>
  <c r="CE78" i="16"/>
  <c r="CE66" i="16"/>
  <c r="CE62" i="16"/>
  <c r="CE59" i="16"/>
  <c r="CE43" i="16"/>
  <c r="CE22" i="16"/>
  <c r="CE10" i="16"/>
  <c r="CE6" i="16"/>
  <c r="CD141" i="16"/>
  <c r="CD106" i="16"/>
  <c r="CD78" i="16"/>
  <c r="CD66" i="16"/>
  <c r="CD62" i="16"/>
  <c r="CD59" i="16"/>
  <c r="CD50" i="16"/>
  <c r="CD43" i="16"/>
  <c r="CD36" i="16"/>
  <c r="CD29" i="16"/>
  <c r="CD22" i="16"/>
  <c r="CD15" i="16"/>
  <c r="CD10" i="16"/>
  <c r="CD6" i="16"/>
  <c r="M54" i="15"/>
  <c r="D51" i="15"/>
  <c r="D56" i="15"/>
  <c r="G51" i="18"/>
  <c r="H51" i="18"/>
  <c r="I51" i="18"/>
  <c r="J51" i="18"/>
  <c r="K51" i="18"/>
  <c r="L51" i="18"/>
  <c r="M51" i="18"/>
  <c r="N51" i="18"/>
  <c r="O51" i="18"/>
  <c r="P51" i="18"/>
  <c r="Q51" i="18"/>
  <c r="R51" i="18"/>
  <c r="S51" i="18"/>
  <c r="T51" i="18"/>
  <c r="U51" i="18"/>
  <c r="V51" i="18"/>
  <c r="W51" i="18"/>
  <c r="X51" i="18"/>
  <c r="Y51" i="18"/>
  <c r="Z51" i="18"/>
  <c r="AA51" i="18"/>
  <c r="AB51" i="18"/>
  <c r="AC51" i="18"/>
  <c r="AD51" i="18"/>
  <c r="AE51" i="18"/>
  <c r="AF51" i="18"/>
  <c r="AG51" i="18"/>
  <c r="AH51" i="18"/>
  <c r="AI51" i="18"/>
  <c r="AJ51" i="18"/>
  <c r="AK51" i="18"/>
  <c r="AL51" i="18"/>
  <c r="AM51" i="18"/>
  <c r="AN51" i="18"/>
  <c r="AO51" i="18"/>
  <c r="AP51" i="18"/>
  <c r="AQ51" i="18"/>
  <c r="AQ32" i="18"/>
  <c r="AP32" i="18"/>
  <c r="AO32" i="18"/>
  <c r="AN32" i="18"/>
  <c r="AN42" i="18" s="1"/>
  <c r="AM32" i="18"/>
  <c r="AL32" i="18"/>
  <c r="AK32" i="18"/>
  <c r="AJ32" i="18"/>
  <c r="AI32" i="18"/>
  <c r="AH32" i="18"/>
  <c r="AG32" i="18"/>
  <c r="AF32" i="18"/>
  <c r="AE32" i="18"/>
  <c r="AD32" i="18"/>
  <c r="AC32" i="18"/>
  <c r="AB32" i="18"/>
  <c r="AB42" i="18" s="1"/>
  <c r="AA32" i="18"/>
  <c r="Z32" i="18"/>
  <c r="Y32" i="18"/>
  <c r="X32" i="18"/>
  <c r="X42" i="18" s="1"/>
  <c r="W32" i="18"/>
  <c r="V32" i="18"/>
  <c r="U32" i="18"/>
  <c r="T32" i="18"/>
  <c r="S32" i="18"/>
  <c r="R32" i="18"/>
  <c r="Q32" i="18"/>
  <c r="P32" i="18"/>
  <c r="O32" i="18"/>
  <c r="N32" i="18"/>
  <c r="M32" i="18"/>
  <c r="L32" i="18"/>
  <c r="L42" i="18" s="1"/>
  <c r="K32" i="18"/>
  <c r="J32" i="18"/>
  <c r="I32" i="18"/>
  <c r="H32" i="18"/>
  <c r="H42" i="18" s="1"/>
  <c r="G32" i="18"/>
  <c r="F32" i="18"/>
  <c r="AQ11" i="18"/>
  <c r="AP11" i="18"/>
  <c r="AO11" i="18"/>
  <c r="AN11" i="18"/>
  <c r="AM11" i="18"/>
  <c r="AL11" i="18"/>
  <c r="AK11" i="18"/>
  <c r="AJ11" i="18"/>
  <c r="AI11" i="18"/>
  <c r="AH11" i="18"/>
  <c r="AG11" i="18"/>
  <c r="AF11" i="18"/>
  <c r="AE11" i="18"/>
  <c r="AD11" i="18"/>
  <c r="AC11" i="18"/>
  <c r="AB11" i="18"/>
  <c r="AA11" i="18"/>
  <c r="Z11" i="18"/>
  <c r="Y11" i="18"/>
  <c r="X11" i="18"/>
  <c r="W11" i="18"/>
  <c r="W41" i="18" s="1"/>
  <c r="V11" i="18"/>
  <c r="U11" i="18"/>
  <c r="T11" i="18"/>
  <c r="S11" i="18"/>
  <c r="R11" i="18"/>
  <c r="Q11" i="18"/>
  <c r="P11" i="18"/>
  <c r="O11" i="18"/>
  <c r="N11" i="18"/>
  <c r="M11" i="18"/>
  <c r="L11" i="18"/>
  <c r="K11" i="18"/>
  <c r="J11" i="18"/>
  <c r="I11" i="18"/>
  <c r="H11" i="18"/>
  <c r="G11" i="18"/>
  <c r="F11" i="18"/>
  <c r="F42" i="18" s="1"/>
  <c r="G6" i="18"/>
  <c r="H6" i="18"/>
  <c r="I6" i="18"/>
  <c r="I41" i="18" s="1"/>
  <c r="J6" i="18"/>
  <c r="J42" i="18" s="1"/>
  <c r="K6" i="18"/>
  <c r="L6" i="18"/>
  <c r="M6" i="18"/>
  <c r="M41" i="18" s="1"/>
  <c r="N6" i="18"/>
  <c r="N42" i="18" s="1"/>
  <c r="O6" i="18"/>
  <c r="P6" i="18"/>
  <c r="Q6" i="18"/>
  <c r="Q41" i="18" s="1"/>
  <c r="R6" i="18"/>
  <c r="R42" i="18" s="1"/>
  <c r="S6" i="18"/>
  <c r="T6" i="18"/>
  <c r="U6" i="18"/>
  <c r="U41" i="18" s="1"/>
  <c r="V6" i="18"/>
  <c r="V42" i="18" s="1"/>
  <c r="W6" i="18"/>
  <c r="X6" i="18"/>
  <c r="Y6" i="18"/>
  <c r="Y41" i="18" s="1"/>
  <c r="Z6" i="18"/>
  <c r="Z42" i="18" s="1"/>
  <c r="AA6" i="18"/>
  <c r="AB6" i="18"/>
  <c r="AC6" i="18"/>
  <c r="AC41" i="18" s="1"/>
  <c r="AD6" i="18"/>
  <c r="AD42" i="18" s="1"/>
  <c r="AE6" i="18"/>
  <c r="AF6" i="18"/>
  <c r="AG6" i="18"/>
  <c r="AG41" i="18" s="1"/>
  <c r="AH6" i="18"/>
  <c r="AH42" i="18" s="1"/>
  <c r="AI6" i="18"/>
  <c r="AJ6" i="18"/>
  <c r="AK6" i="18"/>
  <c r="AK41" i="18" s="1"/>
  <c r="AL6" i="18"/>
  <c r="AL42" i="18" s="1"/>
  <c r="AM6" i="18"/>
  <c r="AN6" i="18"/>
  <c r="AO6" i="18"/>
  <c r="AO41" i="18" s="1"/>
  <c r="AP6" i="18"/>
  <c r="AP42" i="18" s="1"/>
  <c r="AQ6" i="18"/>
  <c r="F6" i="18"/>
  <c r="AZ143" i="13"/>
  <c r="BA143" i="13"/>
  <c r="BB143" i="13"/>
  <c r="BC143" i="13"/>
  <c r="AZ144" i="13"/>
  <c r="BA144" i="13"/>
  <c r="BB144" i="13"/>
  <c r="BC144" i="13"/>
  <c r="AZ145" i="13"/>
  <c r="BA145" i="13"/>
  <c r="BB145" i="13"/>
  <c r="BC145" i="13"/>
  <c r="AZ146" i="13"/>
  <c r="BA146" i="13"/>
  <c r="BB146" i="13"/>
  <c r="BC146" i="13"/>
  <c r="AZ147" i="13"/>
  <c r="BA147" i="13"/>
  <c r="BB147" i="13"/>
  <c r="BC147" i="13"/>
  <c r="AZ148" i="13"/>
  <c r="BA148" i="13"/>
  <c r="BB148" i="13"/>
  <c r="BC148" i="13"/>
  <c r="AS143" i="13"/>
  <c r="AT143" i="13"/>
  <c r="AU143" i="13"/>
  <c r="AV143" i="13"/>
  <c r="AS144" i="13"/>
  <c r="AT144" i="13"/>
  <c r="AU144" i="13"/>
  <c r="AV144" i="13"/>
  <c r="AS145" i="13"/>
  <c r="AT145" i="13"/>
  <c r="AU145" i="13"/>
  <c r="AV145" i="13"/>
  <c r="AS146" i="13"/>
  <c r="AT146" i="13"/>
  <c r="AU146" i="13"/>
  <c r="AV146" i="13"/>
  <c r="AS147" i="13"/>
  <c r="AT147" i="13"/>
  <c r="AU147" i="13"/>
  <c r="AV147" i="13"/>
  <c r="AS148" i="13"/>
  <c r="AT148" i="13"/>
  <c r="AU148" i="13"/>
  <c r="AV148" i="13"/>
  <c r="AZ113" i="13"/>
  <c r="BA113" i="13"/>
  <c r="BB113" i="13"/>
  <c r="BC113" i="13"/>
  <c r="AZ114" i="13"/>
  <c r="BA114" i="13"/>
  <c r="BB114" i="13"/>
  <c r="BC114" i="13"/>
  <c r="AZ115" i="13"/>
  <c r="BA115" i="13"/>
  <c r="BB115" i="13"/>
  <c r="BC115" i="13"/>
  <c r="AZ116" i="13"/>
  <c r="BA116" i="13"/>
  <c r="BB116" i="13"/>
  <c r="BC116" i="13"/>
  <c r="AZ117" i="13"/>
  <c r="BA117" i="13"/>
  <c r="BB117" i="13"/>
  <c r="BC117" i="13"/>
  <c r="AZ118" i="13"/>
  <c r="BA118" i="13"/>
  <c r="BB118" i="13"/>
  <c r="BC118" i="13"/>
  <c r="AS113" i="13"/>
  <c r="AT113" i="13"/>
  <c r="AU113" i="13"/>
  <c r="AV113" i="13"/>
  <c r="AS114" i="13"/>
  <c r="AT114" i="13"/>
  <c r="AU114" i="13"/>
  <c r="AV114" i="13"/>
  <c r="AS115" i="13"/>
  <c r="AT115" i="13"/>
  <c r="AU115" i="13"/>
  <c r="AV115" i="13"/>
  <c r="AS116" i="13"/>
  <c r="AT116" i="13"/>
  <c r="AU116" i="13"/>
  <c r="AV116" i="13"/>
  <c r="AS117" i="13"/>
  <c r="AT117" i="13"/>
  <c r="AU117" i="13"/>
  <c r="AV117" i="13"/>
  <c r="AS118" i="13"/>
  <c r="AT118" i="13"/>
  <c r="AU118" i="13"/>
  <c r="AV118" i="13"/>
  <c r="AZ81" i="13"/>
  <c r="AZ80" i="13"/>
  <c r="BA80" i="13"/>
  <c r="BB80" i="13"/>
  <c r="BC80" i="13"/>
  <c r="BA81" i="13"/>
  <c r="BB81" i="13"/>
  <c r="BC81" i="13"/>
  <c r="AZ82" i="13"/>
  <c r="BA82" i="13"/>
  <c r="BB82" i="13"/>
  <c r="BC82" i="13"/>
  <c r="AZ83" i="13"/>
  <c r="BA83" i="13"/>
  <c r="BB83" i="13"/>
  <c r="BC83" i="13"/>
  <c r="AZ84" i="13"/>
  <c r="BA84" i="13"/>
  <c r="BB84" i="13"/>
  <c r="BC84" i="13"/>
  <c r="AZ85" i="13"/>
  <c r="BA85" i="13"/>
  <c r="BB85" i="13"/>
  <c r="BC85" i="13"/>
  <c r="AZ86" i="13"/>
  <c r="BA86" i="13"/>
  <c r="BB86" i="13"/>
  <c r="BC86" i="13"/>
  <c r="AZ87" i="13"/>
  <c r="BA87" i="13"/>
  <c r="BB87" i="13"/>
  <c r="BC87" i="13"/>
  <c r="AZ88" i="13"/>
  <c r="BA88" i="13"/>
  <c r="BB88" i="13"/>
  <c r="BC88" i="13"/>
  <c r="AS80" i="13"/>
  <c r="AT80" i="13"/>
  <c r="AU80" i="13"/>
  <c r="AV80" i="13"/>
  <c r="AS81" i="13"/>
  <c r="AT81" i="13"/>
  <c r="AU81" i="13"/>
  <c r="AV81" i="13"/>
  <c r="AS82" i="13"/>
  <c r="AT82" i="13"/>
  <c r="AU82" i="13"/>
  <c r="AV82" i="13"/>
  <c r="AS83" i="13"/>
  <c r="AT83" i="13"/>
  <c r="AU83" i="13"/>
  <c r="AV83" i="13"/>
  <c r="AS84" i="13"/>
  <c r="AT84" i="13"/>
  <c r="AU84" i="13"/>
  <c r="AV84" i="13"/>
  <c r="AS85" i="13"/>
  <c r="AT85" i="13"/>
  <c r="AU85" i="13"/>
  <c r="AV85" i="13"/>
  <c r="AS86" i="13"/>
  <c r="AT86" i="13"/>
  <c r="AU86" i="13"/>
  <c r="AV86" i="13"/>
  <c r="AS87" i="13"/>
  <c r="AT87" i="13"/>
  <c r="AU87" i="13"/>
  <c r="AV87" i="13"/>
  <c r="AS88" i="13"/>
  <c r="AT88" i="13"/>
  <c r="AU88" i="13"/>
  <c r="AV88" i="13"/>
  <c r="BC43" i="13"/>
  <c r="BC44" i="13"/>
  <c r="BC45" i="13"/>
  <c r="BC46" i="13"/>
  <c r="BC47" i="13"/>
  <c r="BC48" i="13"/>
  <c r="BC49" i="13"/>
  <c r="BC50" i="13"/>
  <c r="BC51" i="13"/>
  <c r="AS42" i="13"/>
  <c r="AT32" i="21"/>
  <c r="AV31" i="21"/>
  <c r="AU31" i="21"/>
  <c r="AT30" i="21"/>
  <c r="AU30" i="21"/>
  <c r="AT29" i="21"/>
  <c r="AT28" i="21"/>
  <c r="AV27" i="21"/>
  <c r="AU27" i="21"/>
  <c r="E143" i="13"/>
  <c r="F143" i="13"/>
  <c r="G143" i="13"/>
  <c r="H143" i="13"/>
  <c r="I143" i="13"/>
  <c r="J143" i="13"/>
  <c r="K143" i="13"/>
  <c r="L143" i="13"/>
  <c r="M143" i="13"/>
  <c r="N143" i="13"/>
  <c r="O143" i="13"/>
  <c r="P143" i="13"/>
  <c r="Q143" i="13"/>
  <c r="R143" i="13"/>
  <c r="S143" i="13"/>
  <c r="T143" i="13"/>
  <c r="U143" i="13"/>
  <c r="V143" i="13"/>
  <c r="W143" i="13"/>
  <c r="X143" i="13"/>
  <c r="Y143" i="13"/>
  <c r="Z143" i="13"/>
  <c r="AA143" i="13"/>
  <c r="AB143" i="13"/>
  <c r="AC143" i="13"/>
  <c r="AD143" i="13"/>
  <c r="AE143" i="13"/>
  <c r="AF143" i="13"/>
  <c r="AG143" i="13"/>
  <c r="AH143" i="13"/>
  <c r="AI143" i="13"/>
  <c r="AJ143" i="13"/>
  <c r="AK143" i="13"/>
  <c r="AL143" i="13"/>
  <c r="AM143" i="13"/>
  <c r="AN143" i="13"/>
  <c r="AO143" i="13"/>
  <c r="E144" i="13"/>
  <c r="F144" i="13"/>
  <c r="G144" i="13"/>
  <c r="H144" i="13"/>
  <c r="I144" i="13"/>
  <c r="J144" i="13"/>
  <c r="K144" i="13"/>
  <c r="L144" i="13"/>
  <c r="M144" i="13"/>
  <c r="N144" i="13"/>
  <c r="O144" i="13"/>
  <c r="P144" i="13"/>
  <c r="Q144" i="13"/>
  <c r="R144" i="13"/>
  <c r="S144" i="13"/>
  <c r="T144" i="13"/>
  <c r="U144" i="13"/>
  <c r="V144" i="13"/>
  <c r="W144" i="13"/>
  <c r="X144" i="13"/>
  <c r="Y144" i="13"/>
  <c r="Z144" i="13"/>
  <c r="AA144" i="13"/>
  <c r="AB144" i="13"/>
  <c r="AC144" i="13"/>
  <c r="AD144" i="13"/>
  <c r="AE144" i="13"/>
  <c r="AF144" i="13"/>
  <c r="AG144" i="13"/>
  <c r="AH144" i="13"/>
  <c r="AI144" i="13"/>
  <c r="AJ144" i="13"/>
  <c r="AK144" i="13"/>
  <c r="AL144" i="13"/>
  <c r="AM144" i="13"/>
  <c r="AN144" i="13"/>
  <c r="AO144" i="13"/>
  <c r="E145" i="13"/>
  <c r="F145" i="13"/>
  <c r="G145" i="13"/>
  <c r="H145" i="13"/>
  <c r="I145" i="13"/>
  <c r="J145" i="13"/>
  <c r="K145" i="13"/>
  <c r="L145" i="13"/>
  <c r="M145" i="13"/>
  <c r="N145" i="13"/>
  <c r="O145" i="13"/>
  <c r="P145" i="13"/>
  <c r="Q145" i="13"/>
  <c r="R145" i="13"/>
  <c r="S145" i="13"/>
  <c r="T145" i="13"/>
  <c r="U145" i="13"/>
  <c r="V145" i="13"/>
  <c r="W145" i="13"/>
  <c r="X145" i="13"/>
  <c r="Y145" i="13"/>
  <c r="Z145" i="13"/>
  <c r="AA145" i="13"/>
  <c r="AB145" i="13"/>
  <c r="AC145" i="13"/>
  <c r="AD145" i="13"/>
  <c r="AE145" i="13"/>
  <c r="AF145" i="13"/>
  <c r="AG145" i="13"/>
  <c r="AH145" i="13"/>
  <c r="AI145" i="13"/>
  <c r="AJ145" i="13"/>
  <c r="AK145" i="13"/>
  <c r="AL145" i="13"/>
  <c r="AM145" i="13"/>
  <c r="AN145" i="13"/>
  <c r="AO145" i="13"/>
  <c r="E146" i="13"/>
  <c r="F146" i="13"/>
  <c r="G146" i="13"/>
  <c r="H146" i="13"/>
  <c r="I146" i="13"/>
  <c r="J146" i="13"/>
  <c r="K146" i="13"/>
  <c r="L146" i="13"/>
  <c r="M146" i="13"/>
  <c r="N146" i="13"/>
  <c r="O146" i="13"/>
  <c r="P146" i="13"/>
  <c r="Q146" i="13"/>
  <c r="R146" i="13"/>
  <c r="S146" i="13"/>
  <c r="T146" i="13"/>
  <c r="U146" i="13"/>
  <c r="V146" i="13"/>
  <c r="W146" i="13"/>
  <c r="X146" i="13"/>
  <c r="Y146" i="13"/>
  <c r="Z146" i="13"/>
  <c r="AA146" i="13"/>
  <c r="AB146" i="13"/>
  <c r="AC146" i="13"/>
  <c r="AD146" i="13"/>
  <c r="AE146" i="13"/>
  <c r="AF146" i="13"/>
  <c r="AG146" i="13"/>
  <c r="AH146" i="13"/>
  <c r="AI146" i="13"/>
  <c r="AJ146" i="13"/>
  <c r="AK146" i="13"/>
  <c r="AL146" i="13"/>
  <c r="AM146" i="13"/>
  <c r="AN146" i="13"/>
  <c r="AO146" i="13"/>
  <c r="E147" i="13"/>
  <c r="F147" i="13"/>
  <c r="G147" i="13"/>
  <c r="H147" i="13"/>
  <c r="I147" i="13"/>
  <c r="J147" i="13"/>
  <c r="K147" i="13"/>
  <c r="L147" i="13"/>
  <c r="M147" i="13"/>
  <c r="N147" i="13"/>
  <c r="O147" i="13"/>
  <c r="P147" i="13"/>
  <c r="Q147" i="13"/>
  <c r="R147" i="13"/>
  <c r="S147" i="13"/>
  <c r="T147" i="13"/>
  <c r="U147" i="13"/>
  <c r="V147" i="13"/>
  <c r="W147" i="13"/>
  <c r="X147" i="13"/>
  <c r="Y147" i="13"/>
  <c r="Z147" i="13"/>
  <c r="AA147" i="13"/>
  <c r="AB147" i="13"/>
  <c r="AC147" i="13"/>
  <c r="AD147" i="13"/>
  <c r="AE147" i="13"/>
  <c r="AF147" i="13"/>
  <c r="AG147" i="13"/>
  <c r="AH147" i="13"/>
  <c r="AI147" i="13"/>
  <c r="AJ147" i="13"/>
  <c r="AK147" i="13"/>
  <c r="AL147" i="13"/>
  <c r="AM147" i="13"/>
  <c r="AN147" i="13"/>
  <c r="AO147" i="13"/>
  <c r="E148" i="13"/>
  <c r="F148" i="13"/>
  <c r="G148" i="13"/>
  <c r="H148" i="13"/>
  <c r="I148" i="13"/>
  <c r="J148" i="13"/>
  <c r="K148" i="13"/>
  <c r="L148" i="13"/>
  <c r="M148" i="13"/>
  <c r="N148" i="13"/>
  <c r="O148" i="13"/>
  <c r="P148" i="13"/>
  <c r="Q148" i="13"/>
  <c r="R148" i="13"/>
  <c r="S148" i="13"/>
  <c r="T148" i="13"/>
  <c r="U148" i="13"/>
  <c r="V148" i="13"/>
  <c r="W148" i="13"/>
  <c r="X148" i="13"/>
  <c r="Y148" i="13"/>
  <c r="Z148" i="13"/>
  <c r="AA148" i="13"/>
  <c r="AB148" i="13"/>
  <c r="AC148" i="13"/>
  <c r="AD148" i="13"/>
  <c r="AE148" i="13"/>
  <c r="AF148" i="13"/>
  <c r="AG148" i="13"/>
  <c r="AH148" i="13"/>
  <c r="AI148" i="13"/>
  <c r="AJ148" i="13"/>
  <c r="AK148" i="13"/>
  <c r="AL148" i="13"/>
  <c r="AM148" i="13"/>
  <c r="AN148" i="13"/>
  <c r="AO148" i="13"/>
  <c r="D148" i="13"/>
  <c r="D147" i="13"/>
  <c r="D145" i="13"/>
  <c r="D146" i="13"/>
  <c r="D144" i="13"/>
  <c r="D143" i="13"/>
  <c r="AV26" i="21"/>
  <c r="AU26" i="21"/>
  <c r="AV25" i="21"/>
  <c r="AU25" i="21"/>
  <c r="AU24" i="21"/>
  <c r="AS23" i="21"/>
  <c r="AV22" i="21"/>
  <c r="AU22" i="21"/>
  <c r="AS22" i="21"/>
  <c r="AV21" i="21"/>
  <c r="AU21" i="21"/>
  <c r="AO118" i="13"/>
  <c r="AN118" i="13"/>
  <c r="AM118" i="13"/>
  <c r="AL118" i="13"/>
  <c r="AK118" i="13"/>
  <c r="AJ118" i="13"/>
  <c r="AI118" i="13"/>
  <c r="AH118" i="13"/>
  <c r="AG118" i="13"/>
  <c r="AF118" i="13"/>
  <c r="AE118" i="13"/>
  <c r="AD118" i="13"/>
  <c r="AC118" i="13"/>
  <c r="AB118" i="13"/>
  <c r="AA118" i="13"/>
  <c r="Z118" i="13"/>
  <c r="Y118" i="13"/>
  <c r="X118" i="13"/>
  <c r="W118" i="13"/>
  <c r="V118" i="13"/>
  <c r="U118" i="13"/>
  <c r="T118" i="13"/>
  <c r="S118" i="13"/>
  <c r="R118" i="13"/>
  <c r="Q118" i="13"/>
  <c r="P118" i="13"/>
  <c r="O118" i="13"/>
  <c r="N118" i="13"/>
  <c r="M118" i="13"/>
  <c r="L118" i="13"/>
  <c r="K118" i="13"/>
  <c r="J118" i="13"/>
  <c r="I118" i="13"/>
  <c r="H118" i="13"/>
  <c r="G118" i="13"/>
  <c r="F118" i="13"/>
  <c r="E118" i="13"/>
  <c r="AO117" i="13"/>
  <c r="AN117" i="13"/>
  <c r="AM117" i="13"/>
  <c r="AL117" i="13"/>
  <c r="AK117" i="13"/>
  <c r="AJ117" i="13"/>
  <c r="AI117" i="13"/>
  <c r="AH117" i="13"/>
  <c r="AG117" i="13"/>
  <c r="AF117" i="13"/>
  <c r="AE117" i="13"/>
  <c r="AD117" i="13"/>
  <c r="AC117" i="13"/>
  <c r="AB117" i="13"/>
  <c r="AA117" i="13"/>
  <c r="Z117" i="13"/>
  <c r="Y117" i="13"/>
  <c r="X117" i="13"/>
  <c r="W117" i="13"/>
  <c r="V117" i="13"/>
  <c r="U117" i="13"/>
  <c r="T117" i="13"/>
  <c r="S117" i="13"/>
  <c r="R117" i="13"/>
  <c r="Q117" i="13"/>
  <c r="P117" i="13"/>
  <c r="O117" i="13"/>
  <c r="N117" i="13"/>
  <c r="M117" i="13"/>
  <c r="L117" i="13"/>
  <c r="K117" i="13"/>
  <c r="J117" i="13"/>
  <c r="I117" i="13"/>
  <c r="H117" i="13"/>
  <c r="G117" i="13"/>
  <c r="F117" i="13"/>
  <c r="E117" i="13"/>
  <c r="AO116" i="13"/>
  <c r="AN116" i="13"/>
  <c r="AM116" i="13"/>
  <c r="AL116" i="13"/>
  <c r="AK116" i="13"/>
  <c r="AJ116" i="13"/>
  <c r="AI116" i="13"/>
  <c r="AH116" i="13"/>
  <c r="AG116" i="13"/>
  <c r="AF116" i="13"/>
  <c r="AE116" i="13"/>
  <c r="AD116" i="13"/>
  <c r="AC116" i="13"/>
  <c r="AB116" i="13"/>
  <c r="AA116" i="13"/>
  <c r="Z116" i="13"/>
  <c r="Y116" i="13"/>
  <c r="X116" i="13"/>
  <c r="W116" i="13"/>
  <c r="V116" i="13"/>
  <c r="U116" i="13"/>
  <c r="T116" i="13"/>
  <c r="S116" i="13"/>
  <c r="R116" i="13"/>
  <c r="Q116" i="13"/>
  <c r="P116" i="13"/>
  <c r="O116" i="13"/>
  <c r="N116" i="13"/>
  <c r="M116" i="13"/>
  <c r="L116" i="13"/>
  <c r="K116" i="13"/>
  <c r="J116" i="13"/>
  <c r="I116" i="13"/>
  <c r="H116" i="13"/>
  <c r="G116" i="13"/>
  <c r="F116" i="13"/>
  <c r="E116" i="13"/>
  <c r="AO115" i="13"/>
  <c r="AN115" i="13"/>
  <c r="AM115" i="13"/>
  <c r="AL115" i="13"/>
  <c r="AK115" i="13"/>
  <c r="AJ115" i="13"/>
  <c r="AI115" i="13"/>
  <c r="AH115" i="13"/>
  <c r="AG115" i="13"/>
  <c r="AF115" i="13"/>
  <c r="AE115" i="13"/>
  <c r="AD115" i="13"/>
  <c r="AC115" i="13"/>
  <c r="AB115" i="13"/>
  <c r="AA115" i="13"/>
  <c r="Z115" i="13"/>
  <c r="Y115" i="13"/>
  <c r="X115" i="13"/>
  <c r="W115" i="13"/>
  <c r="V115" i="13"/>
  <c r="U115" i="13"/>
  <c r="T115" i="13"/>
  <c r="S115" i="13"/>
  <c r="R115" i="13"/>
  <c r="Q115" i="13"/>
  <c r="P115" i="13"/>
  <c r="O115" i="13"/>
  <c r="N115" i="13"/>
  <c r="M115" i="13"/>
  <c r="L115" i="13"/>
  <c r="K115" i="13"/>
  <c r="J115" i="13"/>
  <c r="I115" i="13"/>
  <c r="H115" i="13"/>
  <c r="G115" i="13"/>
  <c r="F115" i="13"/>
  <c r="E115" i="13"/>
  <c r="AO114" i="13"/>
  <c r="AN114" i="13"/>
  <c r="AM114" i="13"/>
  <c r="AL114" i="13"/>
  <c r="AK114" i="13"/>
  <c r="AJ114" i="13"/>
  <c r="AI114" i="13"/>
  <c r="AH114" i="13"/>
  <c r="AG114" i="13"/>
  <c r="AF114" i="13"/>
  <c r="AE114" i="13"/>
  <c r="AD114" i="13"/>
  <c r="AC114" i="13"/>
  <c r="AB114" i="13"/>
  <c r="AA114" i="13"/>
  <c r="Z114" i="13"/>
  <c r="Y114" i="13"/>
  <c r="X114" i="13"/>
  <c r="W114" i="13"/>
  <c r="V114" i="13"/>
  <c r="U114" i="13"/>
  <c r="T114" i="13"/>
  <c r="S114" i="13"/>
  <c r="R114" i="13"/>
  <c r="Q114" i="13"/>
  <c r="P114" i="13"/>
  <c r="O114" i="13"/>
  <c r="N114" i="13"/>
  <c r="M114" i="13"/>
  <c r="L114" i="13"/>
  <c r="K114" i="13"/>
  <c r="J114" i="13"/>
  <c r="I114" i="13"/>
  <c r="H114" i="13"/>
  <c r="G114" i="13"/>
  <c r="F114" i="13"/>
  <c r="E114" i="13"/>
  <c r="AO113" i="13"/>
  <c r="AN113" i="13"/>
  <c r="AM113" i="13"/>
  <c r="AL113" i="13"/>
  <c r="AK113" i="13"/>
  <c r="AJ113" i="13"/>
  <c r="AI113" i="13"/>
  <c r="AH113" i="13"/>
  <c r="AG113" i="13"/>
  <c r="AF113" i="13"/>
  <c r="AE113" i="13"/>
  <c r="AD113" i="13"/>
  <c r="AC113" i="13"/>
  <c r="AB113" i="13"/>
  <c r="AA113" i="13"/>
  <c r="Z113" i="13"/>
  <c r="Y113" i="13"/>
  <c r="X113" i="13"/>
  <c r="W113" i="13"/>
  <c r="V113" i="13"/>
  <c r="U113" i="13"/>
  <c r="T113" i="13"/>
  <c r="S113" i="13"/>
  <c r="R113" i="13"/>
  <c r="Q113" i="13"/>
  <c r="P113" i="13"/>
  <c r="O113" i="13"/>
  <c r="N113" i="13"/>
  <c r="M113" i="13"/>
  <c r="L113" i="13"/>
  <c r="K113" i="13"/>
  <c r="J113" i="13"/>
  <c r="I113" i="13"/>
  <c r="H113" i="13"/>
  <c r="G113" i="13"/>
  <c r="F113" i="13"/>
  <c r="E113" i="13"/>
  <c r="D118" i="13"/>
  <c r="D117" i="13"/>
  <c r="D116" i="13"/>
  <c r="D114" i="13"/>
  <c r="D113" i="13"/>
  <c r="AV11" i="21"/>
  <c r="AU11" i="21"/>
  <c r="AV10" i="21"/>
  <c r="AU10" i="21"/>
  <c r="AU9" i="21"/>
  <c r="AS8" i="21"/>
  <c r="AV7" i="21"/>
  <c r="AU7" i="21"/>
  <c r="AV6" i="21"/>
  <c r="AU6" i="21"/>
  <c r="AU5" i="21"/>
  <c r="AS4" i="21"/>
  <c r="AV3" i="21"/>
  <c r="AU3" i="21"/>
  <c r="AV2" i="21"/>
  <c r="E43" i="13"/>
  <c r="F43" i="13"/>
  <c r="G43" i="13"/>
  <c r="H43" i="13"/>
  <c r="I43" i="13"/>
  <c r="J43" i="13"/>
  <c r="K43" i="13"/>
  <c r="L43" i="13"/>
  <c r="M43" i="13"/>
  <c r="N43" i="13"/>
  <c r="O43" i="13"/>
  <c r="P43" i="13"/>
  <c r="Q43" i="13"/>
  <c r="R43" i="13"/>
  <c r="S43" i="13"/>
  <c r="T43" i="13"/>
  <c r="U43" i="13"/>
  <c r="V43" i="13"/>
  <c r="W43" i="13"/>
  <c r="X43" i="13"/>
  <c r="Y43" i="13"/>
  <c r="Z43" i="13"/>
  <c r="AA43" i="13"/>
  <c r="AB43" i="13"/>
  <c r="AC43" i="13"/>
  <c r="AD43" i="13"/>
  <c r="AE43" i="13"/>
  <c r="AF43" i="13"/>
  <c r="AG43" i="13"/>
  <c r="AH43" i="13"/>
  <c r="AI43" i="13"/>
  <c r="AJ43" i="13"/>
  <c r="AK43" i="13"/>
  <c r="AL43" i="13"/>
  <c r="AM43" i="13"/>
  <c r="AN43" i="13"/>
  <c r="AO43" i="13"/>
  <c r="E44" i="13"/>
  <c r="F44" i="13"/>
  <c r="G44" i="13"/>
  <c r="H44" i="13"/>
  <c r="I44" i="13"/>
  <c r="J44" i="13"/>
  <c r="K44" i="13"/>
  <c r="L44" i="13"/>
  <c r="M44" i="13"/>
  <c r="N44" i="13"/>
  <c r="O44" i="13"/>
  <c r="P44" i="13"/>
  <c r="Q44" i="13"/>
  <c r="R44" i="13"/>
  <c r="S44" i="13"/>
  <c r="T44" i="13"/>
  <c r="U44" i="13"/>
  <c r="V44" i="13"/>
  <c r="W44" i="13"/>
  <c r="X44" i="13"/>
  <c r="Y44" i="13"/>
  <c r="Z44" i="13"/>
  <c r="AA44" i="13"/>
  <c r="AB44" i="13"/>
  <c r="AC44" i="13"/>
  <c r="AD44" i="13"/>
  <c r="AE44" i="13"/>
  <c r="AF44" i="13"/>
  <c r="AG44" i="13"/>
  <c r="AH44" i="13"/>
  <c r="AI44" i="13"/>
  <c r="AJ44" i="13"/>
  <c r="AK44" i="13"/>
  <c r="AL44" i="13"/>
  <c r="AM44" i="13"/>
  <c r="AN44" i="13"/>
  <c r="AO44" i="13"/>
  <c r="E45" i="13"/>
  <c r="F45" i="13"/>
  <c r="G45" i="13"/>
  <c r="H45" i="13"/>
  <c r="I45" i="13"/>
  <c r="J45" i="13"/>
  <c r="K45" i="13"/>
  <c r="L45" i="13"/>
  <c r="M45" i="13"/>
  <c r="N45" i="13"/>
  <c r="O45" i="13"/>
  <c r="P45" i="13"/>
  <c r="Q45" i="13"/>
  <c r="R45" i="13"/>
  <c r="S45" i="13"/>
  <c r="T45" i="13"/>
  <c r="U45" i="13"/>
  <c r="V45" i="13"/>
  <c r="W45" i="13"/>
  <c r="X45" i="13"/>
  <c r="Y45" i="13"/>
  <c r="Z45" i="13"/>
  <c r="AA45" i="13"/>
  <c r="AB45" i="13"/>
  <c r="AC45" i="13"/>
  <c r="AD45" i="13"/>
  <c r="AE45" i="13"/>
  <c r="AF45" i="13"/>
  <c r="AG45" i="13"/>
  <c r="AH45" i="13"/>
  <c r="AI45" i="13"/>
  <c r="AJ45" i="13"/>
  <c r="AK45" i="13"/>
  <c r="AL45" i="13"/>
  <c r="AM45" i="13"/>
  <c r="AN45" i="13"/>
  <c r="AO45" i="13"/>
  <c r="E46" i="13"/>
  <c r="F46" i="13"/>
  <c r="G46" i="13"/>
  <c r="H46" i="13"/>
  <c r="I46" i="13"/>
  <c r="J46" i="13"/>
  <c r="K46" i="13"/>
  <c r="L46" i="13"/>
  <c r="M46" i="13"/>
  <c r="N46" i="13"/>
  <c r="O46" i="13"/>
  <c r="P46" i="13"/>
  <c r="Q46" i="13"/>
  <c r="R46" i="13"/>
  <c r="S46" i="13"/>
  <c r="T46" i="13"/>
  <c r="U46" i="13"/>
  <c r="V46" i="13"/>
  <c r="W46" i="13"/>
  <c r="X46" i="13"/>
  <c r="Y46" i="13"/>
  <c r="Z46" i="13"/>
  <c r="AA46" i="13"/>
  <c r="AB46" i="13"/>
  <c r="AC46" i="13"/>
  <c r="AD46" i="13"/>
  <c r="AE46" i="13"/>
  <c r="AF46" i="13"/>
  <c r="AG46" i="13"/>
  <c r="AH46" i="13"/>
  <c r="AI46" i="13"/>
  <c r="AJ46" i="13"/>
  <c r="AK46" i="13"/>
  <c r="AL46" i="13"/>
  <c r="AM46" i="13"/>
  <c r="AN46" i="13"/>
  <c r="AO46" i="13"/>
  <c r="E47" i="13"/>
  <c r="F47" i="13"/>
  <c r="G47" i="13"/>
  <c r="H47" i="13"/>
  <c r="I47" i="13"/>
  <c r="J47" i="13"/>
  <c r="K47" i="13"/>
  <c r="L47" i="13"/>
  <c r="M47" i="13"/>
  <c r="N47" i="13"/>
  <c r="O47" i="13"/>
  <c r="P47" i="13"/>
  <c r="Q47" i="13"/>
  <c r="R47" i="13"/>
  <c r="S47" i="13"/>
  <c r="T47" i="13"/>
  <c r="U47" i="13"/>
  <c r="V47" i="13"/>
  <c r="W47" i="13"/>
  <c r="X47" i="13"/>
  <c r="Y47" i="13"/>
  <c r="Z47" i="13"/>
  <c r="AA47" i="13"/>
  <c r="AB47" i="13"/>
  <c r="AC47" i="13"/>
  <c r="AD47" i="13"/>
  <c r="AE47" i="13"/>
  <c r="AF47" i="13"/>
  <c r="AG47" i="13"/>
  <c r="AH47" i="13"/>
  <c r="AI47" i="13"/>
  <c r="AJ47" i="13"/>
  <c r="AK47" i="13"/>
  <c r="AL47" i="13"/>
  <c r="AM47" i="13"/>
  <c r="AN47" i="13"/>
  <c r="AO47" i="13"/>
  <c r="E48" i="13"/>
  <c r="F48" i="13"/>
  <c r="G48" i="13"/>
  <c r="H48" i="13"/>
  <c r="I48" i="13"/>
  <c r="J48" i="13"/>
  <c r="K48" i="13"/>
  <c r="L48" i="13"/>
  <c r="M48" i="13"/>
  <c r="N48" i="13"/>
  <c r="O48" i="13"/>
  <c r="P48" i="13"/>
  <c r="Q48" i="13"/>
  <c r="R48" i="13"/>
  <c r="S48" i="13"/>
  <c r="T48" i="13"/>
  <c r="U48" i="13"/>
  <c r="V48" i="13"/>
  <c r="W48" i="13"/>
  <c r="X48" i="13"/>
  <c r="Y48" i="13"/>
  <c r="Z48" i="13"/>
  <c r="AA48" i="13"/>
  <c r="AB48" i="13"/>
  <c r="AC48" i="13"/>
  <c r="AD48" i="13"/>
  <c r="AE48" i="13"/>
  <c r="AF48" i="13"/>
  <c r="AG48" i="13"/>
  <c r="AH48" i="13"/>
  <c r="AI48" i="13"/>
  <c r="AJ48" i="13"/>
  <c r="AK48" i="13"/>
  <c r="AL48" i="13"/>
  <c r="AM48" i="13"/>
  <c r="AN48" i="13"/>
  <c r="AO48" i="13"/>
  <c r="E49" i="13"/>
  <c r="F49" i="13"/>
  <c r="G49" i="13"/>
  <c r="H49" i="13"/>
  <c r="I49" i="13"/>
  <c r="J49" i="13"/>
  <c r="K49" i="13"/>
  <c r="L49" i="13"/>
  <c r="M49" i="13"/>
  <c r="N49" i="13"/>
  <c r="O49" i="13"/>
  <c r="P49" i="13"/>
  <c r="Q49" i="13"/>
  <c r="R49" i="13"/>
  <c r="S49" i="13"/>
  <c r="T49" i="13"/>
  <c r="U49" i="13"/>
  <c r="V49" i="13"/>
  <c r="W49" i="13"/>
  <c r="X49" i="13"/>
  <c r="Y49" i="13"/>
  <c r="Z49" i="13"/>
  <c r="AA49" i="13"/>
  <c r="AB49" i="13"/>
  <c r="AC49" i="13"/>
  <c r="AD49" i="13"/>
  <c r="AE49" i="13"/>
  <c r="AF49" i="13"/>
  <c r="AG49" i="13"/>
  <c r="AH49" i="13"/>
  <c r="AI49" i="13"/>
  <c r="AJ49" i="13"/>
  <c r="AK49" i="13"/>
  <c r="AL49" i="13"/>
  <c r="AM49" i="13"/>
  <c r="AN49" i="13"/>
  <c r="AO49" i="13"/>
  <c r="E50" i="13"/>
  <c r="F50" i="13"/>
  <c r="G50" i="13"/>
  <c r="H50" i="13"/>
  <c r="I50" i="13"/>
  <c r="J50" i="13"/>
  <c r="K50" i="13"/>
  <c r="L50" i="13"/>
  <c r="M50" i="13"/>
  <c r="N50" i="13"/>
  <c r="O50" i="13"/>
  <c r="P50" i="13"/>
  <c r="Q50" i="13"/>
  <c r="R50" i="13"/>
  <c r="S50" i="13"/>
  <c r="T50" i="13"/>
  <c r="U50" i="13"/>
  <c r="V50" i="13"/>
  <c r="W50" i="13"/>
  <c r="X50" i="13"/>
  <c r="Y50" i="13"/>
  <c r="Z50" i="13"/>
  <c r="AA50" i="13"/>
  <c r="AB50" i="13"/>
  <c r="AC50" i="13"/>
  <c r="AD50" i="13"/>
  <c r="AE50" i="13"/>
  <c r="AF50" i="13"/>
  <c r="AG50" i="13"/>
  <c r="AH50" i="13"/>
  <c r="AI50" i="13"/>
  <c r="AJ50" i="13"/>
  <c r="AK50" i="13"/>
  <c r="AL50" i="13"/>
  <c r="AM50" i="13"/>
  <c r="AN50" i="13"/>
  <c r="AO50" i="13"/>
  <c r="E51" i="13"/>
  <c r="F51" i="13"/>
  <c r="G51" i="13"/>
  <c r="H51" i="13"/>
  <c r="I51" i="13"/>
  <c r="J51" i="13"/>
  <c r="K51" i="13"/>
  <c r="L51" i="13"/>
  <c r="M51" i="13"/>
  <c r="N51" i="13"/>
  <c r="O51" i="13"/>
  <c r="P51" i="13"/>
  <c r="Q51" i="13"/>
  <c r="R51" i="13"/>
  <c r="S51" i="13"/>
  <c r="T51" i="13"/>
  <c r="U51" i="13"/>
  <c r="V51" i="13"/>
  <c r="W51" i="13"/>
  <c r="X51" i="13"/>
  <c r="Y51" i="13"/>
  <c r="Z51" i="13"/>
  <c r="AA51" i="13"/>
  <c r="AB51" i="13"/>
  <c r="AC51" i="13"/>
  <c r="AD51" i="13"/>
  <c r="AE51" i="13"/>
  <c r="AF51" i="13"/>
  <c r="AG51" i="13"/>
  <c r="AH51" i="13"/>
  <c r="AI51" i="13"/>
  <c r="AJ51" i="13"/>
  <c r="AK51" i="13"/>
  <c r="AL51" i="13"/>
  <c r="AM51" i="13"/>
  <c r="AN51" i="13"/>
  <c r="AO51" i="13"/>
  <c r="E52" i="13"/>
  <c r="F52" i="13"/>
  <c r="G52" i="13"/>
  <c r="H52" i="13"/>
  <c r="I52" i="13"/>
  <c r="J52" i="13"/>
  <c r="K52" i="13"/>
  <c r="L52" i="13"/>
  <c r="M52" i="13"/>
  <c r="N52" i="13"/>
  <c r="O52" i="13"/>
  <c r="P52" i="13"/>
  <c r="Q52" i="13"/>
  <c r="R52" i="13"/>
  <c r="S52" i="13"/>
  <c r="T52" i="13"/>
  <c r="U52" i="13"/>
  <c r="V52" i="13"/>
  <c r="W52" i="13"/>
  <c r="X52" i="13"/>
  <c r="Y52" i="13"/>
  <c r="Z52" i="13"/>
  <c r="AA52" i="13"/>
  <c r="AB52" i="13"/>
  <c r="AC52" i="13"/>
  <c r="AD52" i="13"/>
  <c r="AE52" i="13"/>
  <c r="AF52" i="13"/>
  <c r="AG52" i="13"/>
  <c r="AH52" i="13"/>
  <c r="AI52" i="13"/>
  <c r="AJ52" i="13"/>
  <c r="AK52" i="13"/>
  <c r="AL52" i="13"/>
  <c r="AM52" i="13"/>
  <c r="AN52" i="13"/>
  <c r="AO52" i="13"/>
  <c r="D52" i="13"/>
  <c r="D51" i="13"/>
  <c r="D50" i="13"/>
  <c r="D49" i="13"/>
  <c r="D48" i="13"/>
  <c r="D47" i="13"/>
  <c r="D46" i="13"/>
  <c r="D45" i="13"/>
  <c r="D44" i="13"/>
  <c r="D43" i="13"/>
  <c r="AU20" i="21"/>
  <c r="AS20" i="21"/>
  <c r="AV19" i="21"/>
  <c r="AS19" i="21"/>
  <c r="AU18" i="21"/>
  <c r="AV17" i="21"/>
  <c r="AT17" i="21"/>
  <c r="AS17" i="21"/>
  <c r="AU16" i="21"/>
  <c r="AV15" i="21"/>
  <c r="AS15" i="21"/>
  <c r="AU14" i="21"/>
  <c r="AS14" i="21"/>
  <c r="AT13" i="21"/>
  <c r="AV12" i="21"/>
  <c r="AT12" i="21"/>
  <c r="E80" i="13"/>
  <c r="F80" i="13"/>
  <c r="G80" i="13"/>
  <c r="H80" i="13"/>
  <c r="I80" i="13"/>
  <c r="J80" i="13"/>
  <c r="K80" i="13"/>
  <c r="L80" i="13"/>
  <c r="M80" i="13"/>
  <c r="N80" i="13"/>
  <c r="O80" i="13"/>
  <c r="P80" i="13"/>
  <c r="Q80" i="13"/>
  <c r="R80" i="13"/>
  <c r="S80" i="13"/>
  <c r="T80" i="13"/>
  <c r="U80" i="13"/>
  <c r="V80" i="13"/>
  <c r="W80" i="13"/>
  <c r="X80" i="13"/>
  <c r="Y80" i="13"/>
  <c r="Z80" i="13"/>
  <c r="AA80" i="13"/>
  <c r="AB80" i="13"/>
  <c r="AC80" i="13"/>
  <c r="AD80" i="13"/>
  <c r="AE80" i="13"/>
  <c r="AF80" i="13"/>
  <c r="AG80" i="13"/>
  <c r="AH80" i="13"/>
  <c r="AI80" i="13"/>
  <c r="AJ80" i="13"/>
  <c r="AK80" i="13"/>
  <c r="AL80" i="13"/>
  <c r="AM80" i="13"/>
  <c r="AN80" i="13"/>
  <c r="AO80" i="13"/>
  <c r="E81" i="13"/>
  <c r="F81" i="13"/>
  <c r="G81" i="13"/>
  <c r="H81" i="13"/>
  <c r="I81" i="13"/>
  <c r="J81" i="13"/>
  <c r="K81" i="13"/>
  <c r="L81" i="13"/>
  <c r="M81" i="13"/>
  <c r="N81" i="13"/>
  <c r="O81" i="13"/>
  <c r="P81" i="13"/>
  <c r="Q81" i="13"/>
  <c r="R81" i="13"/>
  <c r="S81" i="13"/>
  <c r="T81" i="13"/>
  <c r="U81" i="13"/>
  <c r="V81" i="13"/>
  <c r="W81" i="13"/>
  <c r="X81" i="13"/>
  <c r="Y81" i="13"/>
  <c r="Z81" i="13"/>
  <c r="AA81" i="13"/>
  <c r="AB81" i="13"/>
  <c r="AC81" i="13"/>
  <c r="AD81" i="13"/>
  <c r="AE81" i="13"/>
  <c r="AF81" i="13"/>
  <c r="AG81" i="13"/>
  <c r="AH81" i="13"/>
  <c r="AI81" i="13"/>
  <c r="AJ81" i="13"/>
  <c r="AK81" i="13"/>
  <c r="AL81" i="13"/>
  <c r="AM81" i="13"/>
  <c r="AN81" i="13"/>
  <c r="AO81" i="13"/>
  <c r="E82" i="13"/>
  <c r="F82" i="13"/>
  <c r="G82" i="13"/>
  <c r="H82" i="13"/>
  <c r="I82" i="13"/>
  <c r="J82" i="13"/>
  <c r="K82" i="13"/>
  <c r="L82" i="13"/>
  <c r="M82" i="13"/>
  <c r="N82" i="13"/>
  <c r="O82" i="13"/>
  <c r="P82" i="13"/>
  <c r="Q82" i="13"/>
  <c r="R82" i="13"/>
  <c r="S82" i="13"/>
  <c r="T82" i="13"/>
  <c r="U82" i="13"/>
  <c r="V82" i="13"/>
  <c r="W82" i="13"/>
  <c r="X82" i="13"/>
  <c r="Y82" i="13"/>
  <c r="Z82" i="13"/>
  <c r="AA82" i="13"/>
  <c r="AB82" i="13"/>
  <c r="AC82" i="13"/>
  <c r="AD82" i="13"/>
  <c r="AE82" i="13"/>
  <c r="AF82" i="13"/>
  <c r="AG82" i="13"/>
  <c r="AH82" i="13"/>
  <c r="AI82" i="13"/>
  <c r="AJ82" i="13"/>
  <c r="AK82" i="13"/>
  <c r="AL82" i="13"/>
  <c r="AM82" i="13"/>
  <c r="AN82" i="13"/>
  <c r="AO82" i="13"/>
  <c r="E83" i="13"/>
  <c r="F83" i="13"/>
  <c r="G83" i="13"/>
  <c r="H83" i="13"/>
  <c r="I83" i="13"/>
  <c r="J83" i="13"/>
  <c r="K83" i="13"/>
  <c r="L83" i="13"/>
  <c r="M83" i="13"/>
  <c r="N83" i="13"/>
  <c r="O83" i="13"/>
  <c r="P83" i="13"/>
  <c r="Q83" i="13"/>
  <c r="R83" i="13"/>
  <c r="S83" i="13"/>
  <c r="T83" i="13"/>
  <c r="U83" i="13"/>
  <c r="V83" i="13"/>
  <c r="W83" i="13"/>
  <c r="X83" i="13"/>
  <c r="Y83" i="13"/>
  <c r="Z83" i="13"/>
  <c r="AA83" i="13"/>
  <c r="AB83" i="13"/>
  <c r="AC83" i="13"/>
  <c r="AD83" i="13"/>
  <c r="AE83" i="13"/>
  <c r="AF83" i="13"/>
  <c r="AG83" i="13"/>
  <c r="AH83" i="13"/>
  <c r="AI83" i="13"/>
  <c r="AJ83" i="13"/>
  <c r="AK83" i="13"/>
  <c r="AL83" i="13"/>
  <c r="AM83" i="13"/>
  <c r="AN83" i="13"/>
  <c r="AO83" i="13"/>
  <c r="E84" i="13"/>
  <c r="F84" i="13"/>
  <c r="G84" i="13"/>
  <c r="H84" i="13"/>
  <c r="I84" i="13"/>
  <c r="J84" i="13"/>
  <c r="K84" i="13"/>
  <c r="L84" i="13"/>
  <c r="M84" i="13"/>
  <c r="N84" i="13"/>
  <c r="O84" i="13"/>
  <c r="P84" i="13"/>
  <c r="Q84" i="13"/>
  <c r="R84" i="13"/>
  <c r="S84" i="13"/>
  <c r="T84" i="13"/>
  <c r="U84" i="13"/>
  <c r="V84" i="13"/>
  <c r="W84" i="13"/>
  <c r="X84" i="13"/>
  <c r="Y84" i="13"/>
  <c r="Z84" i="13"/>
  <c r="AA84" i="13"/>
  <c r="AB84" i="13"/>
  <c r="AC84" i="13"/>
  <c r="AD84" i="13"/>
  <c r="AE84" i="13"/>
  <c r="AF84" i="13"/>
  <c r="AG84" i="13"/>
  <c r="AH84" i="13"/>
  <c r="AI84" i="13"/>
  <c r="AJ84" i="13"/>
  <c r="AK84" i="13"/>
  <c r="AL84" i="13"/>
  <c r="AM84" i="13"/>
  <c r="AN84" i="13"/>
  <c r="AO84" i="13"/>
  <c r="E85" i="13"/>
  <c r="F85" i="13"/>
  <c r="G85" i="13"/>
  <c r="H85" i="13"/>
  <c r="I85" i="13"/>
  <c r="J85" i="13"/>
  <c r="K85" i="13"/>
  <c r="L85" i="13"/>
  <c r="M85" i="13"/>
  <c r="N85" i="13"/>
  <c r="O85" i="13"/>
  <c r="P85" i="13"/>
  <c r="Q85" i="13"/>
  <c r="R85" i="13"/>
  <c r="S85" i="13"/>
  <c r="T85" i="13"/>
  <c r="U85" i="13"/>
  <c r="V85" i="13"/>
  <c r="W85" i="13"/>
  <c r="X85" i="13"/>
  <c r="Y85" i="13"/>
  <c r="Z85" i="13"/>
  <c r="AA85" i="13"/>
  <c r="AB85" i="13"/>
  <c r="AC85" i="13"/>
  <c r="AD85" i="13"/>
  <c r="AE85" i="13"/>
  <c r="AF85" i="13"/>
  <c r="AG85" i="13"/>
  <c r="AH85" i="13"/>
  <c r="AI85" i="13"/>
  <c r="AJ85" i="13"/>
  <c r="AK85" i="13"/>
  <c r="AL85" i="13"/>
  <c r="AM85" i="13"/>
  <c r="AN85" i="13"/>
  <c r="AO85" i="13"/>
  <c r="E86" i="13"/>
  <c r="F86" i="13"/>
  <c r="G86" i="13"/>
  <c r="H86" i="13"/>
  <c r="I86" i="13"/>
  <c r="J86" i="13"/>
  <c r="K86" i="13"/>
  <c r="L86" i="13"/>
  <c r="M86" i="13"/>
  <c r="N86" i="13"/>
  <c r="O86" i="13"/>
  <c r="P86" i="13"/>
  <c r="Q86" i="13"/>
  <c r="R86" i="13"/>
  <c r="S86" i="13"/>
  <c r="T86" i="13"/>
  <c r="U86" i="13"/>
  <c r="V86" i="13"/>
  <c r="W86" i="13"/>
  <c r="X86" i="13"/>
  <c r="Y86" i="13"/>
  <c r="Z86" i="13"/>
  <c r="AA86" i="13"/>
  <c r="AB86" i="13"/>
  <c r="AC86" i="13"/>
  <c r="AD86" i="13"/>
  <c r="AE86" i="13"/>
  <c r="AF86" i="13"/>
  <c r="AG86" i="13"/>
  <c r="AH86" i="13"/>
  <c r="AI86" i="13"/>
  <c r="AJ86" i="13"/>
  <c r="AK86" i="13"/>
  <c r="AL86" i="13"/>
  <c r="AM86" i="13"/>
  <c r="AN86" i="13"/>
  <c r="AO86" i="13"/>
  <c r="E87" i="13"/>
  <c r="F87" i="13"/>
  <c r="G87" i="13"/>
  <c r="H87" i="13"/>
  <c r="I87" i="13"/>
  <c r="J87" i="13"/>
  <c r="K87" i="13"/>
  <c r="L87" i="13"/>
  <c r="M87" i="13"/>
  <c r="N87" i="13"/>
  <c r="O87" i="13"/>
  <c r="P87" i="13"/>
  <c r="Q87" i="13"/>
  <c r="R87" i="13"/>
  <c r="S87" i="13"/>
  <c r="T87" i="13"/>
  <c r="U87" i="13"/>
  <c r="V87" i="13"/>
  <c r="W87" i="13"/>
  <c r="X87" i="13"/>
  <c r="Y87" i="13"/>
  <c r="Z87" i="13"/>
  <c r="AA87" i="13"/>
  <c r="AB87" i="13"/>
  <c r="AC87" i="13"/>
  <c r="AD87" i="13"/>
  <c r="AE87" i="13"/>
  <c r="AF87" i="13"/>
  <c r="AG87" i="13"/>
  <c r="AH87" i="13"/>
  <c r="AI87" i="13"/>
  <c r="AJ87" i="13"/>
  <c r="AK87" i="13"/>
  <c r="AL87" i="13"/>
  <c r="AM87" i="13"/>
  <c r="AN87" i="13"/>
  <c r="AO87" i="13"/>
  <c r="E88" i="13"/>
  <c r="F88" i="13"/>
  <c r="G88" i="13"/>
  <c r="H88" i="13"/>
  <c r="I88" i="13"/>
  <c r="J88" i="13"/>
  <c r="K88" i="13"/>
  <c r="L88" i="13"/>
  <c r="M88" i="13"/>
  <c r="N88" i="13"/>
  <c r="O88" i="13"/>
  <c r="P88" i="13"/>
  <c r="Q88" i="13"/>
  <c r="R88" i="13"/>
  <c r="S88" i="13"/>
  <c r="T88" i="13"/>
  <c r="U88" i="13"/>
  <c r="V88" i="13"/>
  <c r="W88" i="13"/>
  <c r="X88" i="13"/>
  <c r="Y88" i="13"/>
  <c r="Z88" i="13"/>
  <c r="AA88" i="13"/>
  <c r="AB88" i="13"/>
  <c r="AC88" i="13"/>
  <c r="AD88" i="13"/>
  <c r="AE88" i="13"/>
  <c r="AF88" i="13"/>
  <c r="AG88" i="13"/>
  <c r="AH88" i="13"/>
  <c r="AI88" i="13"/>
  <c r="AJ88" i="13"/>
  <c r="AK88" i="13"/>
  <c r="AL88" i="13"/>
  <c r="AM88" i="13"/>
  <c r="AN88" i="13"/>
  <c r="AO88" i="13"/>
  <c r="D88" i="13"/>
  <c r="D87" i="13"/>
  <c r="D86" i="13"/>
  <c r="D85" i="13"/>
  <c r="D84" i="13"/>
  <c r="D83" i="13"/>
  <c r="D82" i="13"/>
  <c r="AV20" i="21"/>
  <c r="AT20" i="21"/>
  <c r="AS18" i="21"/>
  <c r="AV16" i="21"/>
  <c r="AT16" i="21"/>
  <c r="AV13" i="21"/>
  <c r="AS13" i="21"/>
  <c r="AS3" i="21"/>
  <c r="AT3" i="21"/>
  <c r="AT4" i="21"/>
  <c r="AU4" i="21"/>
  <c r="AV4" i="21"/>
  <c r="AS5" i="21"/>
  <c r="AT5" i="21"/>
  <c r="AV5" i="21"/>
  <c r="AS6" i="21"/>
  <c r="AT6" i="21"/>
  <c r="AS7" i="21"/>
  <c r="AT7" i="21"/>
  <c r="AT8" i="21"/>
  <c r="AU8" i="21"/>
  <c r="AV8" i="21"/>
  <c r="AS9" i="21"/>
  <c r="AT9" i="21"/>
  <c r="AV9" i="21"/>
  <c r="AS10" i="21"/>
  <c r="AT10" i="21"/>
  <c r="AS11" i="21"/>
  <c r="AT11" i="21"/>
  <c r="AS12" i="21"/>
  <c r="AU12" i="21"/>
  <c r="AU13" i="21"/>
  <c r="AT14" i="21"/>
  <c r="AV14" i="21"/>
  <c r="AT15" i="21"/>
  <c r="AU15" i="21"/>
  <c r="AU17" i="21"/>
  <c r="AT18" i="21"/>
  <c r="AV18" i="21"/>
  <c r="AT19" i="21"/>
  <c r="AU19" i="21"/>
  <c r="AS21" i="21"/>
  <c r="AT21" i="21"/>
  <c r="AT22" i="21"/>
  <c r="AT23" i="21"/>
  <c r="AU23" i="21"/>
  <c r="AV23" i="21"/>
  <c r="AS24" i="21"/>
  <c r="AT24" i="21"/>
  <c r="AV24" i="21"/>
  <c r="AS25" i="21"/>
  <c r="AT25" i="21"/>
  <c r="AS26" i="21"/>
  <c r="AT26" i="21"/>
  <c r="AS27" i="21"/>
  <c r="AT27" i="21"/>
  <c r="AS28" i="21"/>
  <c r="AU28" i="21"/>
  <c r="AV28" i="21"/>
  <c r="AS29" i="21"/>
  <c r="AU29" i="21"/>
  <c r="AV29" i="21"/>
  <c r="AS30" i="21"/>
  <c r="AV30" i="21"/>
  <c r="AS31" i="21"/>
  <c r="AT31" i="21"/>
  <c r="AS32" i="21"/>
  <c r="AU32" i="21"/>
  <c r="AV32" i="21"/>
  <c r="AU2" i="21"/>
  <c r="AT2" i="21"/>
  <c r="AS2" i="21"/>
  <c r="AS4" i="13"/>
  <c r="AT4" i="13"/>
  <c r="AU4" i="13"/>
  <c r="AU43" i="13" s="1"/>
  <c r="AV4" i="13"/>
  <c r="AS5" i="13"/>
  <c r="AT5" i="13"/>
  <c r="AU5" i="13"/>
  <c r="AV5" i="13"/>
  <c r="AS6" i="13"/>
  <c r="AT6" i="13"/>
  <c r="AU6" i="13"/>
  <c r="AV6" i="13"/>
  <c r="AS7" i="13"/>
  <c r="AZ44" i="13" s="1"/>
  <c r="AT7" i="13"/>
  <c r="BA44" i="13" s="1"/>
  <c r="AU7" i="13"/>
  <c r="AU44" i="13" s="1"/>
  <c r="AV7" i="13"/>
  <c r="AV44" i="13" s="1"/>
  <c r="AS8" i="13"/>
  <c r="AT8" i="13"/>
  <c r="AU8" i="13"/>
  <c r="AV8" i="13"/>
  <c r="AS9" i="13"/>
  <c r="AT9" i="13"/>
  <c r="AU9" i="13"/>
  <c r="AV9" i="13"/>
  <c r="AS10" i="13"/>
  <c r="AT10" i="13"/>
  <c r="AU10" i="13"/>
  <c r="AV10" i="13"/>
  <c r="AS11" i="13"/>
  <c r="AZ45" i="13" s="1"/>
  <c r="AT11" i="13"/>
  <c r="BA45" i="13" s="1"/>
  <c r="AU11" i="13"/>
  <c r="AU45" i="13" s="1"/>
  <c r="AV11" i="13"/>
  <c r="AV45" i="13" s="1"/>
  <c r="AS12" i="13"/>
  <c r="AT12" i="13"/>
  <c r="AU12" i="13"/>
  <c r="AV12" i="13"/>
  <c r="AS13" i="13"/>
  <c r="AT13" i="13"/>
  <c r="AU13" i="13"/>
  <c r="AV13" i="13"/>
  <c r="AS14" i="13"/>
  <c r="AT14" i="13"/>
  <c r="AU14" i="13"/>
  <c r="AV14" i="13"/>
  <c r="AS15" i="13"/>
  <c r="AZ46" i="13" s="1"/>
  <c r="AT15" i="13"/>
  <c r="BA46" i="13" s="1"/>
  <c r="AU15" i="13"/>
  <c r="AU46" i="13" s="1"/>
  <c r="AV15" i="13"/>
  <c r="AV46" i="13" s="1"/>
  <c r="AS16" i="13"/>
  <c r="AT16" i="13"/>
  <c r="AU16" i="13"/>
  <c r="AV16" i="13"/>
  <c r="AS17" i="13"/>
  <c r="AT17" i="13"/>
  <c r="AU17" i="13"/>
  <c r="AV17" i="13"/>
  <c r="AS18" i="13"/>
  <c r="AT18" i="13"/>
  <c r="AU18" i="13"/>
  <c r="AV18" i="13"/>
  <c r="AS19" i="13"/>
  <c r="AZ47" i="13" s="1"/>
  <c r="AT19" i="13"/>
  <c r="BA47" i="13" s="1"/>
  <c r="AU19" i="13"/>
  <c r="AU47" i="13" s="1"/>
  <c r="AV19" i="13"/>
  <c r="AV47" i="13" s="1"/>
  <c r="AS20" i="13"/>
  <c r="AT20" i="13"/>
  <c r="AU20" i="13"/>
  <c r="AV20" i="13"/>
  <c r="AS21" i="13"/>
  <c r="AT21" i="13"/>
  <c r="AU21" i="13"/>
  <c r="AV21" i="13"/>
  <c r="AS22" i="13"/>
  <c r="AT22" i="13"/>
  <c r="AU22" i="13"/>
  <c r="AV22" i="13"/>
  <c r="AS23" i="13"/>
  <c r="AZ48" i="13" s="1"/>
  <c r="AT23" i="13"/>
  <c r="BA48" i="13" s="1"/>
  <c r="AU23" i="13"/>
  <c r="AU48" i="13" s="1"/>
  <c r="AV23" i="13"/>
  <c r="AV48" i="13" s="1"/>
  <c r="AS24" i="13"/>
  <c r="AT24" i="13"/>
  <c r="AU24" i="13"/>
  <c r="AV24" i="13"/>
  <c r="AS25" i="13"/>
  <c r="AT25" i="13"/>
  <c r="AU25" i="13"/>
  <c r="AV25" i="13"/>
  <c r="AS26" i="13"/>
  <c r="AT26" i="13"/>
  <c r="AU26" i="13"/>
  <c r="AV26" i="13"/>
  <c r="AS27" i="13"/>
  <c r="AZ49" i="13" s="1"/>
  <c r="AT27" i="13"/>
  <c r="BA49" i="13" s="1"/>
  <c r="AU27" i="13"/>
  <c r="AU49" i="13" s="1"/>
  <c r="AV27" i="13"/>
  <c r="AV49" i="13" s="1"/>
  <c r="AS28" i="13"/>
  <c r="AT28" i="13"/>
  <c r="AU28" i="13"/>
  <c r="AV28" i="13"/>
  <c r="AS29" i="13"/>
  <c r="AT29" i="13"/>
  <c r="AU29" i="13"/>
  <c r="AV29" i="13"/>
  <c r="AS30" i="13"/>
  <c r="AT30" i="13"/>
  <c r="AU30" i="13"/>
  <c r="AV30" i="13"/>
  <c r="AS31" i="13"/>
  <c r="AZ50" i="13" s="1"/>
  <c r="AT31" i="13"/>
  <c r="BA50" i="13" s="1"/>
  <c r="AU31" i="13"/>
  <c r="AU50" i="13" s="1"/>
  <c r="AV31" i="13"/>
  <c r="AV50" i="13" s="1"/>
  <c r="AS32" i="13"/>
  <c r="AT32" i="13"/>
  <c r="AU32" i="13"/>
  <c r="AV32" i="13"/>
  <c r="AS33" i="13"/>
  <c r="AT33" i="13"/>
  <c r="AU33" i="13"/>
  <c r="AV33" i="13"/>
  <c r="AS34" i="13"/>
  <c r="AT34" i="13"/>
  <c r="AU34" i="13"/>
  <c r="AV34" i="13"/>
  <c r="AS35" i="13"/>
  <c r="AZ51" i="13" s="1"/>
  <c r="AT35" i="13"/>
  <c r="BA51" i="13" s="1"/>
  <c r="AU35" i="13"/>
  <c r="AU51" i="13" s="1"/>
  <c r="AV35" i="13"/>
  <c r="AV51" i="13" s="1"/>
  <c r="AS36" i="13"/>
  <c r="AT36" i="13"/>
  <c r="AU36" i="13"/>
  <c r="AV36" i="13"/>
  <c r="AS37" i="13"/>
  <c r="AT37" i="13"/>
  <c r="AU37" i="13"/>
  <c r="AV37" i="13"/>
  <c r="AS38" i="13"/>
  <c r="AT38" i="13"/>
  <c r="AU38" i="13"/>
  <c r="AV38" i="13"/>
  <c r="AS39" i="13"/>
  <c r="AZ52" i="13" s="1"/>
  <c r="AT39" i="13"/>
  <c r="BA52" i="13" s="1"/>
  <c r="AU39" i="13"/>
  <c r="AU52" i="13" s="1"/>
  <c r="AV39" i="13"/>
  <c r="AV52" i="13" s="1"/>
  <c r="AS40" i="13"/>
  <c r="AT40" i="13"/>
  <c r="AU40" i="13"/>
  <c r="AV40" i="13"/>
  <c r="AS41" i="13"/>
  <c r="AT41" i="13"/>
  <c r="AU41" i="13"/>
  <c r="AV41" i="13"/>
  <c r="AT42" i="13"/>
  <c r="AU42" i="13"/>
  <c r="AV42" i="13"/>
  <c r="BC52" i="13" s="1"/>
  <c r="AS53" i="13"/>
  <c r="AT53" i="13"/>
  <c r="AU53" i="13"/>
  <c r="AV53" i="13"/>
  <c r="AS54" i="13"/>
  <c r="AT54" i="13"/>
  <c r="AU54" i="13"/>
  <c r="AV54" i="13"/>
  <c r="AS55" i="13"/>
  <c r="AT55" i="13"/>
  <c r="AU55" i="13"/>
  <c r="AV55" i="13"/>
  <c r="AS56" i="13"/>
  <c r="AT56" i="13"/>
  <c r="AU56" i="13"/>
  <c r="AV56" i="13"/>
  <c r="AS57" i="13"/>
  <c r="AT57" i="13"/>
  <c r="AU57" i="13"/>
  <c r="AV57" i="13"/>
  <c r="AS58" i="13"/>
  <c r="AT58" i="13"/>
  <c r="AU58" i="13"/>
  <c r="AV58" i="13"/>
  <c r="AS59" i="13"/>
  <c r="AT59" i="13"/>
  <c r="AU59" i="13"/>
  <c r="AV59" i="13"/>
  <c r="AS60" i="13"/>
  <c r="AT60" i="13"/>
  <c r="AU60" i="13"/>
  <c r="AV60" i="13"/>
  <c r="AS61" i="13"/>
  <c r="AT61" i="13"/>
  <c r="AU61" i="13"/>
  <c r="AV61" i="13"/>
  <c r="AS62" i="13"/>
  <c r="AT62" i="13"/>
  <c r="AU62" i="13"/>
  <c r="AV62" i="13"/>
  <c r="AS63" i="13"/>
  <c r="AT63" i="13"/>
  <c r="AU63" i="13"/>
  <c r="AV63" i="13"/>
  <c r="AS64" i="13"/>
  <c r="AT64" i="13"/>
  <c r="AU64" i="13"/>
  <c r="AV64" i="13"/>
  <c r="AS65" i="13"/>
  <c r="AT65" i="13"/>
  <c r="AU65" i="13"/>
  <c r="AV65" i="13"/>
  <c r="AS66" i="13"/>
  <c r="AT66" i="13"/>
  <c r="AU66" i="13"/>
  <c r="AV66" i="13"/>
  <c r="AS67" i="13"/>
  <c r="AT67" i="13"/>
  <c r="AU67" i="13"/>
  <c r="AV67" i="13"/>
  <c r="AS68" i="13"/>
  <c r="AT68" i="13"/>
  <c r="AU68" i="13"/>
  <c r="AV68" i="13"/>
  <c r="AS69" i="13"/>
  <c r="AT69" i="13"/>
  <c r="AU69" i="13"/>
  <c r="AV69" i="13"/>
  <c r="AS70" i="13"/>
  <c r="AT70" i="13"/>
  <c r="AU70" i="13"/>
  <c r="AV70" i="13"/>
  <c r="AS71" i="13"/>
  <c r="AT71" i="13"/>
  <c r="AU71" i="13"/>
  <c r="AV71" i="13"/>
  <c r="AS72" i="13"/>
  <c r="AT72" i="13"/>
  <c r="AU72" i="13"/>
  <c r="AV72" i="13"/>
  <c r="AS73" i="13"/>
  <c r="AT73" i="13"/>
  <c r="AU73" i="13"/>
  <c r="AV73" i="13"/>
  <c r="AS74" i="13"/>
  <c r="AT74" i="13"/>
  <c r="AU74" i="13"/>
  <c r="AV74" i="13"/>
  <c r="AS75" i="13"/>
  <c r="AT75" i="13"/>
  <c r="AU75" i="13"/>
  <c r="AV75" i="13"/>
  <c r="AS76" i="13"/>
  <c r="AT76" i="13"/>
  <c r="AU76" i="13"/>
  <c r="AV76" i="13"/>
  <c r="AS77" i="13"/>
  <c r="AT77" i="13"/>
  <c r="AU77" i="13"/>
  <c r="AV77" i="13"/>
  <c r="AS78" i="13"/>
  <c r="AT78" i="13"/>
  <c r="AU78" i="13"/>
  <c r="AV78" i="13"/>
  <c r="AS79" i="13"/>
  <c r="AT79" i="13"/>
  <c r="AU79" i="13"/>
  <c r="AV79" i="13"/>
  <c r="AS89" i="13"/>
  <c r="AT89" i="13"/>
  <c r="AU89" i="13"/>
  <c r="AV89" i="13"/>
  <c r="AS90" i="13"/>
  <c r="AT90" i="13"/>
  <c r="AU90" i="13"/>
  <c r="AV90" i="13"/>
  <c r="AS91" i="13"/>
  <c r="AT91" i="13"/>
  <c r="AU91" i="13"/>
  <c r="AV91" i="13"/>
  <c r="AS92" i="13"/>
  <c r="AT92" i="13"/>
  <c r="AU92" i="13"/>
  <c r="AV92" i="13"/>
  <c r="AS93" i="13"/>
  <c r="AT93" i="13"/>
  <c r="AU93" i="13"/>
  <c r="AV93" i="13"/>
  <c r="AS94" i="13"/>
  <c r="AT94" i="13"/>
  <c r="AU94" i="13"/>
  <c r="AV94" i="13"/>
  <c r="AS95" i="13"/>
  <c r="AT95" i="13"/>
  <c r="AU95" i="13"/>
  <c r="AV95" i="13"/>
  <c r="AS96" i="13"/>
  <c r="AT96" i="13"/>
  <c r="AU96" i="13"/>
  <c r="AV96" i="13"/>
  <c r="AS97" i="13"/>
  <c r="AT97" i="13"/>
  <c r="AU97" i="13"/>
  <c r="AV97" i="13"/>
  <c r="AS98" i="13"/>
  <c r="AT98" i="13"/>
  <c r="AU98" i="13"/>
  <c r="AV98" i="13"/>
  <c r="AS99" i="13"/>
  <c r="AT99" i="13"/>
  <c r="AU99" i="13"/>
  <c r="AV99" i="13"/>
  <c r="AS100" i="13"/>
  <c r="AT100" i="13"/>
  <c r="AU100" i="13"/>
  <c r="AV100" i="13"/>
  <c r="AS101" i="13"/>
  <c r="AT101" i="13"/>
  <c r="AU101" i="13"/>
  <c r="AV101" i="13"/>
  <c r="AS102" i="13"/>
  <c r="AT102" i="13"/>
  <c r="AU102" i="13"/>
  <c r="AV102" i="13"/>
  <c r="AS103" i="13"/>
  <c r="AT103" i="13"/>
  <c r="AU103" i="13"/>
  <c r="AV103" i="13"/>
  <c r="AS104" i="13"/>
  <c r="AT104" i="13"/>
  <c r="AU104" i="13"/>
  <c r="AV104" i="13"/>
  <c r="AS105" i="13"/>
  <c r="AT105" i="13"/>
  <c r="AU105" i="13"/>
  <c r="AV105" i="13"/>
  <c r="AS106" i="13"/>
  <c r="AT106" i="13"/>
  <c r="AU106" i="13"/>
  <c r="AV106" i="13"/>
  <c r="AS107" i="13"/>
  <c r="AT107" i="13"/>
  <c r="AU107" i="13"/>
  <c r="AV107" i="13"/>
  <c r="AS108" i="13"/>
  <c r="AT108" i="13"/>
  <c r="AU108" i="13"/>
  <c r="AV108" i="13"/>
  <c r="AS109" i="13"/>
  <c r="AT109" i="13"/>
  <c r="AU109" i="13"/>
  <c r="AV109" i="13"/>
  <c r="AS110" i="13"/>
  <c r="AT110" i="13"/>
  <c r="AU110" i="13"/>
  <c r="AV110" i="13"/>
  <c r="AS111" i="13"/>
  <c r="AT111" i="13"/>
  <c r="AU111" i="13"/>
  <c r="AV111" i="13"/>
  <c r="AS112" i="13"/>
  <c r="AT112" i="13"/>
  <c r="AU112" i="13"/>
  <c r="AV112" i="13"/>
  <c r="AS119" i="13"/>
  <c r="AT119" i="13"/>
  <c r="AU119" i="13"/>
  <c r="AV119" i="13"/>
  <c r="AS120" i="13"/>
  <c r="AT120" i="13"/>
  <c r="AU120" i="13"/>
  <c r="AV120" i="13"/>
  <c r="AS121" i="13"/>
  <c r="AT121" i="13"/>
  <c r="AU121" i="13"/>
  <c r="AV121" i="13"/>
  <c r="AS122" i="13"/>
  <c r="AT122" i="13"/>
  <c r="AU122" i="13"/>
  <c r="AV122" i="13"/>
  <c r="AS123" i="13"/>
  <c r="AT123" i="13"/>
  <c r="AU123" i="13"/>
  <c r="AV123" i="13"/>
  <c r="AS124" i="13"/>
  <c r="AT124" i="13"/>
  <c r="AU124" i="13"/>
  <c r="AV124" i="13"/>
  <c r="AS125" i="13"/>
  <c r="AT125" i="13"/>
  <c r="AU125" i="13"/>
  <c r="AV125" i="13"/>
  <c r="AS126" i="13"/>
  <c r="AT126" i="13"/>
  <c r="AU126" i="13"/>
  <c r="AV126" i="13"/>
  <c r="AS127" i="13"/>
  <c r="AT127" i="13"/>
  <c r="AU127" i="13"/>
  <c r="AV127" i="13"/>
  <c r="AS128" i="13"/>
  <c r="AT128" i="13"/>
  <c r="AU128" i="13"/>
  <c r="AV128" i="13"/>
  <c r="AS129" i="13"/>
  <c r="AT129" i="13"/>
  <c r="AU129" i="13"/>
  <c r="AV129" i="13"/>
  <c r="AS130" i="13"/>
  <c r="AT130" i="13"/>
  <c r="AU130" i="13"/>
  <c r="AV130" i="13"/>
  <c r="AS131" i="13"/>
  <c r="AT131" i="13"/>
  <c r="AU131" i="13"/>
  <c r="AV131" i="13"/>
  <c r="AS132" i="13"/>
  <c r="AT132" i="13"/>
  <c r="AU132" i="13"/>
  <c r="AV132" i="13"/>
  <c r="AS133" i="13"/>
  <c r="AT133" i="13"/>
  <c r="AU133" i="13"/>
  <c r="AV133" i="13"/>
  <c r="AS134" i="13"/>
  <c r="AT134" i="13"/>
  <c r="AU134" i="13"/>
  <c r="AV134" i="13"/>
  <c r="AS135" i="13"/>
  <c r="AT135" i="13"/>
  <c r="AU135" i="13"/>
  <c r="AV135" i="13"/>
  <c r="AS136" i="13"/>
  <c r="AT136" i="13"/>
  <c r="AU136" i="13"/>
  <c r="AV136" i="13"/>
  <c r="AS137" i="13"/>
  <c r="AT137" i="13"/>
  <c r="AU137" i="13"/>
  <c r="AV137" i="13"/>
  <c r="AS138" i="13"/>
  <c r="AT138" i="13"/>
  <c r="AU138" i="13"/>
  <c r="AV138" i="13"/>
  <c r="AS139" i="13"/>
  <c r="AT139" i="13"/>
  <c r="AU139" i="13"/>
  <c r="AV139" i="13"/>
  <c r="AS140" i="13"/>
  <c r="AT140" i="13"/>
  <c r="AU140" i="13"/>
  <c r="AV140" i="13"/>
  <c r="AS141" i="13"/>
  <c r="AT141" i="13"/>
  <c r="AU141" i="13"/>
  <c r="AV141" i="13"/>
  <c r="AS142" i="13"/>
  <c r="AT142" i="13"/>
  <c r="AU142" i="13"/>
  <c r="AV142" i="13"/>
  <c r="AV3" i="13"/>
  <c r="AV43" i="13" s="1"/>
  <c r="AU3" i="13"/>
  <c r="AT3" i="13"/>
  <c r="BA43" i="13" s="1"/>
  <c r="AS3" i="13"/>
  <c r="AZ43" i="13" s="1"/>
  <c r="AG42" i="18"/>
  <c r="CB59" i="16"/>
  <c r="CC141" i="16"/>
  <c r="CB141" i="16"/>
  <c r="CC106" i="16"/>
  <c r="CB106" i="16"/>
  <c r="CC78" i="16"/>
  <c r="CB78" i="16"/>
  <c r="CC66" i="16"/>
  <c r="CB66" i="16"/>
  <c r="CC62" i="16"/>
  <c r="CB62" i="16"/>
  <c r="CB50" i="16"/>
  <c r="CC43" i="16"/>
  <c r="CB43" i="16"/>
  <c r="CB36" i="16"/>
  <c r="CB29" i="16"/>
  <c r="CC22" i="16"/>
  <c r="CB22" i="16"/>
  <c r="CB15" i="16"/>
  <c r="CC10" i="16"/>
  <c r="CB10" i="16"/>
  <c r="E50" i="19"/>
  <c r="G50" i="19"/>
  <c r="I50" i="19"/>
  <c r="K50" i="19"/>
  <c r="L50" i="19"/>
  <c r="M50" i="19"/>
  <c r="O50" i="19"/>
  <c r="P50" i="19"/>
  <c r="Q50" i="19"/>
  <c r="R50" i="19"/>
  <c r="S50" i="19"/>
  <c r="T50" i="19"/>
  <c r="U50" i="19"/>
  <c r="V50" i="19"/>
  <c r="W50" i="19"/>
  <c r="X50" i="19"/>
  <c r="Y50" i="19"/>
  <c r="AA50" i="19"/>
  <c r="AC50" i="19"/>
  <c r="AD50" i="19"/>
  <c r="AE50" i="19"/>
  <c r="AF50" i="19"/>
  <c r="AG50" i="19"/>
  <c r="AH50" i="19"/>
  <c r="AI50" i="19"/>
  <c r="AJ50" i="19"/>
  <c r="AK50" i="19"/>
  <c r="AL50" i="19"/>
  <c r="AM50" i="19"/>
  <c r="AN50" i="19"/>
  <c r="AO50" i="19"/>
  <c r="AP50" i="19"/>
  <c r="AQ50" i="19"/>
  <c r="AS50" i="19"/>
  <c r="AU50" i="19"/>
  <c r="AW50" i="19"/>
  <c r="AY50" i="19"/>
  <c r="BA50" i="19"/>
  <c r="BC50" i="19"/>
  <c r="BE50" i="19"/>
  <c r="BG50" i="19"/>
  <c r="BI50" i="19"/>
  <c r="BK50" i="19"/>
  <c r="BM50" i="19"/>
  <c r="BN50" i="19"/>
  <c r="BO50" i="19"/>
  <c r="BP50" i="19"/>
  <c r="BQ50" i="19"/>
  <c r="BR50" i="19"/>
  <c r="BS50" i="19"/>
  <c r="BT50" i="19"/>
  <c r="BU50" i="19"/>
  <c r="BV50" i="19"/>
  <c r="BW50" i="19"/>
  <c r="BX50" i="19"/>
  <c r="BY50" i="19"/>
  <c r="BZ50" i="19"/>
  <c r="CA50" i="19"/>
  <c r="E51" i="19"/>
  <c r="G51" i="19"/>
  <c r="I51" i="19"/>
  <c r="K51" i="19"/>
  <c r="L51" i="19"/>
  <c r="M51" i="19"/>
  <c r="O51" i="19"/>
  <c r="P51" i="19"/>
  <c r="Q51" i="19"/>
  <c r="R51" i="19"/>
  <c r="S51" i="19"/>
  <c r="T51" i="19"/>
  <c r="U51" i="19"/>
  <c r="V51" i="19"/>
  <c r="W51" i="19"/>
  <c r="X51" i="19"/>
  <c r="Y51" i="19"/>
  <c r="AA51" i="19"/>
  <c r="AC51" i="19"/>
  <c r="AD51" i="19"/>
  <c r="AE51" i="19"/>
  <c r="AF51" i="19"/>
  <c r="AG51" i="19"/>
  <c r="AH51" i="19"/>
  <c r="AI51" i="19"/>
  <c r="AJ51" i="19"/>
  <c r="AK51" i="19"/>
  <c r="AL51" i="19"/>
  <c r="AM51" i="19"/>
  <c r="AN51" i="19"/>
  <c r="AO51" i="19"/>
  <c r="AP51" i="19"/>
  <c r="AQ51" i="19"/>
  <c r="AS51" i="19"/>
  <c r="AU51" i="19"/>
  <c r="AW51" i="19"/>
  <c r="AY51" i="19"/>
  <c r="BA51" i="19"/>
  <c r="BC51" i="19"/>
  <c r="BE51" i="19"/>
  <c r="BG51" i="19"/>
  <c r="BI51" i="19"/>
  <c r="BK51" i="19"/>
  <c r="BM51" i="19"/>
  <c r="BN51" i="19"/>
  <c r="BO51" i="19"/>
  <c r="BP51" i="19"/>
  <c r="BQ51" i="19"/>
  <c r="BR51" i="19"/>
  <c r="BS51" i="19"/>
  <c r="BT51" i="19"/>
  <c r="BU51" i="19"/>
  <c r="BV51" i="19"/>
  <c r="BW51" i="19"/>
  <c r="BX51" i="19"/>
  <c r="BY51" i="19"/>
  <c r="BZ51" i="19"/>
  <c r="CA51" i="19"/>
  <c r="E52" i="19"/>
  <c r="G52" i="19"/>
  <c r="I52" i="19"/>
  <c r="K52" i="19"/>
  <c r="M52" i="19"/>
  <c r="O52" i="19"/>
  <c r="P52" i="19"/>
  <c r="Q52" i="19"/>
  <c r="R52" i="19"/>
  <c r="S52" i="19"/>
  <c r="T52" i="19"/>
  <c r="U52" i="19"/>
  <c r="V52" i="19"/>
  <c r="W52" i="19"/>
  <c r="Y52" i="19"/>
  <c r="AA52" i="19"/>
  <c r="AC52" i="19"/>
  <c r="AD52" i="19"/>
  <c r="AE52" i="19"/>
  <c r="AF52" i="19"/>
  <c r="AG52" i="19"/>
  <c r="AH52" i="19"/>
  <c r="AI52" i="19"/>
  <c r="AJ52" i="19"/>
  <c r="AK52" i="19"/>
  <c r="AL52" i="19"/>
  <c r="AM52" i="19"/>
  <c r="AN52" i="19"/>
  <c r="AO52" i="19"/>
  <c r="AP52" i="19"/>
  <c r="AQ52" i="19"/>
  <c r="AS52" i="19"/>
  <c r="AU52" i="19"/>
  <c r="AW52" i="19"/>
  <c r="AY52" i="19"/>
  <c r="BA52" i="19"/>
  <c r="BC52" i="19"/>
  <c r="BE52" i="19"/>
  <c r="BG52" i="19"/>
  <c r="BI52" i="19"/>
  <c r="BK52" i="19"/>
  <c r="BM52" i="19"/>
  <c r="BN52" i="19"/>
  <c r="BO52" i="19"/>
  <c r="BP52" i="19"/>
  <c r="BQ52" i="19"/>
  <c r="BR52" i="19"/>
  <c r="BS52" i="19"/>
  <c r="BT52" i="19"/>
  <c r="BU52" i="19"/>
  <c r="BV52" i="19"/>
  <c r="BW52" i="19"/>
  <c r="BX52" i="19"/>
  <c r="BY52" i="19"/>
  <c r="BZ52" i="19"/>
  <c r="CA52" i="19"/>
  <c r="E53" i="19"/>
  <c r="G53" i="19"/>
  <c r="I53" i="19"/>
  <c r="K53" i="19"/>
  <c r="M53" i="19"/>
  <c r="O53" i="19"/>
  <c r="P53" i="19"/>
  <c r="Q53" i="19"/>
  <c r="R53" i="19"/>
  <c r="S53" i="19"/>
  <c r="T53" i="19"/>
  <c r="U53" i="19"/>
  <c r="W53" i="19"/>
  <c r="Y53" i="19"/>
  <c r="AA53" i="19"/>
  <c r="AC53" i="19"/>
  <c r="AD53" i="19"/>
  <c r="AE53" i="19"/>
  <c r="AF53" i="19"/>
  <c r="AG53" i="19"/>
  <c r="AH53" i="19"/>
  <c r="AI53" i="19"/>
  <c r="AJ53" i="19"/>
  <c r="AK53" i="19"/>
  <c r="AL53" i="19"/>
  <c r="AM53" i="19"/>
  <c r="AN53" i="19"/>
  <c r="AO53" i="19"/>
  <c r="AP53" i="19"/>
  <c r="AQ53" i="19"/>
  <c r="AS53" i="19"/>
  <c r="AU53" i="19"/>
  <c r="AW53" i="19"/>
  <c r="AY53" i="19"/>
  <c r="BA53" i="19"/>
  <c r="BC53" i="19"/>
  <c r="BE53" i="19"/>
  <c r="BG53" i="19"/>
  <c r="BI53" i="19"/>
  <c r="BK53" i="19"/>
  <c r="BM53" i="19"/>
  <c r="BO53" i="19"/>
  <c r="BP53" i="19"/>
  <c r="BQ53" i="19"/>
  <c r="BR53" i="19"/>
  <c r="BS53" i="19"/>
  <c r="BT53" i="19"/>
  <c r="BU53" i="19"/>
  <c r="BV53" i="19"/>
  <c r="BW53" i="19"/>
  <c r="BX53" i="19"/>
  <c r="BY53" i="19"/>
  <c r="CA53" i="19"/>
  <c r="E54" i="19"/>
  <c r="G54" i="19"/>
  <c r="I54" i="19"/>
  <c r="K54" i="19"/>
  <c r="M54" i="19"/>
  <c r="O54" i="19"/>
  <c r="P54" i="19"/>
  <c r="Q54" i="19"/>
  <c r="S54" i="19"/>
  <c r="U54" i="19"/>
  <c r="W54" i="19"/>
  <c r="Y54" i="19"/>
  <c r="AA54" i="19"/>
  <c r="AC54" i="19"/>
  <c r="AE54" i="19"/>
  <c r="AF54" i="19"/>
  <c r="AG54" i="19"/>
  <c r="AH54" i="19"/>
  <c r="AI54" i="19"/>
  <c r="AJ54" i="19"/>
  <c r="AK54" i="19"/>
  <c r="AL54" i="19"/>
  <c r="AM54" i="19"/>
  <c r="AO54" i="19"/>
  <c r="AQ54" i="19"/>
  <c r="AS54" i="19"/>
  <c r="AU54" i="19"/>
  <c r="AW54" i="19"/>
  <c r="AY54" i="19"/>
  <c r="BA54" i="19"/>
  <c r="BC54" i="19"/>
  <c r="BE54" i="19"/>
  <c r="BG54" i="19"/>
  <c r="BI54" i="19"/>
  <c r="BK54" i="19"/>
  <c r="BM54" i="19"/>
  <c r="BO54" i="19"/>
  <c r="BP54" i="19"/>
  <c r="BQ54" i="19"/>
  <c r="BR54" i="19"/>
  <c r="BS54" i="19"/>
  <c r="BT54" i="19"/>
  <c r="BU54" i="19"/>
  <c r="BV54" i="19"/>
  <c r="BW54" i="19"/>
  <c r="BY54" i="19"/>
  <c r="CA54" i="19"/>
  <c r="E55" i="19"/>
  <c r="G55" i="19"/>
  <c r="I55" i="19"/>
  <c r="K55" i="19"/>
  <c r="M55" i="19"/>
  <c r="O55" i="19"/>
  <c r="Q55" i="19"/>
  <c r="S55" i="19"/>
  <c r="U55" i="19"/>
  <c r="W55" i="19"/>
  <c r="Y55" i="19"/>
  <c r="AA55" i="19"/>
  <c r="AC55" i="19"/>
  <c r="AE55" i="19"/>
  <c r="AG55" i="19"/>
  <c r="AH55" i="19"/>
  <c r="AI55" i="19"/>
  <c r="AJ55" i="19"/>
  <c r="AK55" i="19"/>
  <c r="AL55" i="19"/>
  <c r="AM55" i="19"/>
  <c r="AO55" i="19"/>
  <c r="AQ55" i="19"/>
  <c r="AS55" i="19"/>
  <c r="AU55" i="19"/>
  <c r="AW55" i="19"/>
  <c r="AY55" i="19"/>
  <c r="BA55" i="19"/>
  <c r="BC55" i="19"/>
  <c r="BE55" i="19"/>
  <c r="BG55" i="19"/>
  <c r="BI55" i="19"/>
  <c r="BK55" i="19"/>
  <c r="BM55" i="19"/>
  <c r="BO55" i="19"/>
  <c r="BP55" i="19"/>
  <c r="BQ55" i="19"/>
  <c r="BR55" i="19"/>
  <c r="BS55" i="19"/>
  <c r="BT55" i="19"/>
  <c r="BU55" i="19"/>
  <c r="BV55" i="19"/>
  <c r="BW55" i="19"/>
  <c r="BY55" i="19"/>
  <c r="CA55" i="19"/>
  <c r="D51" i="19"/>
  <c r="D50" i="19"/>
  <c r="E41" i="19"/>
  <c r="G41" i="19"/>
  <c r="I41" i="19"/>
  <c r="K41" i="19"/>
  <c r="M41" i="19"/>
  <c r="O41" i="19"/>
  <c r="Q41" i="19"/>
  <c r="S41" i="19"/>
  <c r="U41" i="19"/>
  <c r="W41" i="19"/>
  <c r="Y41" i="19"/>
  <c r="AA41" i="19"/>
  <c r="AC41" i="19"/>
  <c r="AE41" i="19"/>
  <c r="AG41" i="19"/>
  <c r="AI41" i="19"/>
  <c r="AK41" i="19"/>
  <c r="AM41" i="19"/>
  <c r="AO41" i="19"/>
  <c r="AQ41" i="19"/>
  <c r="AS41" i="19"/>
  <c r="AU41" i="19"/>
  <c r="AW41" i="19"/>
  <c r="AY41" i="19"/>
  <c r="BA41" i="19"/>
  <c r="BC41" i="19"/>
  <c r="BE41" i="19"/>
  <c r="BG41" i="19"/>
  <c r="BI41" i="19"/>
  <c r="BK41" i="19"/>
  <c r="BM41" i="19"/>
  <c r="BO41" i="19"/>
  <c r="BQ41" i="19"/>
  <c r="BS41" i="19"/>
  <c r="BU41" i="19"/>
  <c r="BW41" i="19"/>
  <c r="BY41" i="19"/>
  <c r="CA41" i="19"/>
  <c r="E42" i="19"/>
  <c r="G42" i="19"/>
  <c r="I42" i="19"/>
  <c r="K42" i="19"/>
  <c r="L42" i="19"/>
  <c r="M42" i="19"/>
  <c r="O42" i="19"/>
  <c r="Q42" i="19"/>
  <c r="S42" i="19"/>
  <c r="U42" i="19"/>
  <c r="W42" i="19"/>
  <c r="Y42" i="19"/>
  <c r="AA42" i="19"/>
  <c r="AC42" i="19"/>
  <c r="AD42" i="19"/>
  <c r="AE42" i="19"/>
  <c r="AG42" i="19"/>
  <c r="AH42" i="19"/>
  <c r="AI42" i="19"/>
  <c r="AJ42" i="19"/>
  <c r="AK42" i="19"/>
  <c r="AL42" i="19"/>
  <c r="AM42" i="19"/>
  <c r="AO42" i="19"/>
  <c r="AQ42" i="19"/>
  <c r="AS42" i="19"/>
  <c r="AU42" i="19"/>
  <c r="AW42" i="19"/>
  <c r="AY42" i="19"/>
  <c r="BA42" i="19"/>
  <c r="BC42" i="19"/>
  <c r="BE42" i="19"/>
  <c r="BG42" i="19"/>
  <c r="BI42" i="19"/>
  <c r="BK42" i="19"/>
  <c r="BM42" i="19"/>
  <c r="BO42" i="19"/>
  <c r="BP42" i="19"/>
  <c r="BQ42" i="19"/>
  <c r="BR42" i="19"/>
  <c r="BS42" i="19"/>
  <c r="BT42" i="19"/>
  <c r="BU42" i="19"/>
  <c r="BV42" i="19"/>
  <c r="BW42" i="19"/>
  <c r="BX42" i="19"/>
  <c r="BY42" i="19"/>
  <c r="BZ42" i="19"/>
  <c r="CA42" i="19"/>
  <c r="E43" i="19"/>
  <c r="G43" i="19"/>
  <c r="I43" i="19"/>
  <c r="K43" i="19"/>
  <c r="L43" i="19"/>
  <c r="M43" i="19"/>
  <c r="O43" i="19"/>
  <c r="P43" i="19"/>
  <c r="Q43" i="19"/>
  <c r="R43" i="19"/>
  <c r="S43" i="19"/>
  <c r="T43" i="19"/>
  <c r="U43" i="19"/>
  <c r="V43" i="19"/>
  <c r="W43" i="19"/>
  <c r="X43" i="19"/>
  <c r="Y43" i="19"/>
  <c r="AA43" i="19"/>
  <c r="AC43" i="19"/>
  <c r="AD43" i="19"/>
  <c r="AE43" i="19"/>
  <c r="AF43" i="19"/>
  <c r="AG43" i="19"/>
  <c r="AH43" i="19"/>
  <c r="AI43" i="19"/>
  <c r="AJ43" i="19"/>
  <c r="AK43" i="19"/>
  <c r="AL43" i="19"/>
  <c r="AM43" i="19"/>
  <c r="AN43" i="19"/>
  <c r="AO43" i="19"/>
  <c r="AP43" i="19"/>
  <c r="AQ43" i="19"/>
  <c r="AS43" i="19"/>
  <c r="AU43" i="19"/>
  <c r="AW43" i="19"/>
  <c r="AX43" i="19"/>
  <c r="AY43" i="19"/>
  <c r="BA43" i="19"/>
  <c r="BC43" i="19"/>
  <c r="BE43" i="19"/>
  <c r="BG43" i="19"/>
  <c r="BI43" i="19"/>
  <c r="BK43" i="19"/>
  <c r="BM43" i="19"/>
  <c r="BO43" i="19"/>
  <c r="BP43" i="19"/>
  <c r="BQ43" i="19"/>
  <c r="BR43" i="19"/>
  <c r="BS43" i="19"/>
  <c r="BT43" i="19"/>
  <c r="BU43" i="19"/>
  <c r="BV43" i="19"/>
  <c r="BW43" i="19"/>
  <c r="BX43" i="19"/>
  <c r="BY43" i="19"/>
  <c r="BZ43" i="19"/>
  <c r="CA43" i="19"/>
  <c r="E44" i="19"/>
  <c r="G44" i="19"/>
  <c r="I44" i="19"/>
  <c r="K44" i="19"/>
  <c r="L44" i="19"/>
  <c r="M44" i="19"/>
  <c r="O44" i="19"/>
  <c r="P44" i="19"/>
  <c r="Q44" i="19"/>
  <c r="R44" i="19"/>
  <c r="S44" i="19"/>
  <c r="T44" i="19"/>
  <c r="U44" i="19"/>
  <c r="V44" i="19"/>
  <c r="W44" i="19"/>
  <c r="X44" i="19"/>
  <c r="Y44" i="19"/>
  <c r="AA44" i="19"/>
  <c r="AC44" i="19"/>
  <c r="AD44" i="19"/>
  <c r="AE44" i="19"/>
  <c r="AF44" i="19"/>
  <c r="AG44" i="19"/>
  <c r="AH44" i="19"/>
  <c r="AI44" i="19"/>
  <c r="AJ44" i="19"/>
  <c r="AK44" i="19"/>
  <c r="AL44" i="19"/>
  <c r="AM44" i="19"/>
  <c r="AN44" i="19"/>
  <c r="AO44" i="19"/>
  <c r="AP44" i="19"/>
  <c r="AQ44" i="19"/>
  <c r="AS44" i="19"/>
  <c r="AU44" i="19"/>
  <c r="AW44" i="19"/>
  <c r="AY44" i="19"/>
  <c r="BA44" i="19"/>
  <c r="BC44" i="19"/>
  <c r="BE44" i="19"/>
  <c r="BG44" i="19"/>
  <c r="BI44" i="19"/>
  <c r="BK44" i="19"/>
  <c r="BM44" i="19"/>
  <c r="BN44" i="19"/>
  <c r="BO44" i="19"/>
  <c r="BP44" i="19"/>
  <c r="BQ44" i="19"/>
  <c r="BR44" i="19"/>
  <c r="BS44" i="19"/>
  <c r="BT44" i="19"/>
  <c r="BU44" i="19"/>
  <c r="BV44" i="19"/>
  <c r="BW44" i="19"/>
  <c r="BX44" i="19"/>
  <c r="BY44" i="19"/>
  <c r="BZ44" i="19"/>
  <c r="CA44" i="19"/>
  <c r="E45" i="19"/>
  <c r="G45" i="19"/>
  <c r="I45" i="19"/>
  <c r="K45" i="19"/>
  <c r="L45" i="19"/>
  <c r="M45" i="19"/>
  <c r="O45" i="19"/>
  <c r="P45" i="19"/>
  <c r="Q45" i="19"/>
  <c r="R45" i="19"/>
  <c r="S45" i="19"/>
  <c r="T45" i="19"/>
  <c r="U45" i="19"/>
  <c r="V45" i="19"/>
  <c r="W45" i="19"/>
  <c r="X45" i="19"/>
  <c r="Y45" i="19"/>
  <c r="AA45" i="19"/>
  <c r="AC45" i="19"/>
  <c r="AD45" i="19"/>
  <c r="AE45" i="19"/>
  <c r="AF45" i="19"/>
  <c r="AG45" i="19"/>
  <c r="AH45" i="19"/>
  <c r="AI45" i="19"/>
  <c r="AJ45" i="19"/>
  <c r="AK45" i="19"/>
  <c r="AL45" i="19"/>
  <c r="AM45" i="19"/>
  <c r="AN45" i="19"/>
  <c r="AO45" i="19"/>
  <c r="AP45" i="19"/>
  <c r="AQ45" i="19"/>
  <c r="AS45" i="19"/>
  <c r="AU45" i="19"/>
  <c r="AW45" i="19"/>
  <c r="AY45" i="19"/>
  <c r="BA45" i="19"/>
  <c r="BC45" i="19"/>
  <c r="BE45" i="19"/>
  <c r="BG45" i="19"/>
  <c r="BI45" i="19"/>
  <c r="BK45" i="19"/>
  <c r="BM45" i="19"/>
  <c r="BN45" i="19"/>
  <c r="BO45" i="19"/>
  <c r="BP45" i="19"/>
  <c r="BQ45" i="19"/>
  <c r="BR45" i="19"/>
  <c r="BS45" i="19"/>
  <c r="BT45" i="19"/>
  <c r="BU45" i="19"/>
  <c r="BV45" i="19"/>
  <c r="BW45" i="19"/>
  <c r="BX45" i="19"/>
  <c r="BY45" i="19"/>
  <c r="BZ45" i="19"/>
  <c r="CA45" i="19"/>
  <c r="E46" i="19"/>
  <c r="G46" i="19"/>
  <c r="I46" i="19"/>
  <c r="K46" i="19"/>
  <c r="M46" i="19"/>
  <c r="O46" i="19"/>
  <c r="P46" i="19"/>
  <c r="Q46" i="19"/>
  <c r="R46" i="19"/>
  <c r="S46" i="19"/>
  <c r="T46" i="19"/>
  <c r="U46" i="19"/>
  <c r="V46" i="19"/>
  <c r="W46" i="19"/>
  <c r="Y46" i="19"/>
  <c r="AA46" i="19"/>
  <c r="AC46" i="19"/>
  <c r="AD46" i="19"/>
  <c r="AE46" i="19"/>
  <c r="AF46" i="19"/>
  <c r="AG46" i="19"/>
  <c r="AH46" i="19"/>
  <c r="AI46" i="19"/>
  <c r="AJ46" i="19"/>
  <c r="AK46" i="19"/>
  <c r="AL46" i="19"/>
  <c r="AM46" i="19"/>
  <c r="AN46" i="19"/>
  <c r="AO46" i="19"/>
  <c r="AP46" i="19"/>
  <c r="AQ46" i="19"/>
  <c r="AS46" i="19"/>
  <c r="AU46" i="19"/>
  <c r="AW46" i="19"/>
  <c r="AY46" i="19"/>
  <c r="BA46" i="19"/>
  <c r="BC46" i="19"/>
  <c r="BE46" i="19"/>
  <c r="BG46" i="19"/>
  <c r="BI46" i="19"/>
  <c r="BK46" i="19"/>
  <c r="BM46" i="19"/>
  <c r="BN46" i="19"/>
  <c r="BO46" i="19"/>
  <c r="BP46" i="19"/>
  <c r="BQ46" i="19"/>
  <c r="BR46" i="19"/>
  <c r="BS46" i="19"/>
  <c r="BT46" i="19"/>
  <c r="BU46" i="19"/>
  <c r="BV46" i="19"/>
  <c r="BW46" i="19"/>
  <c r="BX46" i="19"/>
  <c r="BY46" i="19"/>
  <c r="BZ46" i="19"/>
  <c r="CA46" i="19"/>
  <c r="E47" i="19"/>
  <c r="G47" i="19"/>
  <c r="I47" i="19"/>
  <c r="K47" i="19"/>
  <c r="M47" i="19"/>
  <c r="O47" i="19"/>
  <c r="P47" i="19"/>
  <c r="P58" i="19" s="1"/>
  <c r="Q47" i="19"/>
  <c r="R47" i="19"/>
  <c r="S47" i="19"/>
  <c r="T47" i="19"/>
  <c r="U47" i="19"/>
  <c r="W47" i="19"/>
  <c r="Y47" i="19"/>
  <c r="AA47" i="19"/>
  <c r="AC47" i="19"/>
  <c r="AD47" i="19"/>
  <c r="AE47" i="19"/>
  <c r="AF47" i="19"/>
  <c r="AG47" i="19"/>
  <c r="AH47" i="19"/>
  <c r="AI47" i="19"/>
  <c r="AJ47" i="19"/>
  <c r="AK47" i="19"/>
  <c r="AL47" i="19"/>
  <c r="AM47" i="19"/>
  <c r="AN47" i="19"/>
  <c r="AO47" i="19"/>
  <c r="AP47" i="19"/>
  <c r="AQ47" i="19"/>
  <c r="AS47" i="19"/>
  <c r="AU47" i="19"/>
  <c r="AW47" i="19"/>
  <c r="AY47" i="19"/>
  <c r="BA47" i="19"/>
  <c r="BC47" i="19"/>
  <c r="BE47" i="19"/>
  <c r="BG47" i="19"/>
  <c r="BI47" i="19"/>
  <c r="BK47" i="19"/>
  <c r="BM47" i="19"/>
  <c r="BO47" i="19"/>
  <c r="BP47" i="19"/>
  <c r="BQ47" i="19"/>
  <c r="BR47" i="19"/>
  <c r="BS47" i="19"/>
  <c r="BT47" i="19"/>
  <c r="BU47" i="19"/>
  <c r="BV47" i="19"/>
  <c r="BW47" i="19"/>
  <c r="BX47" i="19"/>
  <c r="BY47" i="19"/>
  <c r="CA47" i="19"/>
  <c r="E48" i="19"/>
  <c r="G48" i="19"/>
  <c r="I48" i="19"/>
  <c r="K48" i="19"/>
  <c r="M48" i="19"/>
  <c r="O48" i="19"/>
  <c r="P48" i="19"/>
  <c r="Q48" i="19"/>
  <c r="S48" i="19"/>
  <c r="U48" i="19"/>
  <c r="W48" i="19"/>
  <c r="Y48" i="19"/>
  <c r="AA48" i="19"/>
  <c r="AC48" i="19"/>
  <c r="AE48" i="19"/>
  <c r="AF48" i="19"/>
  <c r="AG48" i="19"/>
  <c r="AH48" i="19"/>
  <c r="AI48" i="19"/>
  <c r="AJ48" i="19"/>
  <c r="AK48" i="19"/>
  <c r="AL48" i="19"/>
  <c r="AM48" i="19"/>
  <c r="AO48" i="19"/>
  <c r="AQ48" i="19"/>
  <c r="AS48" i="19"/>
  <c r="AU48" i="19"/>
  <c r="AW48" i="19"/>
  <c r="AY48" i="19"/>
  <c r="BA48" i="19"/>
  <c r="BC48" i="19"/>
  <c r="BE48" i="19"/>
  <c r="BG48" i="19"/>
  <c r="BI48" i="19"/>
  <c r="BK48" i="19"/>
  <c r="BM48" i="19"/>
  <c r="BO48" i="19"/>
  <c r="BP48" i="19"/>
  <c r="BQ48" i="19"/>
  <c r="BR48" i="19"/>
  <c r="BS48" i="19"/>
  <c r="BT48" i="19"/>
  <c r="BU48" i="19"/>
  <c r="BV48" i="19"/>
  <c r="BW48" i="19"/>
  <c r="BY48" i="19"/>
  <c r="CA48" i="19"/>
  <c r="E49" i="19"/>
  <c r="G49" i="19"/>
  <c r="I49" i="19"/>
  <c r="K49" i="19"/>
  <c r="M49" i="19"/>
  <c r="O49" i="19"/>
  <c r="Q49" i="19"/>
  <c r="S49" i="19"/>
  <c r="U49" i="19"/>
  <c r="W49" i="19"/>
  <c r="Y49" i="19"/>
  <c r="AA49" i="19"/>
  <c r="AC49" i="19"/>
  <c r="AE49" i="19"/>
  <c r="AG49" i="19"/>
  <c r="AH49" i="19"/>
  <c r="AI49" i="19"/>
  <c r="AJ49" i="19"/>
  <c r="AK49" i="19"/>
  <c r="AL49" i="19"/>
  <c r="AM49" i="19"/>
  <c r="AO49" i="19"/>
  <c r="AQ49" i="19"/>
  <c r="AS49" i="19"/>
  <c r="AU49" i="19"/>
  <c r="AW49" i="19"/>
  <c r="AY49" i="19"/>
  <c r="BA49" i="19"/>
  <c r="BC49" i="19"/>
  <c r="BE49" i="19"/>
  <c r="BG49" i="19"/>
  <c r="BI49" i="19"/>
  <c r="BK49" i="19"/>
  <c r="BM49" i="19"/>
  <c r="BO49" i="19"/>
  <c r="BP49" i="19"/>
  <c r="BQ49" i="19"/>
  <c r="BR49" i="19"/>
  <c r="BS49" i="19"/>
  <c r="BT49" i="19"/>
  <c r="BU49" i="19"/>
  <c r="BV49" i="19"/>
  <c r="BW49" i="19"/>
  <c r="BY49" i="19"/>
  <c r="CA49" i="19"/>
  <c r="D42" i="19"/>
  <c r="D56" i="19" s="1"/>
  <c r="D43" i="19"/>
  <c r="D61" i="19" s="1"/>
  <c r="D44" i="19"/>
  <c r="CB5" i="19"/>
  <c r="CC5" i="19"/>
  <c r="CD5" i="19"/>
  <c r="CE5" i="19"/>
  <c r="CF5" i="19"/>
  <c r="CG5" i="19"/>
  <c r="CH5" i="19"/>
  <c r="CI5" i="19"/>
  <c r="CB6" i="19"/>
  <c r="CC6" i="19"/>
  <c r="CD6" i="19"/>
  <c r="CE6" i="19"/>
  <c r="CF6" i="19"/>
  <c r="CG6" i="19"/>
  <c r="CH6" i="19"/>
  <c r="CI6" i="19"/>
  <c r="CB7" i="19"/>
  <c r="CC7" i="19"/>
  <c r="CD7" i="19"/>
  <c r="CE7" i="19"/>
  <c r="CF7" i="19"/>
  <c r="CG7" i="19"/>
  <c r="CH7" i="19"/>
  <c r="CI7" i="19"/>
  <c r="CB8" i="19"/>
  <c r="CC8" i="19"/>
  <c r="CD8" i="19"/>
  <c r="CE8" i="19"/>
  <c r="CF8" i="19"/>
  <c r="CG8" i="19"/>
  <c r="CH8" i="19"/>
  <c r="CI8" i="19"/>
  <c r="CB9" i="19"/>
  <c r="CC9" i="19"/>
  <c r="CD9" i="19"/>
  <c r="CE9" i="19"/>
  <c r="CF9" i="19"/>
  <c r="CG9" i="19"/>
  <c r="CH9" i="19"/>
  <c r="CI9" i="19"/>
  <c r="CB10" i="19"/>
  <c r="CC10" i="19"/>
  <c r="CD10" i="19"/>
  <c r="CE10" i="19"/>
  <c r="CF10" i="19"/>
  <c r="CG10" i="19"/>
  <c r="CH10" i="19"/>
  <c r="CI10" i="19"/>
  <c r="CB11" i="19"/>
  <c r="CC11" i="19"/>
  <c r="CD11" i="19"/>
  <c r="CE11" i="19"/>
  <c r="CF11" i="19"/>
  <c r="CG11" i="19"/>
  <c r="CH11" i="19"/>
  <c r="CI11" i="19"/>
  <c r="CB12" i="19"/>
  <c r="CC12" i="19"/>
  <c r="CD12" i="19"/>
  <c r="CE12" i="19"/>
  <c r="CF12" i="19"/>
  <c r="CG12" i="19"/>
  <c r="CH12" i="19"/>
  <c r="CI12" i="19"/>
  <c r="CB13" i="19"/>
  <c r="CC13" i="19"/>
  <c r="CD13" i="19"/>
  <c r="CE13" i="19"/>
  <c r="CF13" i="19"/>
  <c r="CG13" i="19"/>
  <c r="CH13" i="19"/>
  <c r="CI13" i="19"/>
  <c r="CB14" i="19"/>
  <c r="CC14" i="19"/>
  <c r="CD14" i="19"/>
  <c r="CE14" i="19"/>
  <c r="CF14" i="19"/>
  <c r="CG14" i="19"/>
  <c r="CH14" i="19"/>
  <c r="CI14" i="19"/>
  <c r="CB15" i="19"/>
  <c r="CC15" i="19"/>
  <c r="CD15" i="19"/>
  <c r="CE15" i="19"/>
  <c r="CF15" i="19"/>
  <c r="CG15" i="19"/>
  <c r="CH15" i="19"/>
  <c r="CI15" i="19"/>
  <c r="CB16" i="19"/>
  <c r="CC16" i="19"/>
  <c r="CD16" i="19"/>
  <c r="CE16" i="19"/>
  <c r="CF16" i="19"/>
  <c r="CG16" i="19"/>
  <c r="CH16" i="19"/>
  <c r="CI16" i="19"/>
  <c r="CB17" i="19"/>
  <c r="CC17" i="19"/>
  <c r="CD17" i="19"/>
  <c r="CE17" i="19"/>
  <c r="CF17" i="19"/>
  <c r="CG17" i="19"/>
  <c r="CH17" i="19"/>
  <c r="CI17" i="19"/>
  <c r="CB18" i="19"/>
  <c r="CC18" i="19"/>
  <c r="CD18" i="19"/>
  <c r="CE18" i="19"/>
  <c r="CF18" i="19"/>
  <c r="CG18" i="19"/>
  <c r="CH18" i="19"/>
  <c r="CI18" i="19"/>
  <c r="CB19" i="19"/>
  <c r="CC19" i="19"/>
  <c r="CD19" i="19"/>
  <c r="CE19" i="19"/>
  <c r="CF19" i="19"/>
  <c r="CG19" i="19"/>
  <c r="CH19" i="19"/>
  <c r="CI19" i="19"/>
  <c r="CB20" i="19"/>
  <c r="CC20" i="19"/>
  <c r="CD20" i="19"/>
  <c r="CE20" i="19"/>
  <c r="CF20" i="19"/>
  <c r="CG20" i="19"/>
  <c r="CH20" i="19"/>
  <c r="CI20" i="19"/>
  <c r="CB21" i="19"/>
  <c r="CC21" i="19"/>
  <c r="CD21" i="19"/>
  <c r="CE21" i="19"/>
  <c r="CF21" i="19"/>
  <c r="CG21" i="19"/>
  <c r="CH21" i="19"/>
  <c r="CI21" i="19"/>
  <c r="CB22" i="19"/>
  <c r="CC22" i="19"/>
  <c r="CD22" i="19"/>
  <c r="CE22" i="19"/>
  <c r="CF22" i="19"/>
  <c r="CG22" i="19"/>
  <c r="CH22" i="19"/>
  <c r="CI22" i="19"/>
  <c r="CB23" i="19"/>
  <c r="CC23" i="19"/>
  <c r="CD23" i="19"/>
  <c r="CE23" i="19"/>
  <c r="CF23" i="19"/>
  <c r="CG23" i="19"/>
  <c r="CH23" i="19"/>
  <c r="CI23" i="19"/>
  <c r="CB24" i="19"/>
  <c r="CC24" i="19"/>
  <c r="CD24" i="19"/>
  <c r="CE24" i="19"/>
  <c r="CF24" i="19"/>
  <c r="CG24" i="19"/>
  <c r="CH24" i="19"/>
  <c r="CI24" i="19"/>
  <c r="CB25" i="19"/>
  <c r="CC25" i="19"/>
  <c r="CD25" i="19"/>
  <c r="CE25" i="19"/>
  <c r="CF25" i="19"/>
  <c r="CG25" i="19"/>
  <c r="CH25" i="19"/>
  <c r="CI25" i="19"/>
  <c r="CB26" i="19"/>
  <c r="CC26" i="19"/>
  <c r="CD26" i="19"/>
  <c r="CE26" i="19"/>
  <c r="CF26" i="19"/>
  <c r="CG26" i="19"/>
  <c r="CH26" i="19"/>
  <c r="CI26" i="19"/>
  <c r="CB27" i="19"/>
  <c r="CC27" i="19"/>
  <c r="CD27" i="19"/>
  <c r="CE27" i="19"/>
  <c r="CF27" i="19"/>
  <c r="CG27" i="19"/>
  <c r="CH27" i="19"/>
  <c r="CI27" i="19"/>
  <c r="CB28" i="19"/>
  <c r="CC28" i="19"/>
  <c r="CD28" i="19"/>
  <c r="CE28" i="19"/>
  <c r="CF28" i="19"/>
  <c r="CG28" i="19"/>
  <c r="CH28" i="19"/>
  <c r="CI28" i="19"/>
  <c r="CB29" i="19"/>
  <c r="CC29" i="19"/>
  <c r="CD29" i="19"/>
  <c r="CE29" i="19"/>
  <c r="CF29" i="19"/>
  <c r="CG29" i="19"/>
  <c r="CH29" i="19"/>
  <c r="CI29" i="19"/>
  <c r="CB30" i="19"/>
  <c r="CC30" i="19"/>
  <c r="CD30" i="19"/>
  <c r="CE30" i="19"/>
  <c r="CF30" i="19"/>
  <c r="CG30" i="19"/>
  <c r="CH30" i="19"/>
  <c r="CI30" i="19"/>
  <c r="CI4" i="19"/>
  <c r="CH4" i="19"/>
  <c r="CG4" i="19"/>
  <c r="CF4" i="19"/>
  <c r="CE4" i="19"/>
  <c r="CD4" i="19"/>
  <c r="CC4" i="19"/>
  <c r="CB4" i="19"/>
  <c r="D45" i="19"/>
  <c r="D63" i="19" s="1"/>
  <c r="AT3" i="18"/>
  <c r="AT4" i="18"/>
  <c r="AT5" i="18"/>
  <c r="AT7" i="18"/>
  <c r="AT8" i="18"/>
  <c r="AT9" i="18"/>
  <c r="AT10" i="18"/>
  <c r="AT12" i="18"/>
  <c r="AT13" i="18"/>
  <c r="AT14" i="18"/>
  <c r="AT15" i="18"/>
  <c r="AT16" i="18"/>
  <c r="AT17" i="18"/>
  <c r="AT18" i="18"/>
  <c r="AT19" i="18"/>
  <c r="AT20" i="18"/>
  <c r="AT21" i="18"/>
  <c r="AT22" i="18"/>
  <c r="AT23" i="18"/>
  <c r="AT24" i="18"/>
  <c r="AT25" i="18"/>
  <c r="AT26" i="18"/>
  <c r="AT27" i="18"/>
  <c r="AT28" i="18"/>
  <c r="AT29" i="18"/>
  <c r="AT30" i="18"/>
  <c r="AT31" i="18"/>
  <c r="AT33" i="18"/>
  <c r="AT34" i="18"/>
  <c r="AT35" i="18"/>
  <c r="AT36" i="18"/>
  <c r="AT37" i="18"/>
  <c r="AT38" i="18"/>
  <c r="AT39" i="18"/>
  <c r="AT40" i="18"/>
  <c r="AS3" i="18"/>
  <c r="AS4" i="18"/>
  <c r="AS5" i="18"/>
  <c r="AS7" i="18"/>
  <c r="AS8" i="18"/>
  <c r="AS9" i="18"/>
  <c r="AS10" i="18"/>
  <c r="AS12" i="18"/>
  <c r="AS13" i="18"/>
  <c r="AS14" i="18"/>
  <c r="AS15" i="18"/>
  <c r="AS16" i="18"/>
  <c r="AS17" i="18"/>
  <c r="AS18" i="18"/>
  <c r="AS19" i="18"/>
  <c r="AS20" i="18"/>
  <c r="AS21" i="18"/>
  <c r="AS22" i="18"/>
  <c r="AS23" i="18"/>
  <c r="AS24" i="18"/>
  <c r="AS25" i="18"/>
  <c r="AS26" i="18"/>
  <c r="AS27" i="18"/>
  <c r="AS28" i="18"/>
  <c r="AS29" i="18"/>
  <c r="AS30" i="18"/>
  <c r="AS31" i="18"/>
  <c r="AS33" i="18"/>
  <c r="AS34" i="18"/>
  <c r="AS35" i="18"/>
  <c r="AS36" i="18"/>
  <c r="AS37" i="18"/>
  <c r="AS38" i="18"/>
  <c r="AS39" i="18"/>
  <c r="AS40" i="18"/>
  <c r="AR3" i="18"/>
  <c r="AR4" i="18"/>
  <c r="AR5" i="18"/>
  <c r="AR7" i="18"/>
  <c r="AR8" i="18"/>
  <c r="AR9" i="18"/>
  <c r="AR10" i="18"/>
  <c r="AR12" i="18"/>
  <c r="AR13" i="18"/>
  <c r="AR14" i="18"/>
  <c r="AR15" i="18"/>
  <c r="AR16" i="18"/>
  <c r="AR17" i="18"/>
  <c r="AR18" i="18"/>
  <c r="AR19" i="18"/>
  <c r="AR20" i="18"/>
  <c r="AR21" i="18"/>
  <c r="AR22" i="18"/>
  <c r="AR23" i="18"/>
  <c r="AR24" i="18"/>
  <c r="AR25" i="18"/>
  <c r="AR26" i="18"/>
  <c r="AR27" i="18"/>
  <c r="AR28" i="18"/>
  <c r="AR29" i="18"/>
  <c r="AR30" i="18"/>
  <c r="AR31" i="18"/>
  <c r="AR33" i="18"/>
  <c r="AR34" i="18"/>
  <c r="AR35" i="18"/>
  <c r="AR36" i="18"/>
  <c r="AR37" i="18"/>
  <c r="AR38" i="18"/>
  <c r="AR39" i="18"/>
  <c r="AR40" i="18"/>
  <c r="AT2" i="18"/>
  <c r="AS2" i="18"/>
  <c r="AR2" i="18"/>
  <c r="G43" i="18"/>
  <c r="G47" i="18" s="1"/>
  <c r="H43" i="18"/>
  <c r="H47" i="18" s="1"/>
  <c r="I43" i="18"/>
  <c r="I47" i="18" s="1"/>
  <c r="J43" i="18"/>
  <c r="J47" i="18" s="1"/>
  <c r="K43" i="18"/>
  <c r="K47" i="18" s="1"/>
  <c r="L43" i="18"/>
  <c r="L47" i="18" s="1"/>
  <c r="M43" i="18"/>
  <c r="M47" i="18" s="1"/>
  <c r="N43" i="18"/>
  <c r="N47" i="18" s="1"/>
  <c r="O43" i="18"/>
  <c r="O47" i="18" s="1"/>
  <c r="P43" i="18"/>
  <c r="P47" i="18" s="1"/>
  <c r="Q43" i="18"/>
  <c r="Q47" i="18" s="1"/>
  <c r="R43" i="18"/>
  <c r="R47" i="18" s="1"/>
  <c r="S43" i="18"/>
  <c r="S47" i="18" s="1"/>
  <c r="T43" i="18"/>
  <c r="T47" i="18" s="1"/>
  <c r="U43" i="18"/>
  <c r="U47" i="18" s="1"/>
  <c r="V43" i="18"/>
  <c r="V47" i="18" s="1"/>
  <c r="W43" i="18"/>
  <c r="W47" i="18" s="1"/>
  <c r="X43" i="18"/>
  <c r="X47" i="18" s="1"/>
  <c r="Y43" i="18"/>
  <c r="Y47" i="18" s="1"/>
  <c r="Z43" i="18"/>
  <c r="Z47" i="18" s="1"/>
  <c r="AA43" i="18"/>
  <c r="AB43" i="18"/>
  <c r="AB47" i="18" s="1"/>
  <c r="AC43" i="18"/>
  <c r="AC47" i="18" s="1"/>
  <c r="AD43" i="18"/>
  <c r="AD47" i="18" s="1"/>
  <c r="AE43" i="18"/>
  <c r="AE47" i="18" s="1"/>
  <c r="AF43" i="18"/>
  <c r="AF47" i="18" s="1"/>
  <c r="AG43" i="18"/>
  <c r="AG47" i="18" s="1"/>
  <c r="AH43" i="18"/>
  <c r="AH47" i="18" s="1"/>
  <c r="AI43" i="18"/>
  <c r="AI47" i="18" s="1"/>
  <c r="AJ43" i="18"/>
  <c r="AJ47" i="18" s="1"/>
  <c r="AK43" i="18"/>
  <c r="AK47" i="18" s="1"/>
  <c r="AL43" i="18"/>
  <c r="AL47" i="18" s="1"/>
  <c r="AM43" i="18"/>
  <c r="AM47" i="18" s="1"/>
  <c r="AN43" i="18"/>
  <c r="AN47" i="18" s="1"/>
  <c r="AO43" i="18"/>
  <c r="AO47" i="18" s="1"/>
  <c r="AP43" i="18"/>
  <c r="AP47" i="18" s="1"/>
  <c r="AQ43" i="18"/>
  <c r="AQ47" i="18" s="1"/>
  <c r="G44" i="18"/>
  <c r="G48" i="18" s="1"/>
  <c r="H44" i="18"/>
  <c r="H48" i="18" s="1"/>
  <c r="I44" i="18"/>
  <c r="I48" i="18" s="1"/>
  <c r="J44" i="18"/>
  <c r="J48" i="18" s="1"/>
  <c r="K44" i="18"/>
  <c r="K48" i="18" s="1"/>
  <c r="L44" i="18"/>
  <c r="L48" i="18" s="1"/>
  <c r="M44" i="18"/>
  <c r="M48" i="18" s="1"/>
  <c r="N44" i="18"/>
  <c r="N48" i="18" s="1"/>
  <c r="O44" i="18"/>
  <c r="O48" i="18" s="1"/>
  <c r="P44" i="18"/>
  <c r="P48" i="18" s="1"/>
  <c r="Q44" i="18"/>
  <c r="Q48" i="18" s="1"/>
  <c r="R44" i="18"/>
  <c r="R48" i="18" s="1"/>
  <c r="S44" i="18"/>
  <c r="S48" i="18" s="1"/>
  <c r="T44" i="18"/>
  <c r="T48" i="18" s="1"/>
  <c r="U44" i="18"/>
  <c r="U48" i="18" s="1"/>
  <c r="V44" i="18"/>
  <c r="V48" i="18" s="1"/>
  <c r="W44" i="18"/>
  <c r="W48" i="18" s="1"/>
  <c r="X44" i="18"/>
  <c r="X48" i="18" s="1"/>
  <c r="Y44" i="18"/>
  <c r="Y48" i="18" s="1"/>
  <c r="Z44" i="18"/>
  <c r="Z48" i="18" s="1"/>
  <c r="AA44" i="18"/>
  <c r="AA48" i="18" s="1"/>
  <c r="AB44" i="18"/>
  <c r="AB48" i="18" s="1"/>
  <c r="AC44" i="18"/>
  <c r="AC48" i="18" s="1"/>
  <c r="AD44" i="18"/>
  <c r="AD48" i="18" s="1"/>
  <c r="AE44" i="18"/>
  <c r="AE48" i="18" s="1"/>
  <c r="AF44" i="18"/>
  <c r="AF48" i="18" s="1"/>
  <c r="AG44" i="18"/>
  <c r="AG48" i="18" s="1"/>
  <c r="AH44" i="18"/>
  <c r="AH48" i="18" s="1"/>
  <c r="AI44" i="18"/>
  <c r="AI48" i="18" s="1"/>
  <c r="AJ44" i="18"/>
  <c r="AJ48" i="18" s="1"/>
  <c r="AK44" i="18"/>
  <c r="AK48" i="18" s="1"/>
  <c r="AL44" i="18"/>
  <c r="AL48" i="18" s="1"/>
  <c r="AM44" i="18"/>
  <c r="AM48" i="18" s="1"/>
  <c r="AN44" i="18"/>
  <c r="AN48" i="18" s="1"/>
  <c r="AO44" i="18"/>
  <c r="AO48" i="18" s="1"/>
  <c r="AP44" i="18"/>
  <c r="AP48" i="18" s="1"/>
  <c r="AQ44" i="18"/>
  <c r="AQ48" i="18" s="1"/>
  <c r="G45" i="18"/>
  <c r="G49" i="18" s="1"/>
  <c r="H45" i="18"/>
  <c r="H49" i="18" s="1"/>
  <c r="I45" i="18"/>
  <c r="I49" i="18" s="1"/>
  <c r="J45" i="18"/>
  <c r="J49" i="18" s="1"/>
  <c r="K45" i="18"/>
  <c r="K49" i="18" s="1"/>
  <c r="L45" i="18"/>
  <c r="L49" i="18" s="1"/>
  <c r="M45" i="18"/>
  <c r="M49" i="18" s="1"/>
  <c r="N45" i="18"/>
  <c r="N49" i="18" s="1"/>
  <c r="O45" i="18"/>
  <c r="O49" i="18" s="1"/>
  <c r="P45" i="18"/>
  <c r="P49" i="18" s="1"/>
  <c r="Q45" i="18"/>
  <c r="Q49" i="18" s="1"/>
  <c r="R45" i="18"/>
  <c r="R49" i="18" s="1"/>
  <c r="S45" i="18"/>
  <c r="S49" i="18" s="1"/>
  <c r="T45" i="18"/>
  <c r="T49" i="18" s="1"/>
  <c r="U45" i="18"/>
  <c r="U49" i="18" s="1"/>
  <c r="V45" i="18"/>
  <c r="V49" i="18" s="1"/>
  <c r="W45" i="18"/>
  <c r="W49" i="18" s="1"/>
  <c r="X45" i="18"/>
  <c r="X49" i="18" s="1"/>
  <c r="Y45" i="18"/>
  <c r="Y49" i="18" s="1"/>
  <c r="Z45" i="18"/>
  <c r="Z49" i="18" s="1"/>
  <c r="AA45" i="18"/>
  <c r="AB45" i="18"/>
  <c r="AB49" i="18" s="1"/>
  <c r="AC45" i="18"/>
  <c r="AC49" i="18" s="1"/>
  <c r="AD45" i="18"/>
  <c r="AD49" i="18" s="1"/>
  <c r="AE45" i="18"/>
  <c r="AE49" i="18" s="1"/>
  <c r="AF45" i="18"/>
  <c r="AF49" i="18" s="1"/>
  <c r="AG45" i="18"/>
  <c r="AG49" i="18" s="1"/>
  <c r="AH45" i="18"/>
  <c r="AH49" i="18" s="1"/>
  <c r="AI45" i="18"/>
  <c r="AI49" i="18" s="1"/>
  <c r="AJ45" i="18"/>
  <c r="AJ49" i="18" s="1"/>
  <c r="AK45" i="18"/>
  <c r="AK49" i="18" s="1"/>
  <c r="AL45" i="18"/>
  <c r="AL49" i="18" s="1"/>
  <c r="AM45" i="18"/>
  <c r="AM49" i="18" s="1"/>
  <c r="AN45" i="18"/>
  <c r="AN49" i="18" s="1"/>
  <c r="AO45" i="18"/>
  <c r="AO49" i="18" s="1"/>
  <c r="AP45" i="18"/>
  <c r="AP49" i="18" s="1"/>
  <c r="AQ45" i="18"/>
  <c r="AQ49" i="18" s="1"/>
  <c r="G46" i="18"/>
  <c r="G50" i="18" s="1"/>
  <c r="H46" i="18"/>
  <c r="H50" i="18" s="1"/>
  <c r="I46" i="18"/>
  <c r="I50" i="18" s="1"/>
  <c r="J46" i="18"/>
  <c r="J50" i="18" s="1"/>
  <c r="K46" i="18"/>
  <c r="K50" i="18" s="1"/>
  <c r="L46" i="18"/>
  <c r="L50" i="18" s="1"/>
  <c r="M46" i="18"/>
  <c r="M50" i="18" s="1"/>
  <c r="N46" i="18"/>
  <c r="N50" i="18" s="1"/>
  <c r="O46" i="18"/>
  <c r="O50" i="18" s="1"/>
  <c r="P46" i="18"/>
  <c r="P50" i="18" s="1"/>
  <c r="Q46" i="18"/>
  <c r="Q50" i="18" s="1"/>
  <c r="R46" i="18"/>
  <c r="R50" i="18" s="1"/>
  <c r="S46" i="18"/>
  <c r="S50" i="18" s="1"/>
  <c r="T46" i="18"/>
  <c r="T50" i="18" s="1"/>
  <c r="U46" i="18"/>
  <c r="U50" i="18" s="1"/>
  <c r="V46" i="18"/>
  <c r="V50" i="18" s="1"/>
  <c r="W46" i="18"/>
  <c r="W50" i="18" s="1"/>
  <c r="X46" i="18"/>
  <c r="X50" i="18" s="1"/>
  <c r="Y46" i="18"/>
  <c r="Y50" i="18" s="1"/>
  <c r="Z46" i="18"/>
  <c r="Z50" i="18" s="1"/>
  <c r="AA46" i="18"/>
  <c r="AA50" i="18" s="1"/>
  <c r="AB46" i="18"/>
  <c r="AB50" i="18" s="1"/>
  <c r="AC46" i="18"/>
  <c r="AC50" i="18" s="1"/>
  <c r="AD46" i="18"/>
  <c r="AD50" i="18" s="1"/>
  <c r="AE46" i="18"/>
  <c r="AE50" i="18" s="1"/>
  <c r="AF46" i="18"/>
  <c r="AF50" i="18" s="1"/>
  <c r="AG46" i="18"/>
  <c r="AG50" i="18" s="1"/>
  <c r="AH46" i="18"/>
  <c r="AH50" i="18" s="1"/>
  <c r="AI46" i="18"/>
  <c r="AI50" i="18" s="1"/>
  <c r="AJ46" i="18"/>
  <c r="AJ50" i="18" s="1"/>
  <c r="AK46" i="18"/>
  <c r="AK50" i="18" s="1"/>
  <c r="AL46" i="18"/>
  <c r="AL50" i="18" s="1"/>
  <c r="AM46" i="18"/>
  <c r="AM50" i="18" s="1"/>
  <c r="AN46" i="18"/>
  <c r="AN50" i="18" s="1"/>
  <c r="AO46" i="18"/>
  <c r="AO50" i="18" s="1"/>
  <c r="AP46" i="18"/>
  <c r="AP50" i="18" s="1"/>
  <c r="AQ46" i="18"/>
  <c r="AQ50" i="18" s="1"/>
  <c r="F46" i="18"/>
  <c r="F49" i="18"/>
  <c r="F51" i="18" s="1"/>
  <c r="F44" i="18"/>
  <c r="F43" i="18"/>
  <c r="F47" i="18" s="1"/>
  <c r="P198" i="18"/>
  <c r="P197" i="18"/>
  <c r="P196" i="18"/>
  <c r="P195" i="18"/>
  <c r="P194" i="18"/>
  <c r="P193" i="18"/>
  <c r="P192" i="18"/>
  <c r="P191" i="18"/>
  <c r="P190" i="18"/>
  <c r="P189" i="18"/>
  <c r="P188" i="18"/>
  <c r="P187" i="18"/>
  <c r="P186" i="18"/>
  <c r="P185" i="18"/>
  <c r="P184" i="18"/>
  <c r="P183" i="18"/>
  <c r="P182" i="18"/>
  <c r="P181" i="18"/>
  <c r="P180" i="18"/>
  <c r="P179" i="18"/>
  <c r="P178" i="18"/>
  <c r="P177" i="18"/>
  <c r="P176" i="18"/>
  <c r="P175" i="18"/>
  <c r="P174" i="18"/>
  <c r="P173" i="18"/>
  <c r="P172" i="18"/>
  <c r="P171" i="18"/>
  <c r="P170" i="18"/>
  <c r="P169" i="18"/>
  <c r="P168" i="18"/>
  <c r="P167" i="18"/>
  <c r="P166" i="18"/>
  <c r="P165" i="18"/>
  <c r="P164" i="18"/>
  <c r="P163" i="18"/>
  <c r="P162" i="18"/>
  <c r="P161" i="18"/>
  <c r="P160" i="18"/>
  <c r="P159" i="18"/>
  <c r="P158" i="18"/>
  <c r="P157" i="18"/>
  <c r="P156" i="18"/>
  <c r="P155" i="18"/>
  <c r="P154" i="18"/>
  <c r="P153" i="18"/>
  <c r="P152" i="18"/>
  <c r="P151" i="18"/>
  <c r="P150" i="18"/>
  <c r="P149" i="18"/>
  <c r="P148" i="18"/>
  <c r="P147" i="18"/>
  <c r="P146" i="18"/>
  <c r="P145" i="18"/>
  <c r="P144" i="18"/>
  <c r="P143" i="18"/>
  <c r="P142" i="18"/>
  <c r="P141" i="18"/>
  <c r="P140" i="18"/>
  <c r="P139" i="18"/>
  <c r="P138" i="18"/>
  <c r="P137" i="18"/>
  <c r="P136" i="18"/>
  <c r="P135" i="18"/>
  <c r="P134" i="18"/>
  <c r="P133" i="18"/>
  <c r="P132" i="18"/>
  <c r="P131" i="18"/>
  <c r="P130" i="18"/>
  <c r="P129" i="18"/>
  <c r="P128" i="18"/>
  <c r="P127" i="18"/>
  <c r="P126" i="18"/>
  <c r="P125" i="18"/>
  <c r="P124" i="18"/>
  <c r="P123" i="18"/>
  <c r="P122" i="18"/>
  <c r="P114" i="18"/>
  <c r="P113" i="18"/>
  <c r="P112" i="18"/>
  <c r="P111" i="18"/>
  <c r="P110" i="18"/>
  <c r="P109" i="18"/>
  <c r="P108" i="18"/>
  <c r="P107" i="18"/>
  <c r="P106" i="18"/>
  <c r="P105" i="18"/>
  <c r="P104" i="18"/>
  <c r="P103" i="18"/>
  <c r="P102" i="18"/>
  <c r="P101" i="18"/>
  <c r="P93" i="18"/>
  <c r="P92" i="18"/>
  <c r="P91" i="18"/>
  <c r="P90" i="18"/>
  <c r="P89" i="18"/>
  <c r="P88" i="18"/>
  <c r="P87" i="18"/>
  <c r="P86" i="18"/>
  <c r="P85" i="18"/>
  <c r="P84" i="18"/>
  <c r="P83" i="18"/>
  <c r="P82" i="18"/>
  <c r="P81" i="18"/>
  <c r="P80" i="18"/>
  <c r="P79" i="18"/>
  <c r="P78" i="18"/>
  <c r="P77" i="18"/>
  <c r="P76" i="18"/>
  <c r="P75" i="18"/>
  <c r="P74" i="18"/>
  <c r="P73" i="18"/>
  <c r="P72" i="18"/>
  <c r="P71" i="18"/>
  <c r="P70" i="18"/>
  <c r="P69" i="18"/>
  <c r="P68" i="18"/>
  <c r="P67" i="18"/>
  <c r="P66" i="18"/>
  <c r="AT24" i="3" l="1"/>
  <c r="AT22" i="3"/>
  <c r="AT28" i="3"/>
  <c r="AV27" i="3"/>
  <c r="AT26" i="3"/>
  <c r="AV25" i="3"/>
  <c r="AU23" i="3"/>
  <c r="AU21" i="3"/>
  <c r="AT17" i="3"/>
  <c r="AT15" i="3"/>
  <c r="AT12" i="3"/>
  <c r="AT10" i="3"/>
  <c r="AT8" i="3"/>
  <c r="AT6" i="3"/>
  <c r="AT5" i="3"/>
  <c r="AU29" i="3"/>
  <c r="AU27" i="3"/>
  <c r="AU25" i="3"/>
  <c r="AT23" i="3"/>
  <c r="AV22" i="3"/>
  <c r="AT21" i="3"/>
  <c r="AS20" i="3"/>
  <c r="AT19" i="3"/>
  <c r="AS18" i="3"/>
  <c r="AS13" i="3"/>
  <c r="AT16" i="3"/>
  <c r="AT14" i="3"/>
  <c r="AT11" i="3"/>
  <c r="AT9" i="3"/>
  <c r="AT7" i="3"/>
  <c r="AT20" i="3"/>
  <c r="AT18" i="3"/>
  <c r="AT13" i="3"/>
  <c r="AV29" i="3"/>
  <c r="AV24" i="3"/>
  <c r="AV17" i="3"/>
  <c r="AV13" i="3"/>
  <c r="AV12" i="3"/>
  <c r="AV5" i="3"/>
  <c r="AV4" i="3"/>
  <c r="T96" i="4"/>
  <c r="AS49" i="4"/>
  <c r="AR51" i="4"/>
  <c r="AB72" i="4"/>
  <c r="T94" i="4"/>
  <c r="T93" i="4"/>
  <c r="AF92" i="4"/>
  <c r="AS44" i="4"/>
  <c r="AQ64" i="4"/>
  <c r="AS62" i="4"/>
  <c r="AQ61" i="4"/>
  <c r="AQ58" i="4"/>
  <c r="AQ74" i="4" s="1"/>
  <c r="AS56" i="4"/>
  <c r="AQ55" i="4"/>
  <c r="AS53" i="4"/>
  <c r="AQ49" i="4"/>
  <c r="AT71" i="4" s="1"/>
  <c r="AS47" i="4"/>
  <c r="AQ46" i="4"/>
  <c r="D74" i="4"/>
  <c r="D76" i="4"/>
  <c r="AA72" i="4"/>
  <c r="AE71" i="4"/>
  <c r="AF96" i="4"/>
  <c r="E96" i="4"/>
  <c r="AF95" i="4"/>
  <c r="AG94" i="4"/>
  <c r="I94" i="4"/>
  <c r="N93" i="4"/>
  <c r="AC92" i="4"/>
  <c r="AO91" i="4"/>
  <c r="T90" i="4"/>
  <c r="AS57" i="4"/>
  <c r="AS48" i="4"/>
  <c r="AH74" i="4"/>
  <c r="J74" i="4"/>
  <c r="H71" i="4"/>
  <c r="Y96" i="4"/>
  <c r="AC95" i="4"/>
  <c r="AF94" i="4"/>
  <c r="E94" i="4"/>
  <c r="M93" i="4"/>
  <c r="Y92" i="4"/>
  <c r="AG91" i="4"/>
  <c r="I90" i="4"/>
  <c r="AS61" i="4"/>
  <c r="AR57" i="4"/>
  <c r="AR54" i="4"/>
  <c r="AS52" i="4"/>
  <c r="AR48" i="4"/>
  <c r="AR45" i="4"/>
  <c r="AM96" i="4"/>
  <c r="Z95" i="4"/>
  <c r="O95" i="4"/>
  <c r="AL94" i="4"/>
  <c r="AH93" i="4"/>
  <c r="AD93" i="4"/>
  <c r="S93" i="4"/>
  <c r="AL92" i="4"/>
  <c r="AM91" i="4"/>
  <c r="AF91" i="4"/>
  <c r="W91" i="4"/>
  <c r="R91" i="4"/>
  <c r="F91" i="4"/>
  <c r="AK90" i="4"/>
  <c r="AD90" i="4"/>
  <c r="S90" i="4"/>
  <c r="AS46" i="4"/>
  <c r="S95" i="4"/>
  <c r="AM94" i="4"/>
  <c r="AE93" i="4"/>
  <c r="G91" i="4"/>
  <c r="AR64" i="4"/>
  <c r="AQ63" i="4"/>
  <c r="AR61" i="4"/>
  <c r="AQ60" i="4"/>
  <c r="AR58" i="4"/>
  <c r="AQ57" i="4"/>
  <c r="AR55" i="4"/>
  <c r="AQ54" i="4"/>
  <c r="AR52" i="4"/>
  <c r="AQ51" i="4"/>
  <c r="AR49" i="4"/>
  <c r="AQ48" i="4"/>
  <c r="AQ71" i="4" s="1"/>
  <c r="AR46" i="4"/>
  <c r="AQ45" i="4"/>
  <c r="M74" i="4"/>
  <c r="W73" i="4"/>
  <c r="S73" i="4"/>
  <c r="G73" i="4"/>
  <c r="S72" i="4"/>
  <c r="AL96" i="4"/>
  <c r="AE96" i="4"/>
  <c r="S96" i="4"/>
  <c r="AO95" i="4"/>
  <c r="AI95" i="4"/>
  <c r="AE95" i="4"/>
  <c r="Y95" i="4"/>
  <c r="N95" i="4"/>
  <c r="E95" i="4"/>
  <c r="AK94" i="4"/>
  <c r="AE94" i="4"/>
  <c r="S94" i="4"/>
  <c r="AM93" i="4"/>
  <c r="AG93" i="4"/>
  <c r="AC93" i="4"/>
  <c r="R93" i="4"/>
  <c r="I93" i="4"/>
  <c r="AK92" i="4"/>
  <c r="AE92" i="4"/>
  <c r="T92" i="4"/>
  <c r="E92" i="4"/>
  <c r="AL91" i="4"/>
  <c r="AE91" i="4"/>
  <c r="V91" i="4"/>
  <c r="Q91" i="4"/>
  <c r="E91" i="4"/>
  <c r="AC90" i="4"/>
  <c r="Q90" i="4"/>
  <c r="AM92" i="4"/>
  <c r="S91" i="4"/>
  <c r="D70" i="4"/>
  <c r="D73" i="4"/>
  <c r="AS50" i="4"/>
  <c r="AS72" i="4" s="1"/>
  <c r="AS51" i="4"/>
  <c r="AV72" i="4" s="1"/>
  <c r="AL74" i="4"/>
  <c r="AO72" i="4"/>
  <c r="AC72" i="4"/>
  <c r="M72" i="4"/>
  <c r="AB70" i="4"/>
  <c r="F70" i="4"/>
  <c r="AK96" i="4"/>
  <c r="AD96" i="4"/>
  <c r="M96" i="4"/>
  <c r="AM95" i="4"/>
  <c r="AH95" i="4"/>
  <c r="AD95" i="4"/>
  <c r="T95" i="4"/>
  <c r="M95" i="4"/>
  <c r="AO94" i="4"/>
  <c r="AH94" i="4"/>
  <c r="AD94" i="4"/>
  <c r="Q94" i="4"/>
  <c r="AF93" i="4"/>
  <c r="Y93" i="4"/>
  <c r="Q93" i="4"/>
  <c r="AO92" i="4"/>
  <c r="AH92" i="4"/>
  <c r="AD92" i="4"/>
  <c r="AP91" i="4"/>
  <c r="M91" i="4"/>
  <c r="M90" i="4"/>
  <c r="AQ81" i="4"/>
  <c r="D93" i="4"/>
  <c r="W93" i="4"/>
  <c r="G93" i="4"/>
  <c r="AA91" i="4"/>
  <c r="AH96" i="4"/>
  <c r="W95" i="4"/>
  <c r="R95" i="4"/>
  <c r="G95" i="4"/>
  <c r="AP93" i="4"/>
  <c r="AA93" i="4"/>
  <c r="V93" i="4"/>
  <c r="K93" i="4"/>
  <c r="F93" i="4"/>
  <c r="AI91" i="4"/>
  <c r="Z91" i="4"/>
  <c r="O91" i="4"/>
  <c r="J91" i="4"/>
  <c r="AR81" i="4"/>
  <c r="K91" i="4"/>
  <c r="AS81" i="4"/>
  <c r="Q96" i="4"/>
  <c r="AP95" i="4"/>
  <c r="AA95" i="4"/>
  <c r="V95" i="4"/>
  <c r="K95" i="4"/>
  <c r="F95" i="4"/>
  <c r="Y94" i="4"/>
  <c r="AO93" i="4"/>
  <c r="AI93" i="4"/>
  <c r="Z93" i="4"/>
  <c r="O93" i="4"/>
  <c r="J93" i="4"/>
  <c r="E93" i="4"/>
  <c r="I92" i="4"/>
  <c r="AH91" i="4"/>
  <c r="Y91" i="4"/>
  <c r="N91" i="4"/>
  <c r="U92" i="4"/>
  <c r="U91" i="4"/>
  <c r="U90" i="4"/>
  <c r="U96" i="4"/>
  <c r="U95" i="4"/>
  <c r="U94" i="4"/>
  <c r="D95" i="4"/>
  <c r="D91" i="4"/>
  <c r="AI96" i="4"/>
  <c r="AA96" i="4"/>
  <c r="W96" i="4"/>
  <c r="O96" i="4"/>
  <c r="K96" i="4"/>
  <c r="G96" i="4"/>
  <c r="AI94" i="4"/>
  <c r="AA94" i="4"/>
  <c r="W94" i="4"/>
  <c r="O94" i="4"/>
  <c r="K94" i="4"/>
  <c r="G94" i="4"/>
  <c r="AI92" i="4"/>
  <c r="AA92" i="4"/>
  <c r="W92" i="4"/>
  <c r="O92" i="4"/>
  <c r="K92" i="4"/>
  <c r="G92" i="4"/>
  <c r="AW81" i="4"/>
  <c r="D96" i="4"/>
  <c r="D92" i="4"/>
  <c r="AN96" i="4"/>
  <c r="AJ96" i="4"/>
  <c r="AB96" i="4"/>
  <c r="X96" i="4"/>
  <c r="P96" i="4"/>
  <c r="L96" i="4"/>
  <c r="H96" i="4"/>
  <c r="AN94" i="4"/>
  <c r="AJ94" i="4"/>
  <c r="AB94" i="4"/>
  <c r="X94" i="4"/>
  <c r="P94" i="4"/>
  <c r="L94" i="4"/>
  <c r="H94" i="4"/>
  <c r="AN92" i="4"/>
  <c r="AJ92" i="4"/>
  <c r="AB92" i="4"/>
  <c r="X92" i="4"/>
  <c r="P92" i="4"/>
  <c r="L92" i="4"/>
  <c r="H92" i="4"/>
  <c r="AN90" i="4"/>
  <c r="AJ90" i="4"/>
  <c r="AB90" i="4"/>
  <c r="X90" i="4"/>
  <c r="P90" i="4"/>
  <c r="L90" i="4"/>
  <c r="H90" i="4"/>
  <c r="D94" i="4"/>
  <c r="AP96" i="4"/>
  <c r="Z96" i="4"/>
  <c r="V96" i="4"/>
  <c r="R96" i="4"/>
  <c r="N96" i="4"/>
  <c r="J96" i="4"/>
  <c r="F96" i="4"/>
  <c r="AN95" i="4"/>
  <c r="AJ95" i="4"/>
  <c r="AB95" i="4"/>
  <c r="X95" i="4"/>
  <c r="P95" i="4"/>
  <c r="L95" i="4"/>
  <c r="H95" i="4"/>
  <c r="AP94" i="4"/>
  <c r="Z94" i="4"/>
  <c r="V94" i="4"/>
  <c r="R94" i="4"/>
  <c r="N94" i="4"/>
  <c r="J94" i="4"/>
  <c r="F94" i="4"/>
  <c r="AN93" i="4"/>
  <c r="AJ93" i="4"/>
  <c r="AB93" i="4"/>
  <c r="X93" i="4"/>
  <c r="P93" i="4"/>
  <c r="L93" i="4"/>
  <c r="H93" i="4"/>
  <c r="AP92" i="4"/>
  <c r="Z92" i="4"/>
  <c r="V92" i="4"/>
  <c r="R92" i="4"/>
  <c r="N92" i="4"/>
  <c r="J92" i="4"/>
  <c r="F92" i="4"/>
  <c r="AQ70" i="4"/>
  <c r="AS71" i="4"/>
  <c r="AT35" i="4"/>
  <c r="AS63" i="4"/>
  <c r="AV76" i="4" s="1"/>
  <c r="AR63" i="4"/>
  <c r="AK76" i="4"/>
  <c r="U76" i="4"/>
  <c r="I76" i="4"/>
  <c r="Q74" i="4"/>
  <c r="V74" i="4"/>
  <c r="AC73" i="4"/>
  <c r="AR60" i="4"/>
  <c r="AS58" i="4"/>
  <c r="AV81" i="4" s="1"/>
  <c r="Z74" i="4"/>
  <c r="F74" i="4"/>
  <c r="AS54" i="4"/>
  <c r="AS73" i="4" s="1"/>
  <c r="AG73" i="4"/>
  <c r="I73" i="4"/>
  <c r="Z73" i="4"/>
  <c r="AQ52" i="4"/>
  <c r="AQ72" i="4" s="1"/>
  <c r="T72" i="4"/>
  <c r="N71" i="4"/>
  <c r="K71" i="4"/>
  <c r="AS45" i="4"/>
  <c r="AS70" i="4" s="1"/>
  <c r="AG70" i="4"/>
  <c r="S71" i="4"/>
  <c r="G71" i="4"/>
  <c r="M71" i="4"/>
  <c r="AS60" i="4"/>
  <c r="AS59" i="4"/>
  <c r="AE70" i="4"/>
  <c r="AH76" i="4"/>
  <c r="AD76" i="4"/>
  <c r="Z76" i="4"/>
  <c r="R76" i="4"/>
  <c r="N76" i="4"/>
  <c r="K76" i="4"/>
  <c r="AN74" i="4"/>
  <c r="H74" i="4"/>
  <c r="AE74" i="4"/>
  <c r="AA74" i="4"/>
  <c r="W74" i="4"/>
  <c r="S74" i="4"/>
  <c r="O74" i="4"/>
  <c r="K74" i="4"/>
  <c r="G74" i="4"/>
  <c r="AL72" i="4"/>
  <c r="AH72" i="4"/>
  <c r="AD72" i="4"/>
  <c r="Z72" i="4"/>
  <c r="V72" i="4"/>
  <c r="R72" i="4"/>
  <c r="J72" i="4"/>
  <c r="F72" i="4"/>
  <c r="AM72" i="4"/>
  <c r="AE72" i="4"/>
  <c r="W72" i="4"/>
  <c r="O72" i="4"/>
  <c r="K72" i="4"/>
  <c r="G72" i="4"/>
  <c r="T71" i="4"/>
  <c r="AG71" i="4"/>
  <c r="AL70" i="4"/>
  <c r="AH70" i="4"/>
  <c r="AD70" i="4"/>
  <c r="Z70" i="4"/>
  <c r="V70" i="4"/>
  <c r="R70" i="4"/>
  <c r="N70" i="4"/>
  <c r="J70" i="4"/>
  <c r="AA70" i="4"/>
  <c r="O70" i="4"/>
  <c r="K70" i="4"/>
  <c r="J76" i="4"/>
  <c r="AO74" i="4"/>
  <c r="AG74" i="4"/>
  <c r="U74" i="4"/>
  <c r="I74" i="4"/>
  <c r="E74" i="4"/>
  <c r="AO73" i="4"/>
  <c r="AK73" i="4"/>
  <c r="AL71" i="4"/>
  <c r="AH71" i="4"/>
  <c r="AD71" i="4"/>
  <c r="Z71" i="4"/>
  <c r="V71" i="4"/>
  <c r="R71" i="4"/>
  <c r="J71" i="4"/>
  <c r="F71" i="4"/>
  <c r="AO76" i="4"/>
  <c r="AG76" i="4"/>
  <c r="AC76" i="4"/>
  <c r="Q76" i="4"/>
  <c r="M76" i="4"/>
  <c r="AL76" i="4"/>
  <c r="V76" i="4"/>
  <c r="F76" i="4"/>
  <c r="AD74" i="4"/>
  <c r="AM73" i="4"/>
  <c r="AA73" i="4"/>
  <c r="K73" i="4"/>
  <c r="AK72" i="4"/>
  <c r="AG72" i="4"/>
  <c r="U72" i="4"/>
  <c r="Q72" i="4"/>
  <c r="I72" i="4"/>
  <c r="E72" i="4"/>
  <c r="N72" i="4"/>
  <c r="AN71" i="4"/>
  <c r="AJ71" i="4"/>
  <c r="AF71" i="4"/>
  <c r="AB71" i="4"/>
  <c r="X71" i="4"/>
  <c r="L71" i="4"/>
  <c r="AO70" i="4"/>
  <c r="AK70" i="4"/>
  <c r="AC70" i="4"/>
  <c r="Q70" i="4"/>
  <c r="M70" i="4"/>
  <c r="I70" i="4"/>
  <c r="E76" i="4"/>
  <c r="AB74" i="4"/>
  <c r="AC74" i="4"/>
  <c r="AH73" i="4"/>
  <c r="N73" i="4"/>
  <c r="Q71" i="4"/>
  <c r="E70" i="4"/>
  <c r="AN73" i="4"/>
  <c r="AJ73" i="4"/>
  <c r="AF73" i="4"/>
  <c r="AB73" i="4"/>
  <c r="X73" i="4"/>
  <c r="L73" i="4"/>
  <c r="H73" i="4"/>
  <c r="AL73" i="4"/>
  <c r="AD73" i="4"/>
  <c r="V73" i="4"/>
  <c r="R73" i="4"/>
  <c r="J73" i="4"/>
  <c r="F73" i="4"/>
  <c r="AM71" i="4"/>
  <c r="AA71" i="4"/>
  <c r="W71" i="4"/>
  <c r="O71" i="4"/>
  <c r="AO71" i="4"/>
  <c r="AC71" i="4"/>
  <c r="U71" i="4"/>
  <c r="I71" i="4"/>
  <c r="E71" i="4"/>
  <c r="AT76" i="4"/>
  <c r="AQ73" i="4"/>
  <c r="AN76" i="4"/>
  <c r="AJ76" i="4"/>
  <c r="AF76" i="4"/>
  <c r="X76" i="4"/>
  <c r="T76" i="4"/>
  <c r="L76" i="4"/>
  <c r="H76" i="4"/>
  <c r="AJ74" i="4"/>
  <c r="AF74" i="4"/>
  <c r="X74" i="4"/>
  <c r="T74" i="4"/>
  <c r="L74" i="4"/>
  <c r="AE73" i="4"/>
  <c r="O73" i="4"/>
  <c r="U73" i="4"/>
  <c r="Q73" i="4"/>
  <c r="M73" i="4"/>
  <c r="E73" i="4"/>
  <c r="AN72" i="4"/>
  <c r="AJ72" i="4"/>
  <c r="AF72" i="4"/>
  <c r="X72" i="4"/>
  <c r="L72" i="4"/>
  <c r="H72" i="4"/>
  <c r="AF70" i="4"/>
  <c r="L70" i="4"/>
  <c r="AQ76" i="4"/>
  <c r="AP73" i="4"/>
  <c r="AP72" i="4"/>
  <c r="AP70" i="4"/>
  <c r="AT73" i="4"/>
  <c r="D72" i="4"/>
  <c r="D71" i="4"/>
  <c r="AV71" i="4"/>
  <c r="AT70" i="4"/>
  <c r="AK71" i="4"/>
  <c r="AM74" i="4"/>
  <c r="U70" i="4"/>
  <c r="AN70" i="4"/>
  <c r="T70" i="4"/>
  <c r="H70" i="4"/>
  <c r="AI76" i="4"/>
  <c r="AE76" i="4"/>
  <c r="W76" i="4"/>
  <c r="O76" i="4"/>
  <c r="G76" i="4"/>
  <c r="G70" i="4"/>
  <c r="AJ70" i="4"/>
  <c r="X70" i="4"/>
  <c r="AM76" i="4"/>
  <c r="AA76" i="4"/>
  <c r="S76" i="4"/>
  <c r="AM70" i="4"/>
  <c r="AI70" i="4"/>
  <c r="W70" i="4"/>
  <c r="S70" i="4"/>
  <c r="AT48" i="1"/>
  <c r="AP50" i="1"/>
  <c r="AT54" i="1"/>
  <c r="AT52" i="1"/>
  <c r="AT49" i="1"/>
  <c r="AP53" i="1"/>
  <c r="AT57" i="1"/>
  <c r="AP54" i="1"/>
  <c r="AP49" i="1"/>
  <c r="AU57" i="1"/>
  <c r="AU54" i="1"/>
  <c r="AU53" i="1"/>
  <c r="AU50" i="1"/>
  <c r="AU49" i="1"/>
  <c r="AT56" i="1"/>
  <c r="AT53" i="1"/>
  <c r="AT50" i="1"/>
  <c r="AP52" i="1"/>
  <c r="AP51" i="1"/>
  <c r="AP48" i="1"/>
  <c r="AS48" i="1"/>
  <c r="AV54" i="1"/>
  <c r="AV50" i="1"/>
  <c r="AP57" i="1"/>
  <c r="AP56" i="1"/>
  <c r="AP55" i="1"/>
  <c r="AV57" i="1"/>
  <c r="AV56" i="1"/>
  <c r="AV55" i="1"/>
  <c r="AV53" i="1"/>
  <c r="AV52" i="1"/>
  <c r="AV51" i="1"/>
  <c r="AV49" i="1"/>
  <c r="AU56" i="1"/>
  <c r="AU55" i="1"/>
  <c r="AU52" i="1"/>
  <c r="AU51" i="1"/>
  <c r="AU48" i="1"/>
  <c r="AT55" i="1"/>
  <c r="AT51" i="1"/>
  <c r="AV48" i="1"/>
  <c r="AS57" i="1"/>
  <c r="AS56" i="1"/>
  <c r="AS55" i="1"/>
  <c r="AS54" i="1"/>
  <c r="AS53" i="1"/>
  <c r="AS52" i="1"/>
  <c r="AS51" i="1"/>
  <c r="AS50" i="1"/>
  <c r="AS49" i="1"/>
  <c r="AT52" i="13"/>
  <c r="AT51" i="13"/>
  <c r="AT50" i="13"/>
  <c r="AT49" i="13"/>
  <c r="AT48" i="13"/>
  <c r="AT47" i="13"/>
  <c r="AT46" i="13"/>
  <c r="AT45" i="13"/>
  <c r="AT44" i="13"/>
  <c r="AT43" i="13"/>
  <c r="BB52" i="13"/>
  <c r="BB51" i="13"/>
  <c r="BB50" i="13"/>
  <c r="BB49" i="13"/>
  <c r="BB48" i="13"/>
  <c r="BB47" i="13"/>
  <c r="BB46" i="13"/>
  <c r="BB45" i="13"/>
  <c r="BB44" i="13"/>
  <c r="BB43" i="13"/>
  <c r="AS52" i="13"/>
  <c r="AS51" i="13"/>
  <c r="AS50" i="13"/>
  <c r="AS49" i="13"/>
  <c r="AS48" i="13"/>
  <c r="AS47" i="13"/>
  <c r="AS46" i="13"/>
  <c r="AS45" i="13"/>
  <c r="AS44" i="13"/>
  <c r="AS43" i="13"/>
  <c r="U42" i="18"/>
  <c r="Q42" i="18"/>
  <c r="AK42" i="18"/>
  <c r="F41" i="18"/>
  <c r="AS11" i="18"/>
  <c r="AT6" i="18"/>
  <c r="M42" i="18"/>
  <c r="AT11" i="18"/>
  <c r="AT41" i="18" s="1"/>
  <c r="AC42" i="18"/>
  <c r="AR6" i="18"/>
  <c r="I42" i="18"/>
  <c r="Y42" i="18"/>
  <c r="AO42" i="18"/>
  <c r="AS32" i="18"/>
  <c r="S42" i="18"/>
  <c r="AT32" i="18"/>
  <c r="AI42" i="18"/>
  <c r="AM41" i="18"/>
  <c r="G41" i="18"/>
  <c r="AR32" i="18"/>
  <c r="K41" i="18"/>
  <c r="O42" i="18"/>
  <c r="S41" i="18"/>
  <c r="W42" i="18"/>
  <c r="AE42" i="18"/>
  <c r="AI41" i="18"/>
  <c r="AM42" i="18"/>
  <c r="AQ41" i="18"/>
  <c r="AN41" i="18"/>
  <c r="AJ41" i="18"/>
  <c r="AF41" i="18"/>
  <c r="AB41" i="18"/>
  <c r="X41" i="18"/>
  <c r="T41" i="18"/>
  <c r="P41" i="18"/>
  <c r="L41" i="18"/>
  <c r="H41" i="18"/>
  <c r="P42" i="18"/>
  <c r="T42" i="18"/>
  <c r="AF42" i="18"/>
  <c r="AJ42" i="18"/>
  <c r="G42" i="18"/>
  <c r="AR11" i="18"/>
  <c r="AE41" i="18"/>
  <c r="O41" i="18"/>
  <c r="AQ42" i="18"/>
  <c r="AA42" i="18"/>
  <c r="K42" i="18"/>
  <c r="AA41" i="18"/>
  <c r="AP41" i="18"/>
  <c r="AL41" i="18"/>
  <c r="AH41" i="18"/>
  <c r="AD41" i="18"/>
  <c r="Z41" i="18"/>
  <c r="V41" i="18"/>
  <c r="R41" i="18"/>
  <c r="N41" i="18"/>
  <c r="J41" i="18"/>
  <c r="AS6" i="18"/>
  <c r="AR46" i="18"/>
  <c r="AT43" i="18"/>
  <c r="AS44" i="18"/>
  <c r="AT45" i="18"/>
  <c r="F48" i="18"/>
  <c r="AR48" i="18" s="1"/>
  <c r="AA49" i="18"/>
  <c r="AR49" i="18" s="1"/>
  <c r="AT44" i="18"/>
  <c r="AS47" i="18"/>
  <c r="AT50" i="18"/>
  <c r="AT48" i="18"/>
  <c r="AS49" i="18"/>
  <c r="AR45" i="18"/>
  <c r="AS46" i="18"/>
  <c r="AS45" i="18"/>
  <c r="AR43" i="18"/>
  <c r="F50" i="18"/>
  <c r="AA47" i="18"/>
  <c r="AT47" i="18" s="1"/>
  <c r="AR44" i="18"/>
  <c r="AT46" i="18"/>
  <c r="AS43" i="18"/>
  <c r="C42" i="8"/>
  <c r="CH48" i="19"/>
  <c r="CB54" i="19"/>
  <c r="CF46" i="19"/>
  <c r="CB50" i="19"/>
  <c r="CB41" i="19"/>
  <c r="CF41" i="19"/>
  <c r="CF56" i="19" s="1"/>
  <c r="AF58" i="19"/>
  <c r="BG57" i="19"/>
  <c r="BG66" i="19" s="1"/>
  <c r="AY57" i="19"/>
  <c r="BI56" i="19"/>
  <c r="BA56" i="19"/>
  <c r="AS56" i="19"/>
  <c r="AS65" i="19" s="1"/>
  <c r="AK56" i="19"/>
  <c r="AC56" i="19"/>
  <c r="U56" i="19"/>
  <c r="M56" i="19"/>
  <c r="M65" i="19" s="1"/>
  <c r="E56" i="19"/>
  <c r="E65" i="19" s="1"/>
  <c r="U62" i="19"/>
  <c r="AJ58" i="19"/>
  <c r="AJ67" i="19" s="1"/>
  <c r="AA57" i="19"/>
  <c r="BZ57" i="19"/>
  <c r="BV57" i="19"/>
  <c r="BV66" i="19" s="1"/>
  <c r="BM57" i="19"/>
  <c r="U57" i="19"/>
  <c r="U66" i="19" s="1"/>
  <c r="E57" i="19"/>
  <c r="E66" i="19" s="1"/>
  <c r="CF54" i="19"/>
  <c r="CF47" i="19"/>
  <c r="CB51" i="19"/>
  <c r="CF50" i="19"/>
  <c r="CF43" i="19"/>
  <c r="CF42" i="19"/>
  <c r="CA57" i="19"/>
  <c r="BS57" i="19"/>
  <c r="G57" i="19"/>
  <c r="K57" i="19"/>
  <c r="E64" i="19"/>
  <c r="BW57" i="19"/>
  <c r="BO57" i="19"/>
  <c r="BR57" i="19"/>
  <c r="BE57" i="19"/>
  <c r="AQ57" i="19"/>
  <c r="AI57" i="19"/>
  <c r="AI66" i="19" s="1"/>
  <c r="Y57" i="19"/>
  <c r="Q57" i="19"/>
  <c r="BK58" i="19"/>
  <c r="BC58" i="19"/>
  <c r="AU58" i="19"/>
  <c r="K58" i="19"/>
  <c r="BT58" i="19"/>
  <c r="BP58" i="19"/>
  <c r="BP67" i="19" s="1"/>
  <c r="M58" i="19"/>
  <c r="E58" i="19"/>
  <c r="E67" i="19" s="1"/>
  <c r="S57" i="19"/>
  <c r="CA56" i="19"/>
  <c r="BS56" i="19"/>
  <c r="G56" i="19"/>
  <c r="CH44" i="19"/>
  <c r="CC51" i="19"/>
  <c r="CC42" i="19"/>
  <c r="AO58" i="19"/>
  <c r="AC58" i="19"/>
  <c r="CB42" i="19"/>
  <c r="AA58" i="19"/>
  <c r="BI58" i="19"/>
  <c r="BA58" i="19"/>
  <c r="AS58" i="19"/>
  <c r="U58" i="19"/>
  <c r="Q58" i="19"/>
  <c r="Q67" i="19" s="1"/>
  <c r="AM57" i="19"/>
  <c r="AE57" i="19"/>
  <c r="BY57" i="19"/>
  <c r="BU57" i="19"/>
  <c r="BU66" i="19" s="1"/>
  <c r="BQ57" i="19"/>
  <c r="AW57" i="19"/>
  <c r="AP57" i="19"/>
  <c r="AL57" i="19"/>
  <c r="AL66" i="19" s="1"/>
  <c r="AH57" i="19"/>
  <c r="AD57" i="19"/>
  <c r="BW56" i="19"/>
  <c r="BW65" i="19" s="1"/>
  <c r="BO56" i="19"/>
  <c r="BG56" i="19"/>
  <c r="BG65" i="19" s="1"/>
  <c r="AY56" i="19"/>
  <c r="AQ56" i="19"/>
  <c r="AQ65" i="19" s="1"/>
  <c r="AI56" i="19"/>
  <c r="AI65" i="19" s="1"/>
  <c r="AA56" i="19"/>
  <c r="S56" i="19"/>
  <c r="S65" i="19" s="1"/>
  <c r="K56" i="19"/>
  <c r="CG52" i="19"/>
  <c r="CC44" i="19"/>
  <c r="CG43" i="19"/>
  <c r="AK58" i="19"/>
  <c r="BQ56" i="19"/>
  <c r="BQ65" i="19" s="1"/>
  <c r="CB55" i="19"/>
  <c r="CB56" i="19"/>
  <c r="CI50" i="19"/>
  <c r="BW58" i="19"/>
  <c r="BS58" i="19"/>
  <c r="BO58" i="19"/>
  <c r="BG58" i="19"/>
  <c r="AY58" i="19"/>
  <c r="AQ58" i="19"/>
  <c r="AM58" i="19"/>
  <c r="AM67" i="19" s="1"/>
  <c r="AI58" i="19"/>
  <c r="AI67" i="19" s="1"/>
  <c r="AE58" i="19"/>
  <c r="S58" i="19"/>
  <c r="S67" i="19" s="1"/>
  <c r="O58" i="19"/>
  <c r="G58" i="19"/>
  <c r="Y58" i="19"/>
  <c r="I58" i="19"/>
  <c r="BI57" i="19"/>
  <c r="BA57" i="19"/>
  <c r="AO57" i="19"/>
  <c r="AK57" i="19"/>
  <c r="AK66" i="19" s="1"/>
  <c r="AG57" i="19"/>
  <c r="AG66" i="19" s="1"/>
  <c r="AC57" i="19"/>
  <c r="I57" i="19"/>
  <c r="BU56" i="19"/>
  <c r="BU65" i="19" s="1"/>
  <c r="BM56" i="19"/>
  <c r="BE56" i="19"/>
  <c r="AW56" i="19"/>
  <c r="AO56" i="19"/>
  <c r="AO65" i="19" s="1"/>
  <c r="AG56" i="19"/>
  <c r="AG65" i="19" s="1"/>
  <c r="Y56" i="19"/>
  <c r="Q56" i="19"/>
  <c r="I56" i="19"/>
  <c r="CC55" i="19"/>
  <c r="CC52" i="19"/>
  <c r="AG58" i="19"/>
  <c r="BY56" i="19"/>
  <c r="CA58" i="19"/>
  <c r="W58" i="19"/>
  <c r="BY58" i="19"/>
  <c r="BU58" i="19"/>
  <c r="BU67" i="19" s="1"/>
  <c r="BQ58" i="19"/>
  <c r="BM58" i="19"/>
  <c r="BE58" i="19"/>
  <c r="AW58" i="19"/>
  <c r="BK57" i="19"/>
  <c r="BC57" i="19"/>
  <c r="AU57" i="19"/>
  <c r="W57" i="19"/>
  <c r="O57" i="19"/>
  <c r="O66" i="19" s="1"/>
  <c r="AS57" i="19"/>
  <c r="V57" i="19"/>
  <c r="R57" i="19"/>
  <c r="M57" i="19"/>
  <c r="BK56" i="19"/>
  <c r="BC56" i="19"/>
  <c r="AU56" i="19"/>
  <c r="AM56" i="19"/>
  <c r="AM65" i="19" s="1"/>
  <c r="AE56" i="19"/>
  <c r="W56" i="19"/>
  <c r="W65" i="19" s="1"/>
  <c r="O56" i="19"/>
  <c r="O65" i="19" s="1"/>
  <c r="D57" i="19"/>
  <c r="CI49" i="19"/>
  <c r="CI55" i="19"/>
  <c r="CI48" i="19"/>
  <c r="CI47" i="19"/>
  <c r="CE47" i="19"/>
  <c r="CI46" i="19"/>
  <c r="CI52" i="19"/>
  <c r="CI45" i="19"/>
  <c r="CI51" i="19"/>
  <c r="CE44" i="19"/>
  <c r="CE43" i="19"/>
  <c r="CI53" i="19"/>
  <c r="CC41" i="19"/>
  <c r="CG41" i="19"/>
  <c r="CH49" i="19"/>
  <c r="CH55" i="19"/>
  <c r="CD49" i="19"/>
  <c r="CD55" i="19"/>
  <c r="CH54" i="19"/>
  <c r="CD48" i="19"/>
  <c r="CD54" i="19"/>
  <c r="CH47" i="19"/>
  <c r="CD47" i="19"/>
  <c r="CH46" i="19"/>
  <c r="CD46" i="19"/>
  <c r="CH45" i="19"/>
  <c r="CH51" i="19"/>
  <c r="CD45" i="19"/>
  <c r="CD51" i="19"/>
  <c r="CH50" i="19"/>
  <c r="CD44" i="19"/>
  <c r="CD50" i="19"/>
  <c r="CH43" i="19"/>
  <c r="CD43" i="19"/>
  <c r="CH42" i="19"/>
  <c r="CD42" i="19"/>
  <c r="CH41" i="19"/>
  <c r="CD41" i="19"/>
  <c r="CC46" i="19"/>
  <c r="CI54" i="19"/>
  <c r="CH53" i="19"/>
  <c r="CD52" i="19"/>
  <c r="CE49" i="19"/>
  <c r="CE55" i="19"/>
  <c r="CE48" i="19"/>
  <c r="CE46" i="19"/>
  <c r="CE52" i="19"/>
  <c r="CE45" i="19"/>
  <c r="CE51" i="19"/>
  <c r="CI44" i="19"/>
  <c r="CI43" i="19"/>
  <c r="CG49" i="19"/>
  <c r="CC49" i="19"/>
  <c r="CG54" i="19"/>
  <c r="CG48" i="19"/>
  <c r="CC54" i="19"/>
  <c r="CG53" i="19"/>
  <c r="CC53" i="19"/>
  <c r="CC47" i="19"/>
  <c r="CG46" i="19"/>
  <c r="CG45" i="19"/>
  <c r="CC45" i="19"/>
  <c r="CG50" i="19"/>
  <c r="CG44" i="19"/>
  <c r="CC50" i="19"/>
  <c r="CC59" i="19" s="1"/>
  <c r="CC43" i="19"/>
  <c r="CC57" i="19" s="1"/>
  <c r="CG42" i="19"/>
  <c r="BX57" i="19"/>
  <c r="BT57" i="19"/>
  <c r="BT66" i="19" s="1"/>
  <c r="BP57" i="19"/>
  <c r="BP66" i="19" s="1"/>
  <c r="AN57" i="19"/>
  <c r="AJ57" i="19"/>
  <c r="AF57" i="19"/>
  <c r="AF66" i="19" s="1"/>
  <c r="X57" i="19"/>
  <c r="T57" i="19"/>
  <c r="P57" i="19"/>
  <c r="P66" i="19" s="1"/>
  <c r="L57" i="19"/>
  <c r="CG55" i="19"/>
  <c r="CE53" i="19"/>
  <c r="CG51" i="19"/>
  <c r="CF49" i="19"/>
  <c r="CB49" i="19"/>
  <c r="CF48" i="19"/>
  <c r="CB48" i="19"/>
  <c r="CF53" i="19"/>
  <c r="CB53" i="19"/>
  <c r="CB47" i="19"/>
  <c r="CB65" i="19" s="1"/>
  <c r="CF52" i="19"/>
  <c r="CB52" i="19"/>
  <c r="CB46" i="19"/>
  <c r="CF45" i="19"/>
  <c r="CB45" i="19"/>
  <c r="CF44" i="19"/>
  <c r="CB44" i="19"/>
  <c r="CB43" i="19"/>
  <c r="CC48" i="19"/>
  <c r="CG47" i="19"/>
  <c r="BV58" i="19"/>
  <c r="BV67" i="19" s="1"/>
  <c r="BR58" i="19"/>
  <c r="BR67" i="19" s="1"/>
  <c r="AL58" i="19"/>
  <c r="AH58" i="19"/>
  <c r="AH67" i="19" s="1"/>
  <c r="CF55" i="19"/>
  <c r="CE54" i="19"/>
  <c r="CD53" i="19"/>
  <c r="CH52" i="19"/>
  <c r="CF51" i="19"/>
  <c r="CE50" i="19"/>
  <c r="CI42" i="19"/>
  <c r="CE42" i="19"/>
  <c r="CI41" i="19"/>
  <c r="CE41" i="19"/>
  <c r="BW62" i="19"/>
  <c r="U60" i="19"/>
  <c r="BQ60" i="19"/>
  <c r="BY60" i="19"/>
  <c r="E60" i="19"/>
  <c r="BK60" i="19"/>
  <c r="S60" i="19"/>
  <c r="M60" i="19"/>
  <c r="U64" i="19"/>
  <c r="AE62" i="19"/>
  <c r="R62" i="19"/>
  <c r="AG62" i="19"/>
  <c r="BQ61" i="19"/>
  <c r="BR66" i="19"/>
  <c r="S61" i="19"/>
  <c r="BG61" i="19"/>
  <c r="CA61" i="19"/>
  <c r="AI62" i="19"/>
  <c r="Y64" i="19"/>
  <c r="AO64" i="19"/>
  <c r="Q65" i="19"/>
  <c r="AK65" i="19"/>
  <c r="AI60" i="19"/>
  <c r="AJ63" i="19"/>
  <c r="G59" i="19"/>
  <c r="BW60" i="19"/>
  <c r="AI63" i="19"/>
  <c r="BK63" i="19"/>
  <c r="BG64" i="19"/>
  <c r="CC66" i="19"/>
  <c r="AY60" i="19"/>
  <c r="BS60" i="19"/>
  <c r="E61" i="19"/>
  <c r="Q61" i="19"/>
  <c r="AK61" i="19"/>
  <c r="E62" i="19"/>
  <c r="AK62" i="19"/>
  <c r="AQ62" i="19"/>
  <c r="BQ62" i="19"/>
  <c r="BS67" i="19"/>
  <c r="AP62" i="19"/>
  <c r="AY63" i="19"/>
  <c r="G60" i="19"/>
  <c r="AM60" i="19"/>
  <c r="CB64" i="19"/>
  <c r="O59" i="19"/>
  <c r="AK67" i="19"/>
  <c r="BQ67" i="19"/>
  <c r="M59" i="19"/>
  <c r="BK59" i="19"/>
  <c r="AO60" i="19"/>
  <c r="BI60" i="19"/>
  <c r="AL61" i="19"/>
  <c r="BR61" i="19"/>
  <c r="S62" i="19"/>
  <c r="AY62" i="19"/>
  <c r="BK62" i="19"/>
  <c r="AG64" i="19"/>
  <c r="BQ64" i="19"/>
  <c r="AL62" i="19"/>
  <c r="BR62" i="19"/>
  <c r="AH62" i="19"/>
  <c r="BV62" i="19"/>
  <c r="BZ60" i="19"/>
  <c r="AH60" i="19"/>
  <c r="V61" i="19"/>
  <c r="AD61" i="19"/>
  <c r="BZ61" i="19"/>
  <c r="AH63" i="19"/>
  <c r="AL63" i="19"/>
  <c r="BR63" i="19"/>
  <c r="S59" i="19"/>
  <c r="BU60" i="19"/>
  <c r="O61" i="19"/>
  <c r="AI61" i="19"/>
  <c r="AQ61" i="19"/>
  <c r="AY61" i="19"/>
  <c r="BW61" i="19"/>
  <c r="CA62" i="19"/>
  <c r="G63" i="19"/>
  <c r="O63" i="19"/>
  <c r="W63" i="19"/>
  <c r="AE63" i="19"/>
  <c r="AM63" i="19"/>
  <c r="BG63" i="19"/>
  <c r="BS63" i="19"/>
  <c r="CA63" i="19"/>
  <c r="BS65" i="19"/>
  <c r="D60" i="19"/>
  <c r="L60" i="19"/>
  <c r="AJ60" i="19"/>
  <c r="BP60" i="19"/>
  <c r="BX60" i="19"/>
  <c r="AL60" i="19"/>
  <c r="BR60" i="19"/>
  <c r="BV60" i="19"/>
  <c r="D62" i="19"/>
  <c r="P62" i="19"/>
  <c r="T62" i="19"/>
  <c r="AF62" i="19"/>
  <c r="AJ62" i="19"/>
  <c r="AN62" i="19"/>
  <c r="BP62" i="19"/>
  <c r="BT62" i="19"/>
  <c r="BX62" i="19"/>
  <c r="E59" i="19"/>
  <c r="O60" i="19"/>
  <c r="AK60" i="19"/>
  <c r="BA60" i="19"/>
  <c r="CA60" i="19"/>
  <c r="Q62" i="19"/>
  <c r="BG62" i="19"/>
  <c r="AH64" i="19"/>
  <c r="AL64" i="19"/>
  <c r="BR64" i="19"/>
  <c r="BV64" i="19"/>
  <c r="AH66" i="19"/>
  <c r="BT60" i="19"/>
  <c r="R61" i="19"/>
  <c r="AH61" i="19"/>
  <c r="AP61" i="19"/>
  <c r="BV61" i="19"/>
  <c r="AD62" i="19"/>
  <c r="BV63" i="19"/>
  <c r="AD60" i="19"/>
  <c r="G61" i="19"/>
  <c r="W61" i="19"/>
  <c r="AE61" i="19"/>
  <c r="AM61" i="19"/>
  <c r="BK61" i="19"/>
  <c r="BS61" i="19"/>
  <c r="O62" i="19"/>
  <c r="S63" i="19"/>
  <c r="AQ63" i="19"/>
  <c r="BW63" i="19"/>
  <c r="Q59" i="19"/>
  <c r="Q60" i="19"/>
  <c r="AQ60" i="19"/>
  <c r="M61" i="19"/>
  <c r="U61" i="19"/>
  <c r="Y61" i="19"/>
  <c r="AG61" i="19"/>
  <c r="AO61" i="19"/>
  <c r="AS61" i="19"/>
  <c r="BA61" i="19"/>
  <c r="BE61" i="19"/>
  <c r="BI61" i="19"/>
  <c r="BU61" i="19"/>
  <c r="BY61" i="19"/>
  <c r="G62" i="19"/>
  <c r="W62" i="19"/>
  <c r="AM62" i="19"/>
  <c r="BC62" i="19"/>
  <c r="BS62" i="19"/>
  <c r="BU63" i="19"/>
  <c r="O64" i="19"/>
  <c r="S64" i="19"/>
  <c r="W64" i="19"/>
  <c r="AE64" i="19"/>
  <c r="AI64" i="19"/>
  <c r="AM64" i="19"/>
  <c r="AQ64" i="19"/>
  <c r="BS64" i="19"/>
  <c r="BW64" i="19"/>
  <c r="CA64" i="19"/>
  <c r="S66" i="19"/>
  <c r="AM66" i="19"/>
  <c r="AQ66" i="19"/>
  <c r="BS66" i="19"/>
  <c r="P61" i="19"/>
  <c r="T61" i="19"/>
  <c r="AF61" i="19"/>
  <c r="AJ61" i="19"/>
  <c r="AN61" i="19"/>
  <c r="BP61" i="19"/>
  <c r="BT61" i="19"/>
  <c r="BX61" i="19"/>
  <c r="P63" i="19"/>
  <c r="AF63" i="19"/>
  <c r="BP63" i="19"/>
  <c r="BT63" i="19"/>
  <c r="AJ64" i="19"/>
  <c r="BP64" i="19"/>
  <c r="BT64" i="19"/>
  <c r="AJ66" i="19"/>
  <c r="M62" i="19"/>
  <c r="Y62" i="19"/>
  <c r="AO62" i="19"/>
  <c r="AS62" i="19"/>
  <c r="BE62" i="19"/>
  <c r="BI62" i="19"/>
  <c r="BU62" i="19"/>
  <c r="BY62" i="19"/>
  <c r="E63" i="19"/>
  <c r="M63" i="19"/>
  <c r="Q63" i="19"/>
  <c r="U63" i="19"/>
  <c r="Y63" i="19"/>
  <c r="AG63" i="19"/>
  <c r="AK63" i="19"/>
  <c r="AO63" i="19"/>
  <c r="AS63" i="19"/>
  <c r="BE63" i="19"/>
  <c r="BI63" i="19"/>
  <c r="BQ63" i="19"/>
  <c r="BY63" i="19"/>
  <c r="M64" i="19"/>
  <c r="Q64" i="19"/>
  <c r="AK64" i="19"/>
  <c r="AS64" i="19"/>
  <c r="BE64" i="19"/>
  <c r="BI64" i="19"/>
  <c r="BU64" i="19"/>
  <c r="BY64" i="19"/>
  <c r="U65" i="19"/>
  <c r="BE65" i="19"/>
  <c r="BI65" i="19"/>
  <c r="M66" i="19"/>
  <c r="Q66" i="19"/>
  <c r="AO66" i="19"/>
  <c r="BE66" i="19"/>
  <c r="BQ66" i="19"/>
  <c r="AL67" i="19"/>
  <c r="BT67" i="19"/>
  <c r="AT74" i="4" l="1"/>
  <c r="AT81" i="4"/>
  <c r="AV73" i="4"/>
  <c r="AV74" i="4"/>
  <c r="AT72" i="4"/>
  <c r="AT75" i="4"/>
  <c r="AV75" i="4"/>
  <c r="AV70" i="4"/>
  <c r="AS74" i="4"/>
  <c r="AU81" i="4"/>
  <c r="AW74" i="4"/>
  <c r="AS76" i="4"/>
  <c r="AW72" i="4"/>
  <c r="AW71" i="4"/>
  <c r="AP74" i="4"/>
  <c r="AP71" i="4"/>
  <c r="AP76" i="4"/>
  <c r="AW73" i="4"/>
  <c r="AW70" i="4"/>
  <c r="AW76" i="4"/>
  <c r="AU75" i="4"/>
  <c r="AT42" i="18"/>
  <c r="AS41" i="18"/>
  <c r="AS42" i="18"/>
  <c r="AR42" i="18"/>
  <c r="AT49" i="18"/>
  <c r="AR47" i="18"/>
  <c r="AS48" i="18"/>
  <c r="AR50" i="18"/>
  <c r="AS50" i="18"/>
  <c r="CC60" i="19"/>
  <c r="CE56" i="19"/>
  <c r="CF58" i="19"/>
  <c r="CI56" i="19"/>
  <c r="CE58" i="19"/>
  <c r="CD56" i="19"/>
  <c r="CD57" i="19"/>
  <c r="CG56" i="19"/>
  <c r="CI58" i="19"/>
  <c r="CC56" i="19"/>
  <c r="CC65" i="19" s="1"/>
  <c r="CG57" i="19"/>
  <c r="CF57" i="19"/>
  <c r="CH56" i="19"/>
  <c r="CB57" i="19"/>
  <c r="CB66" i="19" s="1"/>
  <c r="CH57" i="19"/>
  <c r="CD58" i="19"/>
  <c r="CG58" i="19"/>
  <c r="CH58" i="19"/>
  <c r="CB58" i="19"/>
  <c r="CB67" i="19" s="1"/>
  <c r="CI57" i="19"/>
  <c r="CC58" i="19"/>
  <c r="CC67" i="19" s="1"/>
  <c r="CE57" i="19"/>
  <c r="CC61" i="19"/>
  <c r="CC63" i="19"/>
  <c r="CC62" i="19"/>
  <c r="CC64" i="19"/>
  <c r="CB61" i="19"/>
  <c r="CB63" i="19"/>
  <c r="CB62" i="19"/>
  <c r="CB60" i="19"/>
  <c r="H34" i="4"/>
  <c r="AR76" i="4" l="1"/>
  <c r="AU76" i="4"/>
  <c r="AR74" i="4"/>
  <c r="AU74" i="4"/>
  <c r="AR73" i="4"/>
  <c r="AU73" i="4"/>
  <c r="AR71" i="4"/>
  <c r="AU71" i="4"/>
  <c r="AR70" i="4"/>
  <c r="AU70" i="4"/>
  <c r="AR72" i="4"/>
  <c r="AU72" i="4"/>
  <c r="CA70" i="15"/>
  <c r="BZ70" i="15"/>
  <c r="BY70" i="15"/>
  <c r="BX70" i="15"/>
  <c r="BW70" i="15"/>
  <c r="BV70" i="15"/>
  <c r="BU70" i="15"/>
  <c r="BT70" i="15"/>
  <c r="BS70" i="15"/>
  <c r="BR70" i="15"/>
  <c r="BQ70" i="15"/>
  <c r="BP70" i="15"/>
  <c r="BO70" i="15"/>
  <c r="BN70" i="15"/>
  <c r="BM70" i="15"/>
  <c r="BL70" i="15"/>
  <c r="BK70" i="15"/>
  <c r="BJ70" i="15"/>
  <c r="BI70" i="15"/>
  <c r="BH70" i="15"/>
  <c r="BG70" i="15"/>
  <c r="BF70" i="15"/>
  <c r="BE70" i="15"/>
  <c r="BD70" i="15"/>
  <c r="BC70" i="15"/>
  <c r="BB70" i="15"/>
  <c r="BA70" i="15"/>
  <c r="AZ70" i="15"/>
  <c r="AY70" i="15"/>
  <c r="AX70" i="15"/>
  <c r="AW70" i="15"/>
  <c r="AV70" i="15"/>
  <c r="AU70" i="15"/>
  <c r="AT70" i="15"/>
  <c r="AS70" i="15"/>
  <c r="AR70" i="15"/>
  <c r="AQ70" i="15"/>
  <c r="AP70" i="15"/>
  <c r="AO70" i="15"/>
  <c r="AN70" i="15"/>
  <c r="AM70" i="15"/>
  <c r="AL70" i="15"/>
  <c r="AK70" i="15"/>
  <c r="AJ70" i="15"/>
  <c r="AI70" i="15"/>
  <c r="AH70" i="15"/>
  <c r="AG70" i="15"/>
  <c r="AF70" i="15"/>
  <c r="AE70" i="15"/>
  <c r="AD70" i="15"/>
  <c r="AC70" i="15"/>
  <c r="AB70" i="15"/>
  <c r="AA70" i="15"/>
  <c r="Z70" i="15"/>
  <c r="Y70" i="15"/>
  <c r="X70" i="15"/>
  <c r="W70" i="15"/>
  <c r="V70" i="15"/>
  <c r="U70" i="15"/>
  <c r="T70" i="15"/>
  <c r="S70" i="15"/>
  <c r="R70" i="15"/>
  <c r="Q70" i="15"/>
  <c r="P70" i="15"/>
  <c r="O70" i="15"/>
  <c r="N70" i="15"/>
  <c r="M70" i="15"/>
  <c r="L70" i="15"/>
  <c r="K70" i="15"/>
  <c r="J70" i="15"/>
  <c r="I70" i="15"/>
  <c r="H70" i="15"/>
  <c r="G70" i="15"/>
  <c r="F70" i="15"/>
  <c r="E70" i="15"/>
  <c r="D70" i="15"/>
  <c r="CA69" i="15"/>
  <c r="BZ69" i="15"/>
  <c r="BY69" i="15"/>
  <c r="BX69" i="15"/>
  <c r="BW69" i="15"/>
  <c r="BV69" i="15"/>
  <c r="BU69" i="15"/>
  <c r="BT69" i="15"/>
  <c r="BS69" i="15"/>
  <c r="BR69" i="15"/>
  <c r="BQ69" i="15"/>
  <c r="BP69" i="15"/>
  <c r="BO69" i="15"/>
  <c r="BN69" i="15"/>
  <c r="BM69" i="15"/>
  <c r="BL69" i="15"/>
  <c r="BK69" i="15"/>
  <c r="BJ69" i="15"/>
  <c r="BI69" i="15"/>
  <c r="BH69" i="15"/>
  <c r="BG69" i="15"/>
  <c r="BF69" i="15"/>
  <c r="BE69" i="15"/>
  <c r="BD69" i="15"/>
  <c r="BC69" i="15"/>
  <c r="BB69" i="15"/>
  <c r="BA69" i="15"/>
  <c r="AZ69" i="15"/>
  <c r="AY69" i="15"/>
  <c r="AX69" i="15"/>
  <c r="AW69" i="15"/>
  <c r="AV69" i="15"/>
  <c r="AU69" i="15"/>
  <c r="AT69" i="15"/>
  <c r="AS69" i="15"/>
  <c r="AR69" i="15"/>
  <c r="AQ69" i="15"/>
  <c r="AP69" i="15"/>
  <c r="AO69" i="15"/>
  <c r="AN69" i="15"/>
  <c r="AM69" i="15"/>
  <c r="AL69" i="15"/>
  <c r="AK69" i="15"/>
  <c r="AJ69" i="15"/>
  <c r="AI69" i="15"/>
  <c r="AH69" i="15"/>
  <c r="AG69" i="15"/>
  <c r="AF69" i="15"/>
  <c r="AE69" i="15"/>
  <c r="AD69" i="15"/>
  <c r="AC69" i="15"/>
  <c r="AB69" i="15"/>
  <c r="AA69" i="15"/>
  <c r="Z69" i="15"/>
  <c r="Y69" i="15"/>
  <c r="X69" i="15"/>
  <c r="W69" i="15"/>
  <c r="V69" i="15"/>
  <c r="U69" i="15"/>
  <c r="T69" i="15"/>
  <c r="S69" i="15"/>
  <c r="R69" i="15"/>
  <c r="Q69" i="15"/>
  <c r="P69" i="15"/>
  <c r="O69" i="15"/>
  <c r="N69" i="15"/>
  <c r="M69" i="15"/>
  <c r="L69" i="15"/>
  <c r="K69" i="15"/>
  <c r="J69" i="15"/>
  <c r="I69" i="15"/>
  <c r="H69" i="15"/>
  <c r="G69" i="15"/>
  <c r="F69" i="15"/>
  <c r="E69" i="15"/>
  <c r="D69" i="15"/>
  <c r="CA68" i="15"/>
  <c r="BZ68" i="15"/>
  <c r="BY68" i="15"/>
  <c r="BX68" i="15"/>
  <c r="BW68" i="15"/>
  <c r="BV68" i="15"/>
  <c r="BU68" i="15"/>
  <c r="BT68" i="15"/>
  <c r="BS68" i="15"/>
  <c r="BR68" i="15"/>
  <c r="BQ68" i="15"/>
  <c r="BP68" i="15"/>
  <c r="BO68" i="15"/>
  <c r="BN68" i="15"/>
  <c r="BM68" i="15"/>
  <c r="BL68" i="15"/>
  <c r="BK68" i="15"/>
  <c r="BJ68" i="15"/>
  <c r="BI68" i="15"/>
  <c r="BH68" i="15"/>
  <c r="BG68" i="15"/>
  <c r="BF68" i="15"/>
  <c r="BE68" i="15"/>
  <c r="BD68" i="15"/>
  <c r="BC68" i="15"/>
  <c r="BB68" i="15"/>
  <c r="BA68" i="15"/>
  <c r="AZ68" i="15"/>
  <c r="AY68" i="15"/>
  <c r="AX68" i="15"/>
  <c r="AW68" i="15"/>
  <c r="AV68" i="15"/>
  <c r="AU68" i="15"/>
  <c r="AT68" i="15"/>
  <c r="AS68" i="15"/>
  <c r="AR68" i="15"/>
  <c r="AQ68" i="15"/>
  <c r="AP68" i="15"/>
  <c r="AO68" i="15"/>
  <c r="AN68" i="15"/>
  <c r="AM68" i="15"/>
  <c r="AL68" i="15"/>
  <c r="AK68" i="15"/>
  <c r="AJ68" i="15"/>
  <c r="AI68" i="15"/>
  <c r="AH68" i="15"/>
  <c r="AG68" i="15"/>
  <c r="AF68" i="15"/>
  <c r="AE68" i="15"/>
  <c r="AD68" i="15"/>
  <c r="AC68" i="15"/>
  <c r="AB68" i="15"/>
  <c r="AA68" i="15"/>
  <c r="Z68" i="15"/>
  <c r="Y68" i="15"/>
  <c r="X68" i="15"/>
  <c r="W68" i="15"/>
  <c r="V68" i="15"/>
  <c r="U68" i="15"/>
  <c r="T68" i="15"/>
  <c r="S68" i="15"/>
  <c r="R68" i="15"/>
  <c r="Q68" i="15"/>
  <c r="P68" i="15"/>
  <c r="O68" i="15"/>
  <c r="N68" i="15"/>
  <c r="M68" i="15"/>
  <c r="L68" i="15"/>
  <c r="K68" i="15"/>
  <c r="J68" i="15"/>
  <c r="I68" i="15"/>
  <c r="H68" i="15"/>
  <c r="G68" i="15"/>
  <c r="F68" i="15"/>
  <c r="E68" i="15"/>
  <c r="D68" i="15"/>
  <c r="CA67" i="15"/>
  <c r="BZ67" i="15"/>
  <c r="BY67" i="15"/>
  <c r="BX67" i="15"/>
  <c r="BW67" i="15"/>
  <c r="BV67" i="15"/>
  <c r="BU67" i="15"/>
  <c r="BT67" i="15"/>
  <c r="BS67" i="15"/>
  <c r="BR67" i="15"/>
  <c r="BQ67" i="15"/>
  <c r="BP67" i="15"/>
  <c r="BO67" i="15"/>
  <c r="BN67" i="15"/>
  <c r="BM67" i="15"/>
  <c r="BL67" i="15"/>
  <c r="BK67" i="15"/>
  <c r="BJ67" i="15"/>
  <c r="BI67" i="15"/>
  <c r="BH67" i="15"/>
  <c r="BG67" i="15"/>
  <c r="BF67" i="15"/>
  <c r="BE67" i="15"/>
  <c r="BD67" i="15"/>
  <c r="BC67" i="15"/>
  <c r="BB67" i="15"/>
  <c r="BA67" i="15"/>
  <c r="AZ67" i="15"/>
  <c r="AY67" i="15"/>
  <c r="AX67" i="15"/>
  <c r="AW67" i="15"/>
  <c r="AV67" i="15"/>
  <c r="AU67" i="15"/>
  <c r="AT67" i="15"/>
  <c r="AS67" i="15"/>
  <c r="AR67" i="15"/>
  <c r="AQ67" i="15"/>
  <c r="AP67" i="15"/>
  <c r="AO67" i="15"/>
  <c r="AN67" i="15"/>
  <c r="AM67" i="15"/>
  <c r="AL67" i="15"/>
  <c r="AK67" i="15"/>
  <c r="AJ67" i="15"/>
  <c r="AI67" i="15"/>
  <c r="AH67" i="15"/>
  <c r="AG67" i="15"/>
  <c r="AF67" i="15"/>
  <c r="AE67" i="15"/>
  <c r="AD67" i="15"/>
  <c r="AC67" i="15"/>
  <c r="AB67" i="15"/>
  <c r="AA67" i="15"/>
  <c r="Z67" i="15"/>
  <c r="Y67" i="15"/>
  <c r="X67" i="15"/>
  <c r="W67" i="15"/>
  <c r="V67" i="15"/>
  <c r="U67" i="15"/>
  <c r="T67" i="15"/>
  <c r="S67" i="15"/>
  <c r="R67" i="15"/>
  <c r="Q67" i="15"/>
  <c r="P67" i="15"/>
  <c r="O67" i="15"/>
  <c r="N67" i="15"/>
  <c r="M67" i="15"/>
  <c r="L67" i="15"/>
  <c r="K67" i="15"/>
  <c r="J67" i="15"/>
  <c r="I67" i="15"/>
  <c r="H67" i="15"/>
  <c r="G67" i="15"/>
  <c r="F67" i="15"/>
  <c r="E67" i="15"/>
  <c r="D67" i="15"/>
  <c r="CA66" i="15"/>
  <c r="BZ66" i="15"/>
  <c r="BY66" i="15"/>
  <c r="BX66" i="15"/>
  <c r="BW66" i="15"/>
  <c r="BV66" i="15"/>
  <c r="BU66" i="15"/>
  <c r="BT66" i="15"/>
  <c r="BS66" i="15"/>
  <c r="BR66" i="15"/>
  <c r="BQ66" i="15"/>
  <c r="BP66" i="15"/>
  <c r="BO66" i="15"/>
  <c r="BN66" i="15"/>
  <c r="BM66" i="15"/>
  <c r="BL66" i="15"/>
  <c r="BK66" i="15"/>
  <c r="BJ66" i="15"/>
  <c r="BI66" i="15"/>
  <c r="BH66" i="15"/>
  <c r="BG66" i="15"/>
  <c r="BF66" i="15"/>
  <c r="BE66" i="15"/>
  <c r="BD66" i="15"/>
  <c r="BC66" i="15"/>
  <c r="BB66" i="15"/>
  <c r="BA66" i="15"/>
  <c r="AZ66" i="15"/>
  <c r="AY66" i="15"/>
  <c r="AX66" i="15"/>
  <c r="AW66" i="15"/>
  <c r="AV66" i="15"/>
  <c r="AU66" i="15"/>
  <c r="AT66" i="15"/>
  <c r="AS66" i="15"/>
  <c r="AR66" i="15"/>
  <c r="AQ66" i="15"/>
  <c r="AP66" i="15"/>
  <c r="AO66" i="15"/>
  <c r="AN66" i="15"/>
  <c r="AM66" i="15"/>
  <c r="AL66" i="15"/>
  <c r="AK66" i="15"/>
  <c r="AJ66" i="15"/>
  <c r="AI66" i="15"/>
  <c r="AH66" i="15"/>
  <c r="AG66" i="15"/>
  <c r="AF66" i="15"/>
  <c r="AE66" i="15"/>
  <c r="AD66" i="15"/>
  <c r="AC66" i="15"/>
  <c r="AB66" i="15"/>
  <c r="AA66" i="15"/>
  <c r="Z66" i="15"/>
  <c r="Y66" i="15"/>
  <c r="X66" i="15"/>
  <c r="W66" i="15"/>
  <c r="V66" i="15"/>
  <c r="U66" i="15"/>
  <c r="T66" i="15"/>
  <c r="S66" i="15"/>
  <c r="R66" i="15"/>
  <c r="Q66" i="15"/>
  <c r="P66" i="15"/>
  <c r="O66" i="15"/>
  <c r="N66" i="15"/>
  <c r="M66" i="15"/>
  <c r="L66" i="15"/>
  <c r="K66" i="15"/>
  <c r="J66" i="15"/>
  <c r="I66" i="15"/>
  <c r="H66" i="15"/>
  <c r="G66" i="15"/>
  <c r="F66" i="15"/>
  <c r="E66" i="15"/>
  <c r="D66" i="15"/>
  <c r="CA65" i="15"/>
  <c r="BZ65" i="15"/>
  <c r="BY65" i="15"/>
  <c r="BX65" i="15"/>
  <c r="BW65" i="15"/>
  <c r="BV65" i="15"/>
  <c r="BU65" i="15"/>
  <c r="BT65" i="15"/>
  <c r="BS65" i="15"/>
  <c r="BR65" i="15"/>
  <c r="BQ65" i="15"/>
  <c r="BP65" i="15"/>
  <c r="BO65" i="15"/>
  <c r="BN65" i="15"/>
  <c r="BM65" i="15"/>
  <c r="BL65" i="15"/>
  <c r="BK65" i="15"/>
  <c r="BJ65" i="15"/>
  <c r="BI65" i="15"/>
  <c r="BH65" i="15"/>
  <c r="BG65" i="15"/>
  <c r="BF65" i="15"/>
  <c r="BE65" i="15"/>
  <c r="BD65" i="15"/>
  <c r="BC65" i="15"/>
  <c r="BB65" i="15"/>
  <c r="BA65" i="15"/>
  <c r="AZ65" i="15"/>
  <c r="AY65" i="15"/>
  <c r="AX65" i="15"/>
  <c r="AW65" i="15"/>
  <c r="AV65" i="15"/>
  <c r="AU65" i="15"/>
  <c r="AT65" i="15"/>
  <c r="AS65" i="15"/>
  <c r="AR65" i="15"/>
  <c r="AQ65" i="15"/>
  <c r="AP65" i="15"/>
  <c r="AO65" i="15"/>
  <c r="AN65" i="15"/>
  <c r="AM65" i="15"/>
  <c r="AL65" i="15"/>
  <c r="AK65" i="15"/>
  <c r="AJ65" i="15"/>
  <c r="AI65" i="15"/>
  <c r="AH65" i="15"/>
  <c r="AG65" i="15"/>
  <c r="AF65" i="15"/>
  <c r="AE65" i="15"/>
  <c r="AD65" i="15"/>
  <c r="AC65" i="15"/>
  <c r="AB65" i="15"/>
  <c r="AA65" i="15"/>
  <c r="Z65" i="15"/>
  <c r="Y65" i="15"/>
  <c r="X65" i="15"/>
  <c r="W65" i="15"/>
  <c r="V65" i="15"/>
  <c r="U65" i="15"/>
  <c r="T65" i="15"/>
  <c r="S65" i="15"/>
  <c r="R65" i="15"/>
  <c r="Q65" i="15"/>
  <c r="P65" i="15"/>
  <c r="O65" i="15"/>
  <c r="N65" i="15"/>
  <c r="M65" i="15"/>
  <c r="L65" i="15"/>
  <c r="K65" i="15"/>
  <c r="J65" i="15"/>
  <c r="I65" i="15"/>
  <c r="H65" i="15"/>
  <c r="G65" i="15"/>
  <c r="F65" i="15"/>
  <c r="E65" i="15"/>
  <c r="D65" i="15"/>
  <c r="CA64" i="15"/>
  <c r="BY64" i="15"/>
  <c r="BW64" i="15"/>
  <c r="BU64" i="15"/>
  <c r="BS64" i="15"/>
  <c r="BQ64" i="15"/>
  <c r="BO64" i="15"/>
  <c r="BM64" i="15"/>
  <c r="BK64" i="15"/>
  <c r="BI64" i="15"/>
  <c r="BG64" i="15"/>
  <c r="BE64" i="15"/>
  <c r="BC64" i="15"/>
  <c r="BA64" i="15"/>
  <c r="AY64" i="15"/>
  <c r="AW64" i="15"/>
  <c r="AU64" i="15"/>
  <c r="AS64" i="15"/>
  <c r="AQ64" i="15"/>
  <c r="AO64" i="15"/>
  <c r="AM64" i="15"/>
  <c r="AK64" i="15"/>
  <c r="AI64" i="15"/>
  <c r="AG64" i="15"/>
  <c r="AE64" i="15"/>
  <c r="AC64" i="15"/>
  <c r="AA64" i="15"/>
  <c r="Y64" i="15"/>
  <c r="W64" i="15"/>
  <c r="U64" i="15"/>
  <c r="S64" i="15"/>
  <c r="Q64" i="15"/>
  <c r="O64" i="15"/>
  <c r="M64" i="15"/>
  <c r="K64" i="15"/>
  <c r="I64" i="15"/>
  <c r="G64" i="15"/>
  <c r="E64" i="15"/>
  <c r="CA63" i="15"/>
  <c r="BZ63" i="15"/>
  <c r="BY63" i="15"/>
  <c r="BX63" i="15"/>
  <c r="BW63" i="15"/>
  <c r="BV63" i="15"/>
  <c r="BU63" i="15"/>
  <c r="BT63" i="15"/>
  <c r="BS63" i="15"/>
  <c r="BR63" i="15"/>
  <c r="BQ63" i="15"/>
  <c r="BP63" i="15"/>
  <c r="BO63" i="15"/>
  <c r="BN63" i="15"/>
  <c r="BM63" i="15"/>
  <c r="BL63" i="15"/>
  <c r="BK63" i="15"/>
  <c r="BJ63" i="15"/>
  <c r="BI63" i="15"/>
  <c r="BH63" i="15"/>
  <c r="BG63" i="15"/>
  <c r="BF63" i="15"/>
  <c r="BE63" i="15"/>
  <c r="BD63" i="15"/>
  <c r="BC63" i="15"/>
  <c r="BB63" i="15"/>
  <c r="BA63" i="15"/>
  <c r="AZ63" i="15"/>
  <c r="AY63" i="15"/>
  <c r="AX63" i="15"/>
  <c r="AW63" i="15"/>
  <c r="AV63" i="15"/>
  <c r="AU63" i="15"/>
  <c r="AT63" i="15"/>
  <c r="AS63" i="15"/>
  <c r="AR63" i="15"/>
  <c r="AQ63" i="15"/>
  <c r="AP63" i="15"/>
  <c r="AO63" i="15"/>
  <c r="AN63" i="15"/>
  <c r="AM63" i="15"/>
  <c r="AL63" i="15"/>
  <c r="AK63" i="15"/>
  <c r="AJ63" i="15"/>
  <c r="AI63" i="15"/>
  <c r="AH63" i="15"/>
  <c r="AG63" i="15"/>
  <c r="AF63" i="15"/>
  <c r="AE63" i="15"/>
  <c r="AD63" i="15"/>
  <c r="AC63" i="15"/>
  <c r="AB63" i="15"/>
  <c r="AA63" i="15"/>
  <c r="Z63" i="15"/>
  <c r="Y63" i="15"/>
  <c r="X63" i="15"/>
  <c r="W63" i="15"/>
  <c r="V63" i="15"/>
  <c r="U63" i="15"/>
  <c r="T63" i="15"/>
  <c r="S63" i="15"/>
  <c r="R63" i="15"/>
  <c r="Q63" i="15"/>
  <c r="P63" i="15"/>
  <c r="O63" i="15"/>
  <c r="N63" i="15"/>
  <c r="M63" i="15"/>
  <c r="L63" i="15"/>
  <c r="K63" i="15"/>
  <c r="J63" i="15"/>
  <c r="I63" i="15"/>
  <c r="H63" i="15"/>
  <c r="G63" i="15"/>
  <c r="F63" i="15"/>
  <c r="E63" i="15"/>
  <c r="D63" i="15"/>
  <c r="CA62" i="15"/>
  <c r="BY62" i="15"/>
  <c r="BW62" i="15"/>
  <c r="BU62" i="15"/>
  <c r="BS62" i="15"/>
  <c r="BQ62" i="15"/>
  <c r="BO62" i="15"/>
  <c r="BM62" i="15"/>
  <c r="BK62" i="15"/>
  <c r="BI62" i="15"/>
  <c r="BG62" i="15"/>
  <c r="BE62" i="15"/>
  <c r="BC62" i="15"/>
  <c r="BA62" i="15"/>
  <c r="AY62" i="15"/>
  <c r="AW62" i="15"/>
  <c r="AU62" i="15"/>
  <c r="AS62" i="15"/>
  <c r="AQ62" i="15"/>
  <c r="AO62" i="15"/>
  <c r="AM62" i="15"/>
  <c r="AK62" i="15"/>
  <c r="AI62" i="15"/>
  <c r="AG62" i="15"/>
  <c r="AE62" i="15"/>
  <c r="AC62" i="15"/>
  <c r="AA62" i="15"/>
  <c r="Y62" i="15"/>
  <c r="W62" i="15"/>
  <c r="U62" i="15"/>
  <c r="S62" i="15"/>
  <c r="Q62" i="15"/>
  <c r="O62" i="15"/>
  <c r="M62" i="15"/>
  <c r="K62" i="15"/>
  <c r="I62" i="15"/>
  <c r="G62" i="15"/>
  <c r="E62" i="15"/>
  <c r="CA61" i="15"/>
  <c r="BY61" i="15"/>
  <c r="BW61" i="15"/>
  <c r="BU61" i="15"/>
  <c r="BS61" i="15"/>
  <c r="BQ61" i="15"/>
  <c r="BO61" i="15"/>
  <c r="BM61" i="15"/>
  <c r="BK61" i="15"/>
  <c r="BI61" i="15"/>
  <c r="BG61" i="15"/>
  <c r="BE61" i="15"/>
  <c r="BC61" i="15"/>
  <c r="BA61" i="15"/>
  <c r="AY61" i="15"/>
  <c r="AW61" i="15"/>
  <c r="AU61" i="15"/>
  <c r="AS61" i="15"/>
  <c r="AQ61" i="15"/>
  <c r="AO61" i="15"/>
  <c r="AM61" i="15"/>
  <c r="AK61" i="15"/>
  <c r="AI61" i="15"/>
  <c r="AG61" i="15"/>
  <c r="AE61" i="15"/>
  <c r="AC61" i="15"/>
  <c r="AA61" i="15"/>
  <c r="Y61" i="15"/>
  <c r="W61" i="15"/>
  <c r="U61" i="15"/>
  <c r="S61" i="15"/>
  <c r="Q61" i="15"/>
  <c r="O61" i="15"/>
  <c r="M61" i="15"/>
  <c r="K61" i="15"/>
  <c r="I61" i="15"/>
  <c r="G61" i="15"/>
  <c r="E61" i="15"/>
  <c r="CA60" i="15"/>
  <c r="BZ60" i="15"/>
  <c r="BY60" i="15"/>
  <c r="BX60" i="15"/>
  <c r="BW60" i="15"/>
  <c r="BV60" i="15"/>
  <c r="BU60" i="15"/>
  <c r="BT60" i="15"/>
  <c r="BS60" i="15"/>
  <c r="BR60" i="15"/>
  <c r="BQ60" i="15"/>
  <c r="BP60" i="15"/>
  <c r="BO60" i="15"/>
  <c r="BN60" i="15"/>
  <c r="BM60" i="15"/>
  <c r="BL60" i="15"/>
  <c r="CI60" i="15" s="1"/>
  <c r="BK60" i="15"/>
  <c r="BJ60" i="15"/>
  <c r="BI60" i="15"/>
  <c r="BH60" i="15"/>
  <c r="BG60" i="15"/>
  <c r="BF60" i="15"/>
  <c r="BE60" i="15"/>
  <c r="BD60" i="15"/>
  <c r="BC60" i="15"/>
  <c r="BB60" i="15"/>
  <c r="BA60" i="15"/>
  <c r="AZ60" i="15"/>
  <c r="AY60" i="15"/>
  <c r="AX60" i="15"/>
  <c r="AW60" i="15"/>
  <c r="AV60" i="15"/>
  <c r="AU60" i="15"/>
  <c r="AT60" i="15"/>
  <c r="CG60" i="15" s="1"/>
  <c r="AS60" i="15"/>
  <c r="AR60" i="15"/>
  <c r="AQ60" i="15"/>
  <c r="AP60" i="15"/>
  <c r="AO60" i="15"/>
  <c r="AN60" i="15"/>
  <c r="AM60" i="15"/>
  <c r="AL60" i="15"/>
  <c r="AK60" i="15"/>
  <c r="AJ60" i="15"/>
  <c r="AI60" i="15"/>
  <c r="AH60" i="15"/>
  <c r="AG60" i="15"/>
  <c r="AF60" i="15"/>
  <c r="AE60" i="15"/>
  <c r="AD60" i="15"/>
  <c r="AC60" i="15"/>
  <c r="AB60" i="15"/>
  <c r="AA60" i="15"/>
  <c r="Z60" i="15"/>
  <c r="CH60" i="15" s="1"/>
  <c r="Y60" i="15"/>
  <c r="X60" i="15"/>
  <c r="W60" i="15"/>
  <c r="V60" i="15"/>
  <c r="U60" i="15"/>
  <c r="T60" i="15"/>
  <c r="S60" i="15"/>
  <c r="R60" i="15"/>
  <c r="Q60" i="15"/>
  <c r="P60" i="15"/>
  <c r="O60" i="15"/>
  <c r="N60" i="15"/>
  <c r="M60" i="15"/>
  <c r="L60" i="15"/>
  <c r="K60" i="15"/>
  <c r="J60" i="15"/>
  <c r="I60" i="15"/>
  <c r="H60" i="15"/>
  <c r="G60" i="15"/>
  <c r="F60" i="15"/>
  <c r="E60" i="15"/>
  <c r="D60" i="15"/>
  <c r="CA59" i="15"/>
  <c r="BZ59" i="15"/>
  <c r="BY59" i="15"/>
  <c r="BX59" i="15"/>
  <c r="BW59" i="15"/>
  <c r="BV59" i="15"/>
  <c r="BU59" i="15"/>
  <c r="BT59" i="15"/>
  <c r="BS59" i="15"/>
  <c r="BR59" i="15"/>
  <c r="BQ59" i="15"/>
  <c r="BP59" i="15"/>
  <c r="BO59" i="15"/>
  <c r="BN59" i="15"/>
  <c r="BM59" i="15"/>
  <c r="BL59" i="15"/>
  <c r="CI59" i="15" s="1"/>
  <c r="BK59" i="15"/>
  <c r="BJ59" i="15"/>
  <c r="BI59" i="15"/>
  <c r="BH59" i="15"/>
  <c r="BG59" i="15"/>
  <c r="BF59" i="15"/>
  <c r="BE59" i="15"/>
  <c r="BD59" i="15"/>
  <c r="BC59" i="15"/>
  <c r="BB59" i="15"/>
  <c r="BA59" i="15"/>
  <c r="AZ59" i="15"/>
  <c r="AY59" i="15"/>
  <c r="AX59" i="15"/>
  <c r="AW59" i="15"/>
  <c r="AV59" i="15"/>
  <c r="AU59" i="15"/>
  <c r="AT59" i="15"/>
  <c r="CG59" i="15" s="1"/>
  <c r="AS59" i="15"/>
  <c r="AR59" i="15"/>
  <c r="AQ59" i="15"/>
  <c r="AP59" i="15"/>
  <c r="AO59" i="15"/>
  <c r="AN59" i="15"/>
  <c r="AM59" i="15"/>
  <c r="AL59" i="15"/>
  <c r="AK59" i="15"/>
  <c r="AJ59" i="15"/>
  <c r="AI59" i="15"/>
  <c r="AH59" i="15"/>
  <c r="AG59" i="15"/>
  <c r="AF59" i="15"/>
  <c r="AE59" i="15"/>
  <c r="AD59" i="15"/>
  <c r="AC59" i="15"/>
  <c r="AB59" i="15"/>
  <c r="AA59" i="15"/>
  <c r="Z59" i="15"/>
  <c r="CH59" i="15" s="1"/>
  <c r="Y59" i="15"/>
  <c r="X59" i="15"/>
  <c r="W59" i="15"/>
  <c r="V59" i="15"/>
  <c r="U59" i="15"/>
  <c r="T59" i="15"/>
  <c r="S59" i="15"/>
  <c r="R59" i="15"/>
  <c r="Q59" i="15"/>
  <c r="P59" i="15"/>
  <c r="O59" i="15"/>
  <c r="N59" i="15"/>
  <c r="M59" i="15"/>
  <c r="L59" i="15"/>
  <c r="K59" i="15"/>
  <c r="J59" i="15"/>
  <c r="I59" i="15"/>
  <c r="H59" i="15"/>
  <c r="G59" i="15"/>
  <c r="F59" i="15"/>
  <c r="E59" i="15"/>
  <c r="D59" i="15"/>
  <c r="CA58" i="15"/>
  <c r="BZ58" i="15"/>
  <c r="BY58" i="15"/>
  <c r="BX58" i="15"/>
  <c r="BW58" i="15"/>
  <c r="BV58" i="15"/>
  <c r="BU58" i="15"/>
  <c r="BT58" i="15"/>
  <c r="BS58" i="15"/>
  <c r="BR58" i="15"/>
  <c r="BQ58" i="15"/>
  <c r="BP58" i="15"/>
  <c r="BO58" i="15"/>
  <c r="BN58" i="15"/>
  <c r="BM58" i="15"/>
  <c r="BL58" i="15"/>
  <c r="CI58" i="15" s="1"/>
  <c r="BK58" i="15"/>
  <c r="BJ58" i="15"/>
  <c r="BI58" i="15"/>
  <c r="BH58" i="15"/>
  <c r="BG58" i="15"/>
  <c r="BF58" i="15"/>
  <c r="BE58" i="15"/>
  <c r="BD58" i="15"/>
  <c r="BC58" i="15"/>
  <c r="BB58" i="15"/>
  <c r="BA58" i="15"/>
  <c r="AZ58" i="15"/>
  <c r="AY58" i="15"/>
  <c r="AX58" i="15"/>
  <c r="AW58" i="15"/>
  <c r="AV58" i="15"/>
  <c r="AU58" i="15"/>
  <c r="AT58" i="15"/>
  <c r="CG58" i="15" s="1"/>
  <c r="AS58" i="15"/>
  <c r="AR58" i="15"/>
  <c r="AQ58" i="15"/>
  <c r="AP58" i="15"/>
  <c r="AO58" i="15"/>
  <c r="AN58" i="15"/>
  <c r="AM58" i="15"/>
  <c r="AL58" i="15"/>
  <c r="AK58" i="15"/>
  <c r="AJ58" i="15"/>
  <c r="AI58" i="15"/>
  <c r="AH58" i="15"/>
  <c r="AG58" i="15"/>
  <c r="AF58" i="15"/>
  <c r="AE58" i="15"/>
  <c r="AD58" i="15"/>
  <c r="AC58" i="15"/>
  <c r="AB58" i="15"/>
  <c r="AA58" i="15"/>
  <c r="Z58" i="15"/>
  <c r="CH58" i="15" s="1"/>
  <c r="Y58" i="15"/>
  <c r="X58" i="15"/>
  <c r="W58" i="15"/>
  <c r="V58" i="15"/>
  <c r="U58" i="15"/>
  <c r="T58" i="15"/>
  <c r="S58" i="15"/>
  <c r="R58" i="15"/>
  <c r="Q58" i="15"/>
  <c r="P58" i="15"/>
  <c r="O58" i="15"/>
  <c r="N58" i="15"/>
  <c r="M58" i="15"/>
  <c r="L58" i="15"/>
  <c r="K58" i="15"/>
  <c r="J58" i="15"/>
  <c r="I58" i="15"/>
  <c r="H58" i="15"/>
  <c r="G58" i="15"/>
  <c r="F58" i="15"/>
  <c r="E58" i="15"/>
  <c r="D58" i="15"/>
  <c r="CA57" i="15"/>
  <c r="BZ57" i="15"/>
  <c r="BY57" i="15"/>
  <c r="BX57" i="15"/>
  <c r="BW57" i="15"/>
  <c r="BV57" i="15"/>
  <c r="BU57" i="15"/>
  <c r="BT57" i="15"/>
  <c r="BS57" i="15"/>
  <c r="BR57" i="15"/>
  <c r="BQ57" i="15"/>
  <c r="BP57" i="15"/>
  <c r="BO57" i="15"/>
  <c r="BN57" i="15"/>
  <c r="BM57" i="15"/>
  <c r="BL57" i="15"/>
  <c r="CI57" i="15" s="1"/>
  <c r="BK57" i="15"/>
  <c r="BJ57" i="15"/>
  <c r="BI57" i="15"/>
  <c r="BH57" i="15"/>
  <c r="BG57" i="15"/>
  <c r="BF57" i="15"/>
  <c r="BE57" i="15"/>
  <c r="BD57" i="15"/>
  <c r="BC57" i="15"/>
  <c r="BB57" i="15"/>
  <c r="BA57" i="15"/>
  <c r="AZ57" i="15"/>
  <c r="AY57" i="15"/>
  <c r="AX57" i="15"/>
  <c r="AW57" i="15"/>
  <c r="AV57" i="15"/>
  <c r="AU57" i="15"/>
  <c r="AT57" i="15"/>
  <c r="CG57" i="15" s="1"/>
  <c r="AS57" i="15"/>
  <c r="AR57" i="15"/>
  <c r="AQ57" i="15"/>
  <c r="AP57" i="15"/>
  <c r="AO57" i="15"/>
  <c r="AN57" i="15"/>
  <c r="AM57" i="15"/>
  <c r="AL57" i="15"/>
  <c r="AK57" i="15"/>
  <c r="AJ57" i="15"/>
  <c r="AI57" i="15"/>
  <c r="AH57" i="15"/>
  <c r="AG57" i="15"/>
  <c r="AF57" i="15"/>
  <c r="AE57" i="15"/>
  <c r="AD57" i="15"/>
  <c r="AC57" i="15"/>
  <c r="AB57" i="15"/>
  <c r="AA57" i="15"/>
  <c r="Z57" i="15"/>
  <c r="CH57" i="15" s="1"/>
  <c r="Y57" i="15"/>
  <c r="X57" i="15"/>
  <c r="W57" i="15"/>
  <c r="V57" i="15"/>
  <c r="U57" i="15"/>
  <c r="T57" i="15"/>
  <c r="S57" i="15"/>
  <c r="R57" i="15"/>
  <c r="Q57" i="15"/>
  <c r="P57" i="15"/>
  <c r="O57" i="15"/>
  <c r="N57" i="15"/>
  <c r="M57" i="15"/>
  <c r="L57" i="15"/>
  <c r="K57" i="15"/>
  <c r="J57" i="15"/>
  <c r="I57" i="15"/>
  <c r="H57" i="15"/>
  <c r="G57" i="15"/>
  <c r="F57" i="15"/>
  <c r="E57" i="15"/>
  <c r="D57" i="15"/>
  <c r="CA56" i="15"/>
  <c r="BZ56" i="15"/>
  <c r="BY56" i="15"/>
  <c r="BX56" i="15"/>
  <c r="BW56" i="15"/>
  <c r="BV56" i="15"/>
  <c r="BU56" i="15"/>
  <c r="BT56" i="15"/>
  <c r="BS56" i="15"/>
  <c r="BR56" i="15"/>
  <c r="BQ56" i="15"/>
  <c r="BP56" i="15"/>
  <c r="BO56" i="15"/>
  <c r="BN56" i="15"/>
  <c r="BM56" i="15"/>
  <c r="BL56" i="15"/>
  <c r="CI56" i="15" s="1"/>
  <c r="BK56" i="15"/>
  <c r="BJ56" i="15"/>
  <c r="BI56" i="15"/>
  <c r="BH56" i="15"/>
  <c r="BG56" i="15"/>
  <c r="BF56" i="15"/>
  <c r="BE56" i="15"/>
  <c r="BD56" i="15"/>
  <c r="BC56" i="15"/>
  <c r="BB56" i="15"/>
  <c r="BA56" i="15"/>
  <c r="AZ56" i="15"/>
  <c r="AY56" i="15"/>
  <c r="AX56" i="15"/>
  <c r="AW56" i="15"/>
  <c r="AV56" i="15"/>
  <c r="AU56" i="15"/>
  <c r="AT56" i="15"/>
  <c r="CG56" i="15" s="1"/>
  <c r="AS56" i="15"/>
  <c r="AR56" i="15"/>
  <c r="AQ56" i="15"/>
  <c r="AP56" i="15"/>
  <c r="AO56" i="15"/>
  <c r="AN56" i="15"/>
  <c r="AM56" i="15"/>
  <c r="AL56" i="15"/>
  <c r="AK56" i="15"/>
  <c r="AJ56" i="15"/>
  <c r="AI56" i="15"/>
  <c r="AH56" i="15"/>
  <c r="AG56" i="15"/>
  <c r="AF56" i="15"/>
  <c r="AE56" i="15"/>
  <c r="AD56" i="15"/>
  <c r="AC56" i="15"/>
  <c r="AB56" i="15"/>
  <c r="AA56" i="15"/>
  <c r="Z56" i="15"/>
  <c r="CH56" i="15" s="1"/>
  <c r="Y56" i="15"/>
  <c r="X56" i="15"/>
  <c r="W56" i="15"/>
  <c r="V56" i="15"/>
  <c r="U56" i="15"/>
  <c r="T56" i="15"/>
  <c r="S56" i="15"/>
  <c r="R56" i="15"/>
  <c r="Q56" i="15"/>
  <c r="P56" i="15"/>
  <c r="O56" i="15"/>
  <c r="N56" i="15"/>
  <c r="M56" i="15"/>
  <c r="L56" i="15"/>
  <c r="K56" i="15"/>
  <c r="J56" i="15"/>
  <c r="I56" i="15"/>
  <c r="H56" i="15"/>
  <c r="G56" i="15"/>
  <c r="F56" i="15"/>
  <c r="E56" i="15"/>
  <c r="CD56" i="15"/>
  <c r="CA55" i="15"/>
  <c r="BZ55" i="15"/>
  <c r="BY55" i="15"/>
  <c r="BX55" i="15"/>
  <c r="BW55" i="15"/>
  <c r="BV55" i="15"/>
  <c r="BU55" i="15"/>
  <c r="BT55" i="15"/>
  <c r="BS55" i="15"/>
  <c r="BR55" i="15"/>
  <c r="BQ55" i="15"/>
  <c r="BP55" i="15"/>
  <c r="BO55" i="15"/>
  <c r="BN55" i="15"/>
  <c r="BM55" i="15"/>
  <c r="BL55" i="15"/>
  <c r="BK55" i="15"/>
  <c r="BJ55" i="15"/>
  <c r="BI55" i="15"/>
  <c r="BH55" i="15"/>
  <c r="BG55" i="15"/>
  <c r="BF55" i="15"/>
  <c r="BE55" i="15"/>
  <c r="BD55" i="15"/>
  <c r="BC55" i="15"/>
  <c r="BB55" i="15"/>
  <c r="BA55" i="15"/>
  <c r="AZ55" i="15"/>
  <c r="AY55" i="15"/>
  <c r="AX55" i="15"/>
  <c r="AW55" i="15"/>
  <c r="AV55" i="15"/>
  <c r="AU55" i="15"/>
  <c r="AT55" i="15"/>
  <c r="CG55" i="15" s="1"/>
  <c r="AS55" i="15"/>
  <c r="AR55" i="15"/>
  <c r="AQ55" i="15"/>
  <c r="AP55" i="15"/>
  <c r="AO55" i="15"/>
  <c r="AN55" i="15"/>
  <c r="AM55" i="15"/>
  <c r="AL55" i="15"/>
  <c r="AK55" i="15"/>
  <c r="AJ55" i="15"/>
  <c r="AI55" i="15"/>
  <c r="AH55" i="15"/>
  <c r="AG55" i="15"/>
  <c r="AF55" i="15"/>
  <c r="AE55" i="15"/>
  <c r="AD55" i="15"/>
  <c r="AC55" i="15"/>
  <c r="AB55" i="15"/>
  <c r="AA55" i="15"/>
  <c r="Z55" i="15"/>
  <c r="Y55" i="15"/>
  <c r="X55" i="15"/>
  <c r="W55" i="15"/>
  <c r="V55" i="15"/>
  <c r="U55" i="15"/>
  <c r="T55" i="15"/>
  <c r="S55" i="15"/>
  <c r="R55" i="15"/>
  <c r="Q55" i="15"/>
  <c r="P55" i="15"/>
  <c r="O55" i="15"/>
  <c r="N55" i="15"/>
  <c r="M55" i="15"/>
  <c r="L55" i="15"/>
  <c r="K55" i="15"/>
  <c r="J55" i="15"/>
  <c r="I55" i="15"/>
  <c r="H55" i="15"/>
  <c r="G55" i="15"/>
  <c r="F55" i="15"/>
  <c r="E55" i="15"/>
  <c r="D55" i="15"/>
  <c r="CA54" i="15"/>
  <c r="BY54" i="15"/>
  <c r="BW54" i="15"/>
  <c r="BU54" i="15"/>
  <c r="BS54" i="15"/>
  <c r="BQ54" i="15"/>
  <c r="BO54" i="15"/>
  <c r="BM54" i="15"/>
  <c r="BK54" i="15"/>
  <c r="BI54" i="15"/>
  <c r="BG54" i="15"/>
  <c r="BE54" i="15"/>
  <c r="BC54" i="15"/>
  <c r="BA54" i="15"/>
  <c r="AY54" i="15"/>
  <c r="AW54" i="15"/>
  <c r="AU54" i="15"/>
  <c r="AS54" i="15"/>
  <c r="AQ54" i="15"/>
  <c r="AO54" i="15"/>
  <c r="AM54" i="15"/>
  <c r="AK54" i="15"/>
  <c r="AI54" i="15"/>
  <c r="AG54" i="15"/>
  <c r="AE54" i="15"/>
  <c r="AC54" i="15"/>
  <c r="AA54" i="15"/>
  <c r="Y54" i="15"/>
  <c r="W54" i="15"/>
  <c r="U54" i="15"/>
  <c r="S54" i="15"/>
  <c r="Q54" i="15"/>
  <c r="O54" i="15"/>
  <c r="K54" i="15"/>
  <c r="I54" i="15"/>
  <c r="G54" i="15"/>
  <c r="E54" i="15"/>
  <c r="CA53" i="15"/>
  <c r="BZ53" i="15"/>
  <c r="BY53" i="15"/>
  <c r="BX53" i="15"/>
  <c r="BW53" i="15"/>
  <c r="BV53" i="15"/>
  <c r="BU53" i="15"/>
  <c r="BT53" i="15"/>
  <c r="BS53" i="15"/>
  <c r="BR53" i="15"/>
  <c r="BQ53" i="15"/>
  <c r="BP53" i="15"/>
  <c r="BO53" i="15"/>
  <c r="BN53" i="15"/>
  <c r="BM53" i="15"/>
  <c r="BL53" i="15"/>
  <c r="CI53" i="15" s="1"/>
  <c r="BK53" i="15"/>
  <c r="BJ53" i="15"/>
  <c r="BI53" i="15"/>
  <c r="BH53" i="15"/>
  <c r="BG53" i="15"/>
  <c r="BF53" i="15"/>
  <c r="BE53" i="15"/>
  <c r="BD53" i="15"/>
  <c r="BC53" i="15"/>
  <c r="BB53" i="15"/>
  <c r="BA53" i="15"/>
  <c r="AZ53" i="15"/>
  <c r="AY53" i="15"/>
  <c r="AX53" i="15"/>
  <c r="AW53" i="15"/>
  <c r="AV53" i="15"/>
  <c r="AU53" i="15"/>
  <c r="AT53" i="15"/>
  <c r="AS53" i="15"/>
  <c r="AR53" i="15"/>
  <c r="AQ53" i="15"/>
  <c r="AP53" i="15"/>
  <c r="AO53" i="15"/>
  <c r="AN53" i="15"/>
  <c r="AM53" i="15"/>
  <c r="AL53" i="15"/>
  <c r="AK53" i="15"/>
  <c r="AJ53" i="15"/>
  <c r="AI53" i="15"/>
  <c r="AH53" i="15"/>
  <c r="AG53" i="15"/>
  <c r="AF53" i="15"/>
  <c r="AE53" i="15"/>
  <c r="AD53" i="15"/>
  <c r="AC53" i="15"/>
  <c r="AB53" i="15"/>
  <c r="AA53" i="15"/>
  <c r="Z53" i="15"/>
  <c r="Y53" i="15"/>
  <c r="X53" i="15"/>
  <c r="W53" i="15"/>
  <c r="V53" i="15"/>
  <c r="U53" i="15"/>
  <c r="T53" i="15"/>
  <c r="S53" i="15"/>
  <c r="R53" i="15"/>
  <c r="Q53" i="15"/>
  <c r="P53" i="15"/>
  <c r="O53" i="15"/>
  <c r="N53" i="15"/>
  <c r="M53" i="15"/>
  <c r="L53" i="15"/>
  <c r="K53" i="15"/>
  <c r="J53" i="15"/>
  <c r="I53" i="15"/>
  <c r="H53" i="15"/>
  <c r="G53" i="15"/>
  <c r="F53" i="15"/>
  <c r="E53" i="15"/>
  <c r="D53" i="15"/>
  <c r="CF53" i="15" s="1"/>
  <c r="CA52" i="15"/>
  <c r="BY52" i="15"/>
  <c r="BW52" i="15"/>
  <c r="BU52" i="15"/>
  <c r="BS52" i="15"/>
  <c r="BQ52" i="15"/>
  <c r="BO52" i="15"/>
  <c r="BM52" i="15"/>
  <c r="BK52" i="15"/>
  <c r="BI52" i="15"/>
  <c r="BG52" i="15"/>
  <c r="BE52" i="15"/>
  <c r="BC52" i="15"/>
  <c r="BA52" i="15"/>
  <c r="AY52" i="15"/>
  <c r="AW52" i="15"/>
  <c r="AU52" i="15"/>
  <c r="AS52" i="15"/>
  <c r="AQ52" i="15"/>
  <c r="AO52" i="15"/>
  <c r="AM52" i="15"/>
  <c r="AK52" i="15"/>
  <c r="AI52" i="15"/>
  <c r="AG52" i="15"/>
  <c r="AE52" i="15"/>
  <c r="AC52" i="15"/>
  <c r="AA52" i="15"/>
  <c r="Y52" i="15"/>
  <c r="W52" i="15"/>
  <c r="U52" i="15"/>
  <c r="S52" i="15"/>
  <c r="Q52" i="15"/>
  <c r="O52" i="15"/>
  <c r="M52" i="15"/>
  <c r="K52" i="15"/>
  <c r="I52" i="15"/>
  <c r="G52" i="15"/>
  <c r="E52" i="15"/>
  <c r="CA51" i="15"/>
  <c r="BY51" i="15"/>
  <c r="BW51" i="15"/>
  <c r="BU51" i="15"/>
  <c r="BS51" i="15"/>
  <c r="BQ51" i="15"/>
  <c r="BO51" i="15"/>
  <c r="BM51" i="15"/>
  <c r="BK51" i="15"/>
  <c r="BI51" i="15"/>
  <c r="BG51" i="15"/>
  <c r="BE51" i="15"/>
  <c r="BC51" i="15"/>
  <c r="BA51" i="15"/>
  <c r="AY51" i="15"/>
  <c r="AW51" i="15"/>
  <c r="AU51" i="15"/>
  <c r="AS51" i="15"/>
  <c r="AQ51" i="15"/>
  <c r="AO51" i="15"/>
  <c r="AM51" i="15"/>
  <c r="AK51" i="15"/>
  <c r="AI51" i="15"/>
  <c r="AG51" i="15"/>
  <c r="AE51" i="15"/>
  <c r="AC51" i="15"/>
  <c r="AA51" i="15"/>
  <c r="Y51" i="15"/>
  <c r="W51" i="15"/>
  <c r="U51" i="15"/>
  <c r="S51" i="15"/>
  <c r="Q51" i="15"/>
  <c r="O51" i="15"/>
  <c r="M51" i="15"/>
  <c r="K51" i="15"/>
  <c r="I51" i="15"/>
  <c r="G51" i="15"/>
  <c r="E51" i="15"/>
  <c r="CE47" i="15"/>
  <c r="CD47" i="15"/>
  <c r="CC47" i="15"/>
  <c r="CB47" i="15"/>
  <c r="CE46" i="15"/>
  <c r="CD46" i="15"/>
  <c r="CC46" i="15"/>
  <c r="CB46" i="15"/>
  <c r="CE45" i="15"/>
  <c r="CD45" i="15"/>
  <c r="CC45" i="15"/>
  <c r="CB45" i="15"/>
  <c r="CE44" i="15"/>
  <c r="CD44" i="15"/>
  <c r="CC44" i="15"/>
  <c r="CB44" i="15"/>
  <c r="CB70" i="15" s="1"/>
  <c r="CE43" i="15"/>
  <c r="CD43" i="15"/>
  <c r="CC43" i="15"/>
  <c r="CB43" i="15"/>
  <c r="CE42" i="15"/>
  <c r="CD42" i="15"/>
  <c r="CC42" i="15"/>
  <c r="CB42" i="15"/>
  <c r="CE41" i="15"/>
  <c r="CD41" i="15"/>
  <c r="CC41" i="15"/>
  <c r="CB41" i="15"/>
  <c r="CE40" i="15"/>
  <c r="CD40" i="15"/>
  <c r="CC40" i="15"/>
  <c r="CB40" i="15"/>
  <c r="CE39" i="15"/>
  <c r="CD39" i="15"/>
  <c r="CC39" i="15"/>
  <c r="CB39" i="15"/>
  <c r="CE38" i="15"/>
  <c r="CD38" i="15"/>
  <c r="CC38" i="15"/>
  <c r="CB38" i="15"/>
  <c r="CE37" i="15"/>
  <c r="CD37" i="15"/>
  <c r="CC37" i="15"/>
  <c r="CB37" i="15"/>
  <c r="CE36" i="15"/>
  <c r="CD36" i="15"/>
  <c r="CC36" i="15"/>
  <c r="CB36" i="15"/>
  <c r="CE35" i="15"/>
  <c r="CD35" i="15"/>
  <c r="CC35" i="15"/>
  <c r="CB35" i="15"/>
  <c r="CE34" i="15"/>
  <c r="CD34" i="15"/>
  <c r="CC34" i="15"/>
  <c r="CB34" i="15"/>
  <c r="CE33" i="15"/>
  <c r="CD33" i="15"/>
  <c r="CC33" i="15"/>
  <c r="CB33" i="15"/>
  <c r="CE32" i="15"/>
  <c r="CD32" i="15"/>
  <c r="CD67" i="15" s="1"/>
  <c r="CC32" i="15"/>
  <c r="CB32" i="15"/>
  <c r="CB57" i="15" s="1"/>
  <c r="CE31" i="15"/>
  <c r="CD31" i="15"/>
  <c r="CC31" i="15"/>
  <c r="CB31" i="15"/>
  <c r="CE30" i="15"/>
  <c r="CD30" i="15"/>
  <c r="CC30" i="15"/>
  <c r="CB30" i="15"/>
  <c r="CE29" i="15"/>
  <c r="CD29" i="15"/>
  <c r="CC29" i="15"/>
  <c r="CB29" i="15"/>
  <c r="CE28" i="15"/>
  <c r="CJ28" i="15" s="1"/>
  <c r="CD28" i="15"/>
  <c r="CC28" i="15"/>
  <c r="CB28" i="15"/>
  <c r="CE27" i="15"/>
  <c r="CD27" i="15"/>
  <c r="CC27" i="15"/>
  <c r="CB27" i="15"/>
  <c r="CE26" i="15"/>
  <c r="CD26" i="15"/>
  <c r="CC26" i="15"/>
  <c r="CB26" i="15"/>
  <c r="CE25" i="15"/>
  <c r="CD25" i="15"/>
  <c r="CC25" i="15"/>
  <c r="CB25" i="15"/>
  <c r="CE24" i="15"/>
  <c r="CD24" i="15"/>
  <c r="CC24" i="15"/>
  <c r="CB24" i="15"/>
  <c r="CE22" i="15"/>
  <c r="CD22" i="15"/>
  <c r="CC22" i="15"/>
  <c r="CB22" i="15"/>
  <c r="CE21" i="15"/>
  <c r="CD21" i="15"/>
  <c r="CC21" i="15"/>
  <c r="CB21" i="15"/>
  <c r="CE20" i="15"/>
  <c r="CD20" i="15"/>
  <c r="CC20" i="15"/>
  <c r="CB20" i="15"/>
  <c r="CE19" i="15"/>
  <c r="CC19" i="15"/>
  <c r="BZ54" i="15"/>
  <c r="BX64" i="15"/>
  <c r="BV54" i="15"/>
  <c r="BT54" i="15"/>
  <c r="BR64" i="15"/>
  <c r="BP64" i="15"/>
  <c r="BN54" i="15"/>
  <c r="BL54" i="15"/>
  <c r="BJ54" i="15"/>
  <c r="BH64" i="15"/>
  <c r="BF54" i="15"/>
  <c r="BD54" i="15"/>
  <c r="BB64" i="15"/>
  <c r="AZ19" i="15"/>
  <c r="AZ64" i="15" s="1"/>
  <c r="AX19" i="15"/>
  <c r="AX54" i="15" s="1"/>
  <c r="AV19" i="15"/>
  <c r="AV64" i="15" s="1"/>
  <c r="AT19" i="15"/>
  <c r="AR64" i="15"/>
  <c r="AP64" i="15"/>
  <c r="AN64" i="15"/>
  <c r="AL64" i="15"/>
  <c r="AJ64" i="15"/>
  <c r="AH64" i="15"/>
  <c r="AF64" i="15"/>
  <c r="AD54" i="15"/>
  <c r="AB19" i="15"/>
  <c r="Z64" i="15"/>
  <c r="X64" i="15"/>
  <c r="V54" i="15"/>
  <c r="T64" i="15"/>
  <c r="R64" i="15"/>
  <c r="P54" i="15"/>
  <c r="L64" i="15"/>
  <c r="J54" i="15"/>
  <c r="H64" i="15"/>
  <c r="F54" i="15"/>
  <c r="D64" i="15"/>
  <c r="CE16" i="15"/>
  <c r="CD16" i="15"/>
  <c r="CC16" i="15"/>
  <c r="CB16" i="15"/>
  <c r="CE15" i="15"/>
  <c r="CD15" i="15"/>
  <c r="CC15" i="15"/>
  <c r="CB15" i="15"/>
  <c r="CE14" i="15"/>
  <c r="CD14" i="15"/>
  <c r="CC14" i="15"/>
  <c r="CB14" i="15"/>
  <c r="CE13" i="15"/>
  <c r="CD13" i="15"/>
  <c r="CC13" i="15"/>
  <c r="CB13" i="15"/>
  <c r="CE11" i="15"/>
  <c r="CD11" i="15"/>
  <c r="CC11" i="15"/>
  <c r="CB11" i="15"/>
  <c r="CE10" i="15"/>
  <c r="CD10" i="15"/>
  <c r="CC10" i="15"/>
  <c r="CB10" i="15"/>
  <c r="CE9" i="15"/>
  <c r="CD9" i="15"/>
  <c r="CC9" i="15"/>
  <c r="CB9" i="15"/>
  <c r="CE8" i="15"/>
  <c r="CC8" i="15"/>
  <c r="BZ52" i="15"/>
  <c r="BX62" i="15"/>
  <c r="BV62" i="15"/>
  <c r="BT62" i="15"/>
  <c r="BR52" i="15"/>
  <c r="BP52" i="15"/>
  <c r="BN62" i="15"/>
  <c r="BL62" i="15"/>
  <c r="BJ62" i="15"/>
  <c r="BH62" i="15"/>
  <c r="BF62" i="15"/>
  <c r="BD62" i="15"/>
  <c r="BB62" i="15"/>
  <c r="AZ8" i="15"/>
  <c r="AZ62" i="15" s="1"/>
  <c r="AX8" i="15"/>
  <c r="AX62" i="15" s="1"/>
  <c r="AV8" i="15"/>
  <c r="AV62" i="15" s="1"/>
  <c r="AT8" i="15"/>
  <c r="AR62" i="15"/>
  <c r="AP62" i="15"/>
  <c r="AN62" i="15"/>
  <c r="AL52" i="15"/>
  <c r="AJ52" i="15"/>
  <c r="AH52" i="15"/>
  <c r="AF62" i="15"/>
  <c r="AD52" i="15"/>
  <c r="AB8" i="15"/>
  <c r="Z62" i="15"/>
  <c r="X62" i="15"/>
  <c r="V52" i="15"/>
  <c r="T52" i="15"/>
  <c r="R62" i="15"/>
  <c r="P62" i="15"/>
  <c r="N52" i="15"/>
  <c r="L62" i="15"/>
  <c r="J62" i="15"/>
  <c r="H62" i="15"/>
  <c r="F52" i="15"/>
  <c r="D62" i="15"/>
  <c r="CE7" i="15"/>
  <c r="CD7" i="15"/>
  <c r="CC7" i="15"/>
  <c r="CB7" i="15"/>
  <c r="CE6" i="15"/>
  <c r="CD6" i="15"/>
  <c r="CC6" i="15"/>
  <c r="CB6" i="15"/>
  <c r="CE5" i="15"/>
  <c r="CD5" i="15"/>
  <c r="CC5" i="15"/>
  <c r="CB5" i="15"/>
  <c r="CE4" i="15"/>
  <c r="CE61" i="15" s="1"/>
  <c r="CC4" i="15"/>
  <c r="BZ61" i="15"/>
  <c r="BX51" i="15"/>
  <c r="BV61" i="15"/>
  <c r="BT51" i="15"/>
  <c r="BR61" i="15"/>
  <c r="BP51" i="15"/>
  <c r="BN61" i="15"/>
  <c r="BL51" i="15"/>
  <c r="BJ61" i="15"/>
  <c r="BH51" i="15"/>
  <c r="BF61" i="15"/>
  <c r="BD51" i="15"/>
  <c r="BB61" i="15"/>
  <c r="AZ4" i="15"/>
  <c r="AZ51" i="15" s="1"/>
  <c r="AX4" i="15"/>
  <c r="AX61" i="15" s="1"/>
  <c r="AV4" i="15"/>
  <c r="AV51" i="15" s="1"/>
  <c r="AT4" i="15"/>
  <c r="AR51" i="15"/>
  <c r="AP51" i="15"/>
  <c r="AN51" i="15"/>
  <c r="AL61" i="15"/>
  <c r="AJ51" i="15"/>
  <c r="AH61" i="15"/>
  <c r="AF51" i="15"/>
  <c r="AD61" i="15"/>
  <c r="AB4" i="15"/>
  <c r="Z61" i="15"/>
  <c r="X51" i="15"/>
  <c r="V61" i="15"/>
  <c r="T51" i="15"/>
  <c r="R61" i="15"/>
  <c r="P51" i="15"/>
  <c r="N61" i="15"/>
  <c r="L51" i="15"/>
  <c r="J61" i="15"/>
  <c r="H51" i="15"/>
  <c r="F61" i="15"/>
  <c r="AB51" i="15" l="1"/>
  <c r="CH4" i="15"/>
  <c r="CH61" i="15" s="1"/>
  <c r="AB62" i="15"/>
  <c r="CH8" i="15"/>
  <c r="CH62" i="15" s="1"/>
  <c r="AT54" i="15"/>
  <c r="CG19" i="15"/>
  <c r="CG64" i="15" s="1"/>
  <c r="CF55" i="15"/>
  <c r="CI55" i="15"/>
  <c r="CD57" i="15"/>
  <c r="CF57" i="15"/>
  <c r="CD58" i="15"/>
  <c r="CF58" i="15"/>
  <c r="CD59" i="15"/>
  <c r="CF59" i="15"/>
  <c r="CD60" i="15"/>
  <c r="CF60" i="15"/>
  <c r="CH55" i="15"/>
  <c r="AB64" i="15"/>
  <c r="CH19" i="15"/>
  <c r="CH64" i="15" s="1"/>
  <c r="AT61" i="15"/>
  <c r="CG4" i="15"/>
  <c r="CG61" i="15" s="1"/>
  <c r="AT62" i="15"/>
  <c r="CG8" i="15"/>
  <c r="CG62" i="15" s="1"/>
  <c r="CH53" i="15"/>
  <c r="CG53" i="15"/>
  <c r="CD77" i="15"/>
  <c r="CB68" i="15"/>
  <c r="CB59" i="15"/>
  <c r="CE63" i="15"/>
  <c r="CC65" i="15"/>
  <c r="CC67" i="15"/>
  <c r="CD65" i="15"/>
  <c r="CD66" i="15"/>
  <c r="CD76" i="15" s="1"/>
  <c r="CC70" i="15"/>
  <c r="CC63" i="15"/>
  <c r="CC68" i="15"/>
  <c r="CD63" i="15"/>
  <c r="CC54" i="15"/>
  <c r="K71" i="15"/>
  <c r="S71" i="15"/>
  <c r="AA71" i="15"/>
  <c r="AI71" i="15"/>
  <c r="AQ71" i="15"/>
  <c r="AY71" i="15"/>
  <c r="BG71" i="15"/>
  <c r="BO71" i="15"/>
  <c r="BW71" i="15"/>
  <c r="G72" i="15"/>
  <c r="O72" i="15"/>
  <c r="W72" i="15"/>
  <c r="AE72" i="15"/>
  <c r="AM72" i="15"/>
  <c r="AU72" i="15"/>
  <c r="BC72" i="15"/>
  <c r="BK72" i="15"/>
  <c r="BS72" i="15"/>
  <c r="CA72" i="15"/>
  <c r="G73" i="15"/>
  <c r="K73" i="15"/>
  <c r="O73" i="15"/>
  <c r="S73" i="15"/>
  <c r="W73" i="15"/>
  <c r="AA73" i="15"/>
  <c r="AE73" i="15"/>
  <c r="AI73" i="15"/>
  <c r="AM73" i="15"/>
  <c r="AQ73" i="15"/>
  <c r="AU73" i="15"/>
  <c r="AY73" i="15"/>
  <c r="BC73" i="15"/>
  <c r="BG73" i="15"/>
  <c r="BK73" i="15"/>
  <c r="BO73" i="15"/>
  <c r="BS73" i="15"/>
  <c r="BW73" i="15"/>
  <c r="CA73" i="15"/>
  <c r="K74" i="15"/>
  <c r="S74" i="15"/>
  <c r="AA74" i="15"/>
  <c r="AI74" i="15"/>
  <c r="AQ74" i="15"/>
  <c r="AY74" i="15"/>
  <c r="BG74" i="15"/>
  <c r="BO74" i="15"/>
  <c r="BW74" i="15"/>
  <c r="E75" i="15"/>
  <c r="I75" i="15"/>
  <c r="M75" i="15"/>
  <c r="Q75" i="15"/>
  <c r="U75" i="15"/>
  <c r="Y75" i="15"/>
  <c r="AC75" i="15"/>
  <c r="AG75" i="15"/>
  <c r="AK75" i="15"/>
  <c r="AO75" i="15"/>
  <c r="AS75" i="15"/>
  <c r="AW75" i="15"/>
  <c r="BA75" i="15"/>
  <c r="BE75" i="15"/>
  <c r="BI75" i="15"/>
  <c r="BM75" i="15"/>
  <c r="BQ75" i="15"/>
  <c r="BU75" i="15"/>
  <c r="BY75" i="15"/>
  <c r="E76" i="15"/>
  <c r="I76" i="15"/>
  <c r="M76" i="15"/>
  <c r="Q76" i="15"/>
  <c r="U76" i="15"/>
  <c r="Y76" i="15"/>
  <c r="AC76" i="15"/>
  <c r="AG76" i="15"/>
  <c r="AK76" i="15"/>
  <c r="AO76" i="15"/>
  <c r="CD69" i="15"/>
  <c r="CD79" i="15" s="1"/>
  <c r="I71" i="15"/>
  <c r="Q71" i="15"/>
  <c r="Y71" i="15"/>
  <c r="AG71" i="15"/>
  <c r="AO71" i="15"/>
  <c r="AW71" i="15"/>
  <c r="BE71" i="15"/>
  <c r="BM71" i="15"/>
  <c r="BU71" i="15"/>
  <c r="E72" i="15"/>
  <c r="M72" i="15"/>
  <c r="U72" i="15"/>
  <c r="AC72" i="15"/>
  <c r="AK72" i="15"/>
  <c r="AS72" i="15"/>
  <c r="BA72" i="15"/>
  <c r="BI72" i="15"/>
  <c r="BQ72" i="15"/>
  <c r="BY72" i="15"/>
  <c r="F73" i="15"/>
  <c r="J73" i="15"/>
  <c r="N73" i="15"/>
  <c r="R73" i="15"/>
  <c r="V73" i="15"/>
  <c r="Z73" i="15"/>
  <c r="AD73" i="15"/>
  <c r="AH73" i="15"/>
  <c r="AL73" i="15"/>
  <c r="AP73" i="15"/>
  <c r="AT73" i="15"/>
  <c r="AX73" i="15"/>
  <c r="BB73" i="15"/>
  <c r="BF73" i="15"/>
  <c r="BJ73" i="15"/>
  <c r="BN73" i="15"/>
  <c r="BR73" i="15"/>
  <c r="BV73" i="15"/>
  <c r="BZ73" i="15"/>
  <c r="I74" i="15"/>
  <c r="Q74" i="15"/>
  <c r="Y74" i="15"/>
  <c r="AG74" i="15"/>
  <c r="AO74" i="15"/>
  <c r="AW74" i="15"/>
  <c r="BE74" i="15"/>
  <c r="BM74" i="15"/>
  <c r="BU74" i="15"/>
  <c r="D75" i="15"/>
  <c r="H75" i="15"/>
  <c r="L75" i="15"/>
  <c r="P75" i="15"/>
  <c r="T75" i="15"/>
  <c r="X75" i="15"/>
  <c r="AB75" i="15"/>
  <c r="AF75" i="15"/>
  <c r="AJ75" i="15"/>
  <c r="AN75" i="15"/>
  <c r="AR75" i="15"/>
  <c r="AV75" i="15"/>
  <c r="AZ75" i="15"/>
  <c r="BD75" i="15"/>
  <c r="BH75" i="15"/>
  <c r="BL75" i="15"/>
  <c r="BP75" i="15"/>
  <c r="BT75" i="15"/>
  <c r="BX75" i="15"/>
  <c r="D76" i="15"/>
  <c r="H76" i="15"/>
  <c r="L76" i="15"/>
  <c r="P76" i="15"/>
  <c r="T76" i="15"/>
  <c r="X76" i="15"/>
  <c r="AB76" i="15"/>
  <c r="AF76" i="15"/>
  <c r="AJ76" i="15"/>
  <c r="AN76" i="15"/>
  <c r="AR76" i="15"/>
  <c r="AV76" i="15"/>
  <c r="AZ76" i="15"/>
  <c r="BD76" i="15"/>
  <c r="BH76" i="15"/>
  <c r="BL76" i="15"/>
  <c r="BP76" i="15"/>
  <c r="BT76" i="15"/>
  <c r="BX76" i="15"/>
  <c r="D77" i="15"/>
  <c r="H77" i="15"/>
  <c r="L77" i="15"/>
  <c r="P77" i="15"/>
  <c r="T77" i="15"/>
  <c r="X77" i="15"/>
  <c r="AB77" i="15"/>
  <c r="AF77" i="15"/>
  <c r="AJ77" i="15"/>
  <c r="AN77" i="15"/>
  <c r="AR77" i="15"/>
  <c r="AV77" i="15"/>
  <c r="AZ77" i="15"/>
  <c r="BD77" i="15"/>
  <c r="BH77" i="15"/>
  <c r="BL77" i="15"/>
  <c r="BP77" i="15"/>
  <c r="BT77" i="15"/>
  <c r="BX77" i="15"/>
  <c r="D78" i="15"/>
  <c r="H78" i="15"/>
  <c r="L78" i="15"/>
  <c r="P78" i="15"/>
  <c r="T78" i="15"/>
  <c r="X78" i="15"/>
  <c r="AB78" i="15"/>
  <c r="AF78" i="15"/>
  <c r="AJ78" i="15"/>
  <c r="AN78" i="15"/>
  <c r="AR78" i="15"/>
  <c r="AV78" i="15"/>
  <c r="AZ78" i="15"/>
  <c r="BD78" i="15"/>
  <c r="BH78" i="15"/>
  <c r="BL78" i="15"/>
  <c r="BP78" i="15"/>
  <c r="BT78" i="15"/>
  <c r="BX78" i="15"/>
  <c r="D79" i="15"/>
  <c r="H79" i="15"/>
  <c r="L79" i="15"/>
  <c r="P79" i="15"/>
  <c r="T79" i="15"/>
  <c r="X79" i="15"/>
  <c r="AB79" i="15"/>
  <c r="AF79" i="15"/>
  <c r="AJ79" i="15"/>
  <c r="AN79" i="15"/>
  <c r="AR79" i="15"/>
  <c r="AV79" i="15"/>
  <c r="AZ79" i="15"/>
  <c r="BD79" i="15"/>
  <c r="BH79" i="15"/>
  <c r="BL79" i="15"/>
  <c r="BP79" i="15"/>
  <c r="BT79" i="15"/>
  <c r="BX79" i="15"/>
  <c r="D80" i="15"/>
  <c r="H80" i="15"/>
  <c r="L80" i="15"/>
  <c r="P80" i="15"/>
  <c r="T80" i="15"/>
  <c r="X80" i="15"/>
  <c r="AB80" i="15"/>
  <c r="AF80" i="15"/>
  <c r="AJ80" i="15"/>
  <c r="AN80" i="15"/>
  <c r="AR80" i="15"/>
  <c r="AV80" i="15"/>
  <c r="AZ80" i="15"/>
  <c r="BD80" i="15"/>
  <c r="BH80" i="15"/>
  <c r="BL80" i="15"/>
  <c r="BP80" i="15"/>
  <c r="BT80" i="15"/>
  <c r="BX80" i="15"/>
  <c r="AS76" i="15"/>
  <c r="AW76" i="15"/>
  <c r="BA76" i="15"/>
  <c r="BE76" i="15"/>
  <c r="BI76" i="15"/>
  <c r="BM76" i="15"/>
  <c r="BQ76" i="15"/>
  <c r="BU76" i="15"/>
  <c r="BY76" i="15"/>
  <c r="E77" i="15"/>
  <c r="I77" i="15"/>
  <c r="M77" i="15"/>
  <c r="Q77" i="15"/>
  <c r="U77" i="15"/>
  <c r="Y77" i="15"/>
  <c r="AC77" i="15"/>
  <c r="AG77" i="15"/>
  <c r="AK77" i="15"/>
  <c r="AO77" i="15"/>
  <c r="AS77" i="15"/>
  <c r="AW77" i="15"/>
  <c r="BA77" i="15"/>
  <c r="BE77" i="15"/>
  <c r="BI77" i="15"/>
  <c r="BM77" i="15"/>
  <c r="BQ77" i="15"/>
  <c r="BU77" i="15"/>
  <c r="BY77" i="15"/>
  <c r="E78" i="15"/>
  <c r="I78" i="15"/>
  <c r="M78" i="15"/>
  <c r="Q78" i="15"/>
  <c r="U78" i="15"/>
  <c r="Y78" i="15"/>
  <c r="AC78" i="15"/>
  <c r="AG78" i="15"/>
  <c r="AK78" i="15"/>
  <c r="AO78" i="15"/>
  <c r="AS78" i="15"/>
  <c r="AW78" i="15"/>
  <c r="BA78" i="15"/>
  <c r="BE78" i="15"/>
  <c r="BI78" i="15"/>
  <c r="BM78" i="15"/>
  <c r="BQ78" i="15"/>
  <c r="BU78" i="15"/>
  <c r="BY78" i="15"/>
  <c r="E79" i="15"/>
  <c r="I79" i="15"/>
  <c r="M79" i="15"/>
  <c r="Q79" i="15"/>
  <c r="U79" i="15"/>
  <c r="Y79" i="15"/>
  <c r="AC79" i="15"/>
  <c r="AG79" i="15"/>
  <c r="AK79" i="15"/>
  <c r="AO79" i="15"/>
  <c r="AS79" i="15"/>
  <c r="AW79" i="15"/>
  <c r="BA79" i="15"/>
  <c r="BE79" i="15"/>
  <c r="BI79" i="15"/>
  <c r="BM79" i="15"/>
  <c r="BQ79" i="15"/>
  <c r="BU79" i="15"/>
  <c r="BY79" i="15"/>
  <c r="E80" i="15"/>
  <c r="I80" i="15"/>
  <c r="M80" i="15"/>
  <c r="Q80" i="15"/>
  <c r="U80" i="15"/>
  <c r="Y80" i="15"/>
  <c r="AC80" i="15"/>
  <c r="AG80" i="15"/>
  <c r="AK80" i="15"/>
  <c r="AO80" i="15"/>
  <c r="AS80" i="15"/>
  <c r="AW80" i="15"/>
  <c r="BA80" i="15"/>
  <c r="BE80" i="15"/>
  <c r="BI80" i="15"/>
  <c r="BM80" i="15"/>
  <c r="BQ80" i="15"/>
  <c r="BU80" i="15"/>
  <c r="BY80" i="15"/>
  <c r="CD68" i="15"/>
  <c r="CD78" i="15" s="1"/>
  <c r="CD70" i="15"/>
  <c r="E71" i="15"/>
  <c r="U71" i="15"/>
  <c r="AC71" i="15"/>
  <c r="AK71" i="15"/>
  <c r="AS71" i="15"/>
  <c r="BA71" i="15"/>
  <c r="BQ71" i="15"/>
  <c r="BY71" i="15"/>
  <c r="I72" i="15"/>
  <c r="Q72" i="15"/>
  <c r="Y72" i="15"/>
  <c r="AO72" i="15"/>
  <c r="AW72" i="15"/>
  <c r="BE72" i="15"/>
  <c r="BM72" i="15"/>
  <c r="BU72" i="15"/>
  <c r="D73" i="15"/>
  <c r="H73" i="15"/>
  <c r="L73" i="15"/>
  <c r="T73" i="15"/>
  <c r="X73" i="15"/>
  <c r="AB73" i="15"/>
  <c r="AF73" i="15"/>
  <c r="AJ73" i="15"/>
  <c r="AN73" i="15"/>
  <c r="AR73" i="15"/>
  <c r="AV73" i="15"/>
  <c r="AZ73" i="15"/>
  <c r="BD73" i="15"/>
  <c r="BH73" i="15"/>
  <c r="BL73" i="15"/>
  <c r="BP73" i="15"/>
  <c r="BT73" i="15"/>
  <c r="BX73" i="15"/>
  <c r="E74" i="15"/>
  <c r="U74" i="15"/>
  <c r="AC74" i="15"/>
  <c r="AK74" i="15"/>
  <c r="AS74" i="15"/>
  <c r="BA74" i="15"/>
  <c r="BI74" i="15"/>
  <c r="BQ74" i="15"/>
  <c r="BY74" i="15"/>
  <c r="F75" i="15"/>
  <c r="J75" i="15"/>
  <c r="N75" i="15"/>
  <c r="R75" i="15"/>
  <c r="V75" i="15"/>
  <c r="Z75" i="15"/>
  <c r="AD75" i="15"/>
  <c r="AH75" i="15"/>
  <c r="AL75" i="15"/>
  <c r="AP75" i="15"/>
  <c r="AT75" i="15"/>
  <c r="AX75" i="15"/>
  <c r="BB75" i="15"/>
  <c r="BF75" i="15"/>
  <c r="BJ75" i="15"/>
  <c r="BN75" i="15"/>
  <c r="BR75" i="15"/>
  <c r="BV75" i="15"/>
  <c r="BZ75" i="15"/>
  <c r="F76" i="15"/>
  <c r="J76" i="15"/>
  <c r="N76" i="15"/>
  <c r="R76" i="15"/>
  <c r="V76" i="15"/>
  <c r="Z76" i="15"/>
  <c r="AD76" i="15"/>
  <c r="AH76" i="15"/>
  <c r="AL76" i="15"/>
  <c r="M71" i="15"/>
  <c r="BI71" i="15"/>
  <c r="AG72" i="15"/>
  <c r="P73" i="15"/>
  <c r="M74" i="15"/>
  <c r="AX76" i="15"/>
  <c r="AP76" i="15"/>
  <c r="AT76" i="15"/>
  <c r="BB76" i="15"/>
  <c r="BF76" i="15"/>
  <c r="BJ76" i="15"/>
  <c r="BN76" i="15"/>
  <c r="BR76" i="15"/>
  <c r="BV76" i="15"/>
  <c r="BZ76" i="15"/>
  <c r="F77" i="15"/>
  <c r="J77" i="15"/>
  <c r="N77" i="15"/>
  <c r="R77" i="15"/>
  <c r="V77" i="15"/>
  <c r="Z77" i="15"/>
  <c r="AD77" i="15"/>
  <c r="AH77" i="15"/>
  <c r="AL77" i="15"/>
  <c r="AP77" i="15"/>
  <c r="AT77" i="15"/>
  <c r="AX77" i="15"/>
  <c r="BB77" i="15"/>
  <c r="BF77" i="15"/>
  <c r="BJ77" i="15"/>
  <c r="BN77" i="15"/>
  <c r="BR77" i="15"/>
  <c r="BV77" i="15"/>
  <c r="BZ77" i="15"/>
  <c r="F78" i="15"/>
  <c r="J78" i="15"/>
  <c r="N78" i="15"/>
  <c r="R78" i="15"/>
  <c r="V78" i="15"/>
  <c r="Z78" i="15"/>
  <c r="AD78" i="15"/>
  <c r="AH78" i="15"/>
  <c r="AL78" i="15"/>
  <c r="AP78" i="15"/>
  <c r="AT78" i="15"/>
  <c r="AX78" i="15"/>
  <c r="BB78" i="15"/>
  <c r="BF78" i="15"/>
  <c r="BJ78" i="15"/>
  <c r="BN78" i="15"/>
  <c r="BR78" i="15"/>
  <c r="BV78" i="15"/>
  <c r="BZ78" i="15"/>
  <c r="F79" i="15"/>
  <c r="J79" i="15"/>
  <c r="N79" i="15"/>
  <c r="R79" i="15"/>
  <c r="V79" i="15"/>
  <c r="Z79" i="15"/>
  <c r="AD79" i="15"/>
  <c r="AH79" i="15"/>
  <c r="AL79" i="15"/>
  <c r="AP79" i="15"/>
  <c r="AT79" i="15"/>
  <c r="AX79" i="15"/>
  <c r="BB79" i="15"/>
  <c r="BF79" i="15"/>
  <c r="BJ79" i="15"/>
  <c r="BN79" i="15"/>
  <c r="BR79" i="15"/>
  <c r="BV79" i="15"/>
  <c r="BZ79" i="15"/>
  <c r="F80" i="15"/>
  <c r="J80" i="15"/>
  <c r="N80" i="15"/>
  <c r="R80" i="15"/>
  <c r="V80" i="15"/>
  <c r="Z80" i="15"/>
  <c r="AD80" i="15"/>
  <c r="AH80" i="15"/>
  <c r="AL80" i="15"/>
  <c r="AP80" i="15"/>
  <c r="AT80" i="15"/>
  <c r="AX80" i="15"/>
  <c r="BB80" i="15"/>
  <c r="BF80" i="15"/>
  <c r="BJ80" i="15"/>
  <c r="BN80" i="15"/>
  <c r="BR80" i="15"/>
  <c r="BV80" i="15"/>
  <c r="BZ80" i="15"/>
  <c r="G71" i="15"/>
  <c r="O71" i="15"/>
  <c r="W71" i="15"/>
  <c r="AE71" i="15"/>
  <c r="AM71" i="15"/>
  <c r="AU71" i="15"/>
  <c r="BC71" i="15"/>
  <c r="BK71" i="15"/>
  <c r="BS71" i="15"/>
  <c r="CA71" i="15"/>
  <c r="K72" i="15"/>
  <c r="S72" i="15"/>
  <c r="AA72" i="15"/>
  <c r="AI72" i="15"/>
  <c r="AQ72" i="15"/>
  <c r="AY72" i="15"/>
  <c r="BG72" i="15"/>
  <c r="BO72" i="15"/>
  <c r="BW72" i="15"/>
  <c r="E73" i="15"/>
  <c r="I73" i="15"/>
  <c r="M73" i="15"/>
  <c r="Q73" i="15"/>
  <c r="U73" i="15"/>
  <c r="Y73" i="15"/>
  <c r="AC73" i="15"/>
  <c r="AG73" i="15"/>
  <c r="AK73" i="15"/>
  <c r="AO73" i="15"/>
  <c r="AS73" i="15"/>
  <c r="AW73" i="15"/>
  <c r="BA73" i="15"/>
  <c r="BE73" i="15"/>
  <c r="BI73" i="15"/>
  <c r="BM73" i="15"/>
  <c r="BQ73" i="15"/>
  <c r="BU73" i="15"/>
  <c r="BY73" i="15"/>
  <c r="G74" i="15"/>
  <c r="O74" i="15"/>
  <c r="W74" i="15"/>
  <c r="AE74" i="15"/>
  <c r="AM74" i="15"/>
  <c r="AU74" i="15"/>
  <c r="BC74" i="15"/>
  <c r="BK74" i="15"/>
  <c r="BS74" i="15"/>
  <c r="CA74" i="15"/>
  <c r="G75" i="15"/>
  <c r="K75" i="15"/>
  <c r="O75" i="15"/>
  <c r="S75" i="15"/>
  <c r="W75" i="15"/>
  <c r="AA75" i="15"/>
  <c r="AE75" i="15"/>
  <c r="AI75" i="15"/>
  <c r="AM75" i="15"/>
  <c r="AQ75" i="15"/>
  <c r="AU75" i="15"/>
  <c r="AY75" i="15"/>
  <c r="BC75" i="15"/>
  <c r="BG75" i="15"/>
  <c r="BK75" i="15"/>
  <c r="BO75" i="15"/>
  <c r="BS75" i="15"/>
  <c r="BW75" i="15"/>
  <c r="CA75" i="15"/>
  <c r="G76" i="15"/>
  <c r="K76" i="15"/>
  <c r="O76" i="15"/>
  <c r="S76" i="15"/>
  <c r="W76" i="15"/>
  <c r="AA76" i="15"/>
  <c r="AE76" i="15"/>
  <c r="AI76" i="15"/>
  <c r="AM76" i="15"/>
  <c r="AQ76" i="15"/>
  <c r="AU76" i="15"/>
  <c r="AY76" i="15"/>
  <c r="BC76" i="15"/>
  <c r="BG76" i="15"/>
  <c r="BK76" i="15"/>
  <c r="BO76" i="15"/>
  <c r="BS76" i="15"/>
  <c r="BW76" i="15"/>
  <c r="CA76" i="15"/>
  <c r="G77" i="15"/>
  <c r="K77" i="15"/>
  <c r="O77" i="15"/>
  <c r="S77" i="15"/>
  <c r="W77" i="15"/>
  <c r="AA77" i="15"/>
  <c r="AE77" i="15"/>
  <c r="AI77" i="15"/>
  <c r="AM77" i="15"/>
  <c r="AQ77" i="15"/>
  <c r="AU77" i="15"/>
  <c r="AY77" i="15"/>
  <c r="BC77" i="15"/>
  <c r="BG77" i="15"/>
  <c r="BK77" i="15"/>
  <c r="BO77" i="15"/>
  <c r="BS77" i="15"/>
  <c r="BW77" i="15"/>
  <c r="CA77" i="15"/>
  <c r="G78" i="15"/>
  <c r="K78" i="15"/>
  <c r="O78" i="15"/>
  <c r="S78" i="15"/>
  <c r="W78" i="15"/>
  <c r="AA78" i="15"/>
  <c r="AE78" i="15"/>
  <c r="AI78" i="15"/>
  <c r="AM78" i="15"/>
  <c r="AQ78" i="15"/>
  <c r="AU78" i="15"/>
  <c r="AY78" i="15"/>
  <c r="BC78" i="15"/>
  <c r="BG78" i="15"/>
  <c r="BK78" i="15"/>
  <c r="BO78" i="15"/>
  <c r="BS78" i="15"/>
  <c r="BW78" i="15"/>
  <c r="CA78" i="15"/>
  <c r="G79" i="15"/>
  <c r="K79" i="15"/>
  <c r="O79" i="15"/>
  <c r="S79" i="15"/>
  <c r="W79" i="15"/>
  <c r="AA79" i="15"/>
  <c r="AE79" i="15"/>
  <c r="AI79" i="15"/>
  <c r="AM79" i="15"/>
  <c r="AQ79" i="15"/>
  <c r="AU79" i="15"/>
  <c r="AY79" i="15"/>
  <c r="BC79" i="15"/>
  <c r="BG79" i="15"/>
  <c r="BK79" i="15"/>
  <c r="BO79" i="15"/>
  <c r="BS79" i="15"/>
  <c r="BW79" i="15"/>
  <c r="CA79" i="15"/>
  <c r="G80" i="15"/>
  <c r="K80" i="15"/>
  <c r="O80" i="15"/>
  <c r="S80" i="15"/>
  <c r="W80" i="15"/>
  <c r="AA80" i="15"/>
  <c r="AE80" i="15"/>
  <c r="AI80" i="15"/>
  <c r="AM80" i="15"/>
  <c r="AQ80" i="15"/>
  <c r="AU80" i="15"/>
  <c r="AY80" i="15"/>
  <c r="BC80" i="15"/>
  <c r="BG80" i="15"/>
  <c r="BK80" i="15"/>
  <c r="BO80" i="15"/>
  <c r="BS80" i="15"/>
  <c r="BW80" i="15"/>
  <c r="CA80" i="15"/>
  <c r="CB55" i="15"/>
  <c r="CE62" i="15"/>
  <c r="CE65" i="15"/>
  <c r="CE66" i="15"/>
  <c r="CE68" i="15"/>
  <c r="CE69" i="15"/>
  <c r="CE70" i="15"/>
  <c r="R54" i="15"/>
  <c r="R74" i="15" s="1"/>
  <c r="CE64" i="15"/>
  <c r="CE67" i="15"/>
  <c r="CB63" i="15"/>
  <c r="CB66" i="15"/>
  <c r="AH54" i="15"/>
  <c r="AH74" i="15" s="1"/>
  <c r="CC66" i="15"/>
  <c r="AN54" i="15"/>
  <c r="AN74" i="15" s="1"/>
  <c r="AP61" i="15"/>
  <c r="AP71" i="15" s="1"/>
  <c r="BF51" i="15"/>
  <c r="BF71" i="15" s="1"/>
  <c r="AX64" i="15"/>
  <c r="AX74" i="15" s="1"/>
  <c r="L52" i="15"/>
  <c r="L72" i="15" s="1"/>
  <c r="AJ62" i="15"/>
  <c r="AJ72" i="15" s="1"/>
  <c r="CC69" i="15"/>
  <c r="AZ52" i="15"/>
  <c r="AZ72" i="15" s="1"/>
  <c r="BX52" i="15"/>
  <c r="BX72" i="15" s="1"/>
  <c r="L61" i="15"/>
  <c r="L71" i="15" s="1"/>
  <c r="BT61" i="15"/>
  <c r="BT71" i="15" s="1"/>
  <c r="BP62" i="15"/>
  <c r="BP72" i="15" s="1"/>
  <c r="BD64" i="15"/>
  <c r="BD74" i="15" s="1"/>
  <c r="CE58" i="15"/>
  <c r="P64" i="15"/>
  <c r="P74" i="15" s="1"/>
  <c r="CC64" i="15"/>
  <c r="CC61" i="15"/>
  <c r="BL52" i="15"/>
  <c r="X54" i="15"/>
  <c r="X74" i="15" s="1"/>
  <c r="CC55" i="15"/>
  <c r="CC58" i="15"/>
  <c r="CC59" i="15"/>
  <c r="H61" i="15"/>
  <c r="H71" i="15" s="1"/>
  <c r="BL64" i="15"/>
  <c r="BL74" i="15" s="1"/>
  <c r="J51" i="15"/>
  <c r="J71" i="15" s="1"/>
  <c r="BV51" i="15"/>
  <c r="BV71" i="15" s="1"/>
  <c r="AF52" i="15"/>
  <c r="AF72" i="15" s="1"/>
  <c r="H54" i="15"/>
  <c r="H74" i="15" s="1"/>
  <c r="AF54" i="15"/>
  <c r="AF74" i="15" s="1"/>
  <c r="AV54" i="15"/>
  <c r="AV74" i="15" s="1"/>
  <c r="CC56" i="15"/>
  <c r="CC60" i="15"/>
  <c r="Z51" i="15"/>
  <c r="AB52" i="15"/>
  <c r="AB72" i="15" s="1"/>
  <c r="AN52" i="15"/>
  <c r="AN72" i="15" s="1"/>
  <c r="CB53" i="15"/>
  <c r="AR54" i="15"/>
  <c r="AR74" i="15" s="1"/>
  <c r="CE56" i="15"/>
  <c r="CC57" i="15"/>
  <c r="CE60" i="15"/>
  <c r="BX61" i="15"/>
  <c r="BX71" i="15" s="1"/>
  <c r="T62" i="15"/>
  <c r="T72" i="15" s="1"/>
  <c r="BN64" i="15"/>
  <c r="BN74" i="15" s="1"/>
  <c r="BT64" i="15"/>
  <c r="BT74" i="15" s="1"/>
  <c r="CD53" i="15"/>
  <c r="N62" i="15"/>
  <c r="N72" i="15" s="1"/>
  <c r="AD62" i="15"/>
  <c r="AD72" i="15" s="1"/>
  <c r="BZ62" i="15"/>
  <c r="BZ72" i="15" s="1"/>
  <c r="CD19" i="15"/>
  <c r="CD64" i="15" s="1"/>
  <c r="CE51" i="15"/>
  <c r="CE71" i="15" s="1"/>
  <c r="R51" i="15"/>
  <c r="R71" i="15" s="1"/>
  <c r="AH51" i="15"/>
  <c r="AH71" i="15" s="1"/>
  <c r="AX51" i="15"/>
  <c r="AX71" i="15" s="1"/>
  <c r="BN51" i="15"/>
  <c r="BN71" i="15" s="1"/>
  <c r="CE52" i="15"/>
  <c r="AR52" i="15"/>
  <c r="AR72" i="15" s="1"/>
  <c r="BB52" i="15"/>
  <c r="BB72" i="15" s="1"/>
  <c r="BH52" i="15"/>
  <c r="BH72" i="15" s="1"/>
  <c r="Z54" i="15"/>
  <c r="AP54" i="15"/>
  <c r="AP74" i="15" s="1"/>
  <c r="CE55" i="15"/>
  <c r="CE57" i="15"/>
  <c r="CE59" i="15"/>
  <c r="AN61" i="15"/>
  <c r="AN71" i="15" s="1"/>
  <c r="AR61" i="15"/>
  <c r="AR71" i="15" s="1"/>
  <c r="F62" i="15"/>
  <c r="F72" i="15" s="1"/>
  <c r="V62" i="15"/>
  <c r="V72" i="15" s="1"/>
  <c r="AL62" i="15"/>
  <c r="AL72" i="15" s="1"/>
  <c r="BR62" i="15"/>
  <c r="BR72" i="15" s="1"/>
  <c r="J64" i="15"/>
  <c r="J74" i="15" s="1"/>
  <c r="BF64" i="15"/>
  <c r="BF74" i="15" s="1"/>
  <c r="BV64" i="15"/>
  <c r="BV74" i="15" s="1"/>
  <c r="AT52" i="15"/>
  <c r="BJ52" i="15"/>
  <c r="BJ72" i="15" s="1"/>
  <c r="CD8" i="15"/>
  <c r="CD62" i="15" s="1"/>
  <c r="N51" i="15"/>
  <c r="N71" i="15" s="1"/>
  <c r="AD51" i="15"/>
  <c r="AD71" i="15" s="1"/>
  <c r="AT51" i="15"/>
  <c r="BJ51" i="15"/>
  <c r="BJ71" i="15" s="1"/>
  <c r="BZ51" i="15"/>
  <c r="BZ71" i="15" s="1"/>
  <c r="L54" i="15"/>
  <c r="L74" i="15" s="1"/>
  <c r="CB56" i="15"/>
  <c r="CB58" i="15"/>
  <c r="CB78" i="15" s="1"/>
  <c r="CB60" i="15"/>
  <c r="CB80" i="15" s="1"/>
  <c r="P61" i="15"/>
  <c r="P71" i="15" s="1"/>
  <c r="AF61" i="15"/>
  <c r="AF71" i="15" s="1"/>
  <c r="AJ61" i="15"/>
  <c r="AJ71" i="15" s="1"/>
  <c r="BD61" i="15"/>
  <c r="BD71" i="15" s="1"/>
  <c r="CB65" i="15"/>
  <c r="CB67" i="15"/>
  <c r="CB77" i="15" s="1"/>
  <c r="CB69" i="15"/>
  <c r="CB79" i="15" s="1"/>
  <c r="CC51" i="15"/>
  <c r="CC62" i="15"/>
  <c r="F51" i="15"/>
  <c r="V51" i="15"/>
  <c r="V71" i="15" s="1"/>
  <c r="AL51" i="15"/>
  <c r="AL71" i="15" s="1"/>
  <c r="BB51" i="15"/>
  <c r="BB71" i="15" s="1"/>
  <c r="BR51" i="15"/>
  <c r="BR71" i="15" s="1"/>
  <c r="D52" i="15"/>
  <c r="H52" i="15"/>
  <c r="H72" i="15" s="1"/>
  <c r="BT52" i="15"/>
  <c r="BT72" i="15" s="1"/>
  <c r="CE53" i="15"/>
  <c r="CE54" i="15"/>
  <c r="BX54" i="15"/>
  <c r="BX74" i="15" s="1"/>
  <c r="CD55" i="15"/>
  <c r="D61" i="15"/>
  <c r="D71" i="15" s="1"/>
  <c r="X61" i="15"/>
  <c r="X71" i="15" s="1"/>
  <c r="AV61" i="15"/>
  <c r="AV71" i="15" s="1"/>
  <c r="BL61" i="15"/>
  <c r="BL71" i="15" s="1"/>
  <c r="BP61" i="15"/>
  <c r="BP71" i="15" s="1"/>
  <c r="D54" i="15"/>
  <c r="AJ54" i="15"/>
  <c r="AJ74" i="15" s="1"/>
  <c r="BP54" i="15"/>
  <c r="BP74" i="15" s="1"/>
  <c r="CD4" i="15"/>
  <c r="CD61" i="15" s="1"/>
  <c r="CB8" i="15"/>
  <c r="CB19" i="15"/>
  <c r="X52" i="15"/>
  <c r="X72" i="15" s="1"/>
  <c r="BD52" i="15"/>
  <c r="BD72" i="15" s="1"/>
  <c r="AB54" i="15"/>
  <c r="BH54" i="15"/>
  <c r="BH74" i="15" s="1"/>
  <c r="AB61" i="15"/>
  <c r="AB71" i="15" s="1"/>
  <c r="BH61" i="15"/>
  <c r="BH71" i="15" s="1"/>
  <c r="P52" i="15"/>
  <c r="P72" i="15" s="1"/>
  <c r="AV52" i="15"/>
  <c r="AV72" i="15" s="1"/>
  <c r="T54" i="15"/>
  <c r="T74" i="15" s="1"/>
  <c r="AZ54" i="15"/>
  <c r="AZ74" i="15" s="1"/>
  <c r="T61" i="15"/>
  <c r="T71" i="15" s="1"/>
  <c r="AZ61" i="15"/>
  <c r="AZ71" i="15" s="1"/>
  <c r="CC52" i="15"/>
  <c r="CC53" i="15"/>
  <c r="CC73" i="15" s="1"/>
  <c r="CB4" i="15"/>
  <c r="J52" i="15"/>
  <c r="J72" i="15" s="1"/>
  <c r="R52" i="15"/>
  <c r="R72" i="15" s="1"/>
  <c r="Z52" i="15"/>
  <c r="BF52" i="15"/>
  <c r="BF72" i="15" s="1"/>
  <c r="N54" i="15"/>
  <c r="AL54" i="15"/>
  <c r="AL74" i="15" s="1"/>
  <c r="AH62" i="15"/>
  <c r="AH72" i="15" s="1"/>
  <c r="F64" i="15"/>
  <c r="F74" i="15" s="1"/>
  <c r="N64" i="15"/>
  <c r="N74" i="15" s="1"/>
  <c r="V64" i="15"/>
  <c r="V74" i="15" s="1"/>
  <c r="AD64" i="15"/>
  <c r="AD74" i="15" s="1"/>
  <c r="AT64" i="15"/>
  <c r="AT74" i="15" s="1"/>
  <c r="BJ64" i="15"/>
  <c r="BJ74" i="15" s="1"/>
  <c r="BZ64" i="15"/>
  <c r="BZ74" i="15" s="1"/>
  <c r="AP52" i="15"/>
  <c r="AP72" i="15" s="1"/>
  <c r="AX52" i="15"/>
  <c r="AX72" i="15" s="1"/>
  <c r="BN52" i="15"/>
  <c r="BN72" i="15" s="1"/>
  <c r="BV52" i="15"/>
  <c r="BV72" i="15" s="1"/>
  <c r="BB54" i="15"/>
  <c r="BB74" i="15" s="1"/>
  <c r="BR54" i="15"/>
  <c r="BR74" i="15" s="1"/>
  <c r="AB74" i="15" l="1"/>
  <c r="D74" i="15"/>
  <c r="CF54" i="15"/>
  <c r="D72" i="15"/>
  <c r="CF52" i="15"/>
  <c r="Z74" i="15"/>
  <c r="CH54" i="15"/>
  <c r="AT72" i="15"/>
  <c r="CG52" i="15"/>
  <c r="Z71" i="15"/>
  <c r="CH51" i="15"/>
  <c r="Z72" i="15"/>
  <c r="CH52" i="15"/>
  <c r="F71" i="15"/>
  <c r="CF51" i="15"/>
  <c r="AT71" i="15"/>
  <c r="CG51" i="15"/>
  <c r="BL72" i="15"/>
  <c r="CI52" i="15"/>
  <c r="CD80" i="15"/>
  <c r="CI54" i="15"/>
  <c r="CI51" i="15"/>
  <c r="CG54" i="15"/>
  <c r="CE73" i="15"/>
  <c r="CC80" i="15"/>
  <c r="CC75" i="15"/>
  <c r="CC77" i="15"/>
  <c r="CC78" i="15"/>
  <c r="CD75" i="15"/>
  <c r="CD73" i="15"/>
  <c r="CC74" i="15"/>
  <c r="CC76" i="15"/>
  <c r="CE79" i="15"/>
  <c r="CE72" i="15"/>
  <c r="CB75" i="15"/>
  <c r="CB76" i="15"/>
  <c r="CE76" i="15"/>
  <c r="CC72" i="15"/>
  <c r="CC71" i="15"/>
  <c r="CB73" i="15"/>
  <c r="CE80" i="15"/>
  <c r="CE75" i="15"/>
  <c r="CE77" i="15"/>
  <c r="CC79" i="15"/>
  <c r="CE74" i="15"/>
  <c r="CE78" i="15"/>
  <c r="CD51" i="15"/>
  <c r="CD71" i="15" s="1"/>
  <c r="CD52" i="15"/>
  <c r="CD72" i="15" s="1"/>
  <c r="CL51" i="15"/>
  <c r="CL52" i="15"/>
  <c r="CB51" i="15"/>
  <c r="CB61" i="15"/>
  <c r="CD54" i="15"/>
  <c r="CD74" i="15" s="1"/>
  <c r="CB62" i="15"/>
  <c r="CB52" i="15"/>
  <c r="CB64" i="15"/>
  <c r="CB54" i="15"/>
  <c r="CB71" i="15" l="1"/>
  <c r="CB74" i="15"/>
  <c r="CB72" i="15"/>
  <c r="CK52" i="15"/>
  <c r="CK51" i="15"/>
  <c r="H80" i="1" l="1"/>
  <c r="H77" i="1"/>
  <c r="H78" i="1"/>
  <c r="H79" i="1"/>
  <c r="H76" i="1"/>
  <c r="U3" i="8"/>
  <c r="V3" i="8"/>
  <c r="U4" i="8"/>
  <c r="V4" i="8"/>
  <c r="U5" i="8"/>
  <c r="V5" i="8"/>
  <c r="U6" i="8"/>
  <c r="V6" i="8"/>
  <c r="U7" i="8"/>
  <c r="V7" i="8"/>
  <c r="U8" i="8"/>
  <c r="V8" i="8"/>
  <c r="U9" i="8"/>
  <c r="V9" i="8"/>
  <c r="U10" i="8"/>
  <c r="V10" i="8"/>
  <c r="U11" i="8"/>
  <c r="V11" i="8"/>
  <c r="U12" i="8"/>
  <c r="V12" i="8"/>
  <c r="U13" i="8"/>
  <c r="V13" i="8"/>
  <c r="U14" i="8"/>
  <c r="V14" i="8"/>
  <c r="U16" i="8"/>
  <c r="V16" i="8"/>
  <c r="U17" i="8"/>
  <c r="V17" i="8"/>
  <c r="U18" i="8"/>
  <c r="V18" i="8"/>
  <c r="U19" i="8"/>
  <c r="V19" i="8"/>
  <c r="U20" i="8"/>
  <c r="V20" i="8"/>
  <c r="U21" i="8"/>
  <c r="V21" i="8"/>
  <c r="U22" i="8"/>
  <c r="V22" i="8"/>
  <c r="U23" i="8"/>
  <c r="V23" i="8"/>
  <c r="U25" i="8"/>
  <c r="V25" i="8"/>
  <c r="U26" i="8"/>
  <c r="V26" i="8"/>
  <c r="U27" i="8"/>
  <c r="V27" i="8"/>
  <c r="U28" i="8"/>
  <c r="V28" i="8"/>
  <c r="U29" i="8"/>
  <c r="V29" i="8"/>
  <c r="U30" i="8"/>
  <c r="V30" i="8"/>
  <c r="U31" i="8"/>
  <c r="V31" i="8"/>
  <c r="U32" i="8"/>
  <c r="V32" i="8"/>
  <c r="U33" i="8"/>
  <c r="V33" i="8"/>
  <c r="U35" i="8"/>
  <c r="V35" i="8"/>
  <c r="U36" i="8"/>
  <c r="V36" i="8"/>
  <c r="U37" i="8"/>
  <c r="V37" i="8"/>
  <c r="U38" i="8"/>
  <c r="V38" i="8"/>
  <c r="U39" i="8"/>
  <c r="V39" i="8"/>
  <c r="U40" i="8"/>
  <c r="V40" i="8"/>
  <c r="T18" i="8"/>
  <c r="T3" i="8"/>
  <c r="T4" i="8"/>
  <c r="T5" i="8"/>
  <c r="T6" i="8"/>
  <c r="T7" i="8"/>
  <c r="T8" i="8"/>
  <c r="T9" i="8"/>
  <c r="T10" i="8"/>
  <c r="T11" i="8"/>
  <c r="T12" i="8"/>
  <c r="T13" i="8"/>
  <c r="T14" i="8"/>
  <c r="T16" i="8"/>
  <c r="T17" i="8"/>
  <c r="T19" i="8"/>
  <c r="T20" i="8"/>
  <c r="T21" i="8"/>
  <c r="T22" i="8"/>
  <c r="T23" i="8"/>
  <c r="T25" i="8"/>
  <c r="T26" i="8"/>
  <c r="T27" i="8"/>
  <c r="T28" i="8"/>
  <c r="T29" i="8"/>
  <c r="T30" i="8"/>
  <c r="T31" i="8"/>
  <c r="T32" i="8"/>
  <c r="T33" i="8"/>
  <c r="T35" i="8"/>
  <c r="T36" i="8"/>
  <c r="T37" i="8"/>
  <c r="T38" i="8"/>
  <c r="T39" i="8"/>
  <c r="T40" i="8"/>
  <c r="S39" i="4"/>
  <c r="F49" i="12" l="1"/>
  <c r="G49" i="12"/>
  <c r="F50" i="12"/>
  <c r="G50" i="12"/>
  <c r="F51" i="12"/>
  <c r="G51" i="12"/>
  <c r="F52" i="12"/>
  <c r="G52" i="12"/>
  <c r="F53" i="12"/>
  <c r="G53" i="12"/>
  <c r="F54" i="12"/>
  <c r="G54" i="12"/>
  <c r="F55" i="12"/>
  <c r="G55" i="12"/>
  <c r="F56" i="12"/>
  <c r="G56" i="12"/>
  <c r="F57" i="12"/>
  <c r="G57" i="12"/>
  <c r="F58" i="12"/>
  <c r="G58" i="12"/>
  <c r="F59" i="12"/>
  <c r="G59" i="12"/>
  <c r="F60" i="12"/>
  <c r="G60" i="12"/>
  <c r="F61" i="12"/>
  <c r="G61" i="12"/>
  <c r="F62" i="12"/>
  <c r="G62" i="12"/>
  <c r="F63" i="12"/>
  <c r="G63" i="12"/>
  <c r="F64" i="12"/>
  <c r="G64" i="12"/>
  <c r="F65" i="12"/>
  <c r="G65" i="12"/>
  <c r="F66" i="12"/>
  <c r="G66" i="12"/>
  <c r="F67" i="12"/>
  <c r="G67" i="12"/>
  <c r="F68" i="12"/>
  <c r="G68" i="12"/>
  <c r="F69" i="12"/>
  <c r="G69" i="12"/>
  <c r="F70" i="12"/>
  <c r="G70" i="12"/>
  <c r="F71" i="12"/>
  <c r="G71" i="12"/>
  <c r="F72" i="12"/>
  <c r="G72" i="12"/>
  <c r="F73" i="12"/>
  <c r="G73" i="12"/>
  <c r="F74" i="12"/>
  <c r="G74" i="12"/>
  <c r="G48" i="12"/>
  <c r="F48" i="12"/>
  <c r="T39" i="4"/>
  <c r="U39" i="4"/>
  <c r="AK39" i="4"/>
  <c r="AL39" i="4"/>
  <c r="AM39" i="4"/>
  <c r="T38" i="4"/>
  <c r="U38" i="4"/>
  <c r="V38" i="4"/>
  <c r="W38" i="4"/>
  <c r="X38" i="4"/>
  <c r="AK38" i="4"/>
  <c r="AL38" i="4"/>
  <c r="J35" i="4"/>
  <c r="S35" i="4"/>
  <c r="T35" i="4"/>
  <c r="U35" i="4"/>
  <c r="AK35" i="4"/>
  <c r="AL35" i="4"/>
  <c r="AM35" i="4"/>
  <c r="AN35" i="4"/>
  <c r="S37" i="4"/>
  <c r="T37" i="4"/>
  <c r="U37" i="4"/>
  <c r="AK37" i="4"/>
  <c r="AL37" i="4"/>
  <c r="AM37" i="4"/>
  <c r="S40" i="4"/>
  <c r="T40" i="4"/>
  <c r="U40" i="4"/>
  <c r="AK40" i="4"/>
  <c r="AL40" i="4"/>
  <c r="AM40" i="4"/>
  <c r="S41" i="4"/>
  <c r="T41" i="4"/>
  <c r="U41" i="4"/>
  <c r="AK41" i="4"/>
  <c r="AL41" i="4"/>
  <c r="S36" i="4"/>
  <c r="T36" i="4"/>
  <c r="U36" i="4"/>
  <c r="AK36" i="4"/>
  <c r="AL36" i="4"/>
  <c r="AM36" i="4"/>
  <c r="AW36" i="4"/>
  <c r="AW41" i="4"/>
  <c r="AW40" i="4"/>
  <c r="AW37" i="4"/>
  <c r="AW35" i="4"/>
  <c r="AW38" i="4"/>
  <c r="AW39" i="4"/>
  <c r="AP111" i="13"/>
  <c r="AQ111" i="13"/>
  <c r="AR111" i="13"/>
  <c r="AP112" i="13"/>
  <c r="AQ112" i="13"/>
  <c r="AR112" i="13"/>
  <c r="AR110" i="13"/>
  <c r="AR118" i="13" s="1"/>
  <c r="AQ110" i="13"/>
  <c r="AQ118" i="13" s="1"/>
  <c r="AP110" i="13"/>
  <c r="AP120" i="13"/>
  <c r="AQ120" i="13"/>
  <c r="AQ143" i="13" s="1"/>
  <c r="AR120" i="13"/>
  <c r="AP121" i="13"/>
  <c r="AQ121" i="13"/>
  <c r="AR121" i="13"/>
  <c r="AP122" i="13"/>
  <c r="AQ122" i="13"/>
  <c r="AR122" i="13"/>
  <c r="AP124" i="13"/>
  <c r="AP144" i="13" s="1"/>
  <c r="AQ124" i="13"/>
  <c r="AQ144" i="13" s="1"/>
  <c r="AR124" i="13"/>
  <c r="AP125" i="13"/>
  <c r="AQ125" i="13"/>
  <c r="AR125" i="13"/>
  <c r="AP126" i="13"/>
  <c r="AQ126" i="13"/>
  <c r="AR126" i="13"/>
  <c r="AP128" i="13"/>
  <c r="AQ128" i="13"/>
  <c r="AR128" i="13"/>
  <c r="AP129" i="13"/>
  <c r="AQ129" i="13"/>
  <c r="AR129" i="13"/>
  <c r="AP130" i="13"/>
  <c r="AQ130" i="13"/>
  <c r="AR130" i="13"/>
  <c r="AP132" i="13"/>
  <c r="AQ132" i="13"/>
  <c r="AR132" i="13"/>
  <c r="AR146" i="13" s="1"/>
  <c r="AP133" i="13"/>
  <c r="AQ133" i="13"/>
  <c r="AR133" i="13"/>
  <c r="AP134" i="13"/>
  <c r="AQ134" i="13"/>
  <c r="AR134" i="13"/>
  <c r="AP136" i="13"/>
  <c r="AQ136" i="13"/>
  <c r="AQ147" i="13" s="1"/>
  <c r="AR136" i="13"/>
  <c r="AP137" i="13"/>
  <c r="AQ137" i="13"/>
  <c r="AR137" i="13"/>
  <c r="AP138" i="13"/>
  <c r="AQ138" i="13"/>
  <c r="AR138" i="13"/>
  <c r="AP140" i="13"/>
  <c r="AP148" i="13" s="1"/>
  <c r="AQ140" i="13"/>
  <c r="AR140" i="13"/>
  <c r="AP141" i="13"/>
  <c r="AQ141" i="13"/>
  <c r="AR141" i="13"/>
  <c r="AP142" i="13"/>
  <c r="AQ142" i="13"/>
  <c r="AR142" i="13"/>
  <c r="AP90" i="13"/>
  <c r="AQ90" i="13"/>
  <c r="AR90" i="13"/>
  <c r="AP91" i="13"/>
  <c r="AQ91" i="13"/>
  <c r="AR91" i="13"/>
  <c r="AP92" i="13"/>
  <c r="AQ92" i="13"/>
  <c r="AR92" i="13"/>
  <c r="AP94" i="13"/>
  <c r="AQ94" i="13"/>
  <c r="AR94" i="13"/>
  <c r="AR114" i="13" s="1"/>
  <c r="AP95" i="13"/>
  <c r="AQ95" i="13"/>
  <c r="AR95" i="13"/>
  <c r="AP96" i="13"/>
  <c r="AQ96" i="13"/>
  <c r="AR96" i="13"/>
  <c r="AP98" i="13"/>
  <c r="AQ98" i="13"/>
  <c r="AQ115" i="13" s="1"/>
  <c r="AR98" i="13"/>
  <c r="AP99" i="13"/>
  <c r="AQ99" i="13"/>
  <c r="AR99" i="13"/>
  <c r="AP100" i="13"/>
  <c r="AQ100" i="13"/>
  <c r="AR100" i="13"/>
  <c r="AP102" i="13"/>
  <c r="AP116" i="13" s="1"/>
  <c r="AQ102" i="13"/>
  <c r="AR102" i="13"/>
  <c r="AP103" i="13"/>
  <c r="AQ103" i="13"/>
  <c r="AR103" i="13"/>
  <c r="AP104" i="13"/>
  <c r="AQ104" i="13"/>
  <c r="AR104" i="13"/>
  <c r="AP106" i="13"/>
  <c r="AP117" i="13" s="1"/>
  <c r="AQ106" i="13"/>
  <c r="AR106" i="13"/>
  <c r="AP107" i="13"/>
  <c r="AQ107" i="13"/>
  <c r="AR107" i="13"/>
  <c r="AP108" i="13"/>
  <c r="AQ108" i="13"/>
  <c r="AR108" i="13"/>
  <c r="AP54" i="13"/>
  <c r="AQ54" i="13"/>
  <c r="AR54" i="13"/>
  <c r="AP55" i="13"/>
  <c r="AQ55" i="13"/>
  <c r="AR55" i="13"/>
  <c r="AP56" i="13"/>
  <c r="AP81" i="13" s="1"/>
  <c r="AQ56" i="13"/>
  <c r="AR56" i="13"/>
  <c r="AP57" i="13"/>
  <c r="AQ57" i="13"/>
  <c r="AR57" i="13"/>
  <c r="AP58" i="13"/>
  <c r="AQ58" i="13"/>
  <c r="AR58" i="13"/>
  <c r="AP59" i="13"/>
  <c r="AQ59" i="13"/>
  <c r="AR59" i="13"/>
  <c r="AP60" i="13"/>
  <c r="AQ60" i="13"/>
  <c r="AR60" i="13"/>
  <c r="AP61" i="13"/>
  <c r="AQ61" i="13"/>
  <c r="AR61" i="13"/>
  <c r="AP62" i="13"/>
  <c r="AQ62" i="13"/>
  <c r="AR62" i="13"/>
  <c r="AR83" i="13" s="1"/>
  <c r="AP63" i="13"/>
  <c r="AQ63" i="13"/>
  <c r="AR63" i="13"/>
  <c r="AP64" i="13"/>
  <c r="AQ64" i="13"/>
  <c r="AR64" i="13"/>
  <c r="AP65" i="13"/>
  <c r="AQ65" i="13"/>
  <c r="AQ84" i="13" s="1"/>
  <c r="AR65" i="13"/>
  <c r="AP66" i="13"/>
  <c r="AQ66" i="13"/>
  <c r="AR66" i="13"/>
  <c r="AP67" i="13"/>
  <c r="AQ67" i="13"/>
  <c r="AR67" i="13"/>
  <c r="AP68" i="13"/>
  <c r="AP85" i="13" s="1"/>
  <c r="AQ68" i="13"/>
  <c r="AR68" i="13"/>
  <c r="AP69" i="13"/>
  <c r="AQ69" i="13"/>
  <c r="AR69" i="13"/>
  <c r="AP70" i="13"/>
  <c r="AQ70" i="13"/>
  <c r="AR70" i="13"/>
  <c r="AP71" i="13"/>
  <c r="AQ71" i="13"/>
  <c r="AR71" i="13"/>
  <c r="AP72" i="13"/>
  <c r="AQ72" i="13"/>
  <c r="AR72" i="13"/>
  <c r="AP73" i="13"/>
  <c r="AQ73" i="13"/>
  <c r="AR73" i="13"/>
  <c r="AP74" i="13"/>
  <c r="AQ74" i="13"/>
  <c r="AR74" i="13"/>
  <c r="AR87" i="13" s="1"/>
  <c r="AP75" i="13"/>
  <c r="AQ75" i="13"/>
  <c r="AR75" i="13"/>
  <c r="AP76" i="13"/>
  <c r="AQ76" i="13"/>
  <c r="AR76" i="13"/>
  <c r="AP77" i="13"/>
  <c r="AQ77" i="13"/>
  <c r="AQ88" i="13" s="1"/>
  <c r="AR77" i="13"/>
  <c r="AP78" i="13"/>
  <c r="AQ78" i="13"/>
  <c r="AR78" i="13"/>
  <c r="AP79" i="13"/>
  <c r="AQ79" i="13"/>
  <c r="AR79" i="13"/>
  <c r="AR53" i="13"/>
  <c r="AQ53" i="13"/>
  <c r="AQ80" i="13" s="1"/>
  <c r="AP53" i="13"/>
  <c r="AP4" i="13"/>
  <c r="AQ4" i="13"/>
  <c r="AR4" i="13"/>
  <c r="AP5" i="13"/>
  <c r="AQ5" i="13"/>
  <c r="AR5" i="13"/>
  <c r="AP6" i="13"/>
  <c r="AQ6" i="13"/>
  <c r="AR6" i="13"/>
  <c r="AP7" i="13"/>
  <c r="AQ7" i="13"/>
  <c r="AQ44" i="13" s="1"/>
  <c r="AR7" i="13"/>
  <c r="AP8" i="13"/>
  <c r="AQ8" i="13"/>
  <c r="AR8" i="13"/>
  <c r="AP9" i="13"/>
  <c r="AQ9" i="13"/>
  <c r="AR9" i="13"/>
  <c r="AP10" i="13"/>
  <c r="AQ10" i="13"/>
  <c r="AR10" i="13"/>
  <c r="AP11" i="13"/>
  <c r="AQ11" i="13"/>
  <c r="AQ45" i="13" s="1"/>
  <c r="AR11" i="13"/>
  <c r="AP12" i="13"/>
  <c r="AQ12" i="13"/>
  <c r="AR12" i="13"/>
  <c r="AP13" i="13"/>
  <c r="AQ13" i="13"/>
  <c r="AR13" i="13"/>
  <c r="AP14" i="13"/>
  <c r="AQ14" i="13"/>
  <c r="AR14" i="13"/>
  <c r="AP15" i="13"/>
  <c r="AQ15" i="13"/>
  <c r="AQ46" i="13" s="1"/>
  <c r="AR15" i="13"/>
  <c r="AP16" i="13"/>
  <c r="AQ16" i="13"/>
  <c r="AR16" i="13"/>
  <c r="AP17" i="13"/>
  <c r="AQ17" i="13"/>
  <c r="AR17" i="13"/>
  <c r="AP18" i="13"/>
  <c r="AQ18" i="13"/>
  <c r="AR18" i="13"/>
  <c r="AP19" i="13"/>
  <c r="AQ19" i="13"/>
  <c r="AQ47" i="13" s="1"/>
  <c r="AR19" i="13"/>
  <c r="AP20" i="13"/>
  <c r="AQ20" i="13"/>
  <c r="AR20" i="13"/>
  <c r="AP21" i="13"/>
  <c r="AQ21" i="13"/>
  <c r="AR21" i="13"/>
  <c r="AP22" i="13"/>
  <c r="AQ22" i="13"/>
  <c r="AR22" i="13"/>
  <c r="AP23" i="13"/>
  <c r="AQ23" i="13"/>
  <c r="AQ48" i="13" s="1"/>
  <c r="AR23" i="13"/>
  <c r="AP24" i="13"/>
  <c r="AQ24" i="13"/>
  <c r="AR24" i="13"/>
  <c r="AP25" i="13"/>
  <c r="AQ25" i="13"/>
  <c r="AR25" i="13"/>
  <c r="AP26" i="13"/>
  <c r="AQ26" i="13"/>
  <c r="AR26" i="13"/>
  <c r="AP27" i="13"/>
  <c r="AQ27" i="13"/>
  <c r="AQ49" i="13" s="1"/>
  <c r="AR27" i="13"/>
  <c r="AP28" i="13"/>
  <c r="AQ28" i="13"/>
  <c r="AR28" i="13"/>
  <c r="AP29" i="13"/>
  <c r="AQ29" i="13"/>
  <c r="AR29" i="13"/>
  <c r="AP30" i="13"/>
  <c r="AQ30" i="13"/>
  <c r="AR30" i="13"/>
  <c r="AP31" i="13"/>
  <c r="AQ31" i="13"/>
  <c r="AQ50" i="13" s="1"/>
  <c r="AR31" i="13"/>
  <c r="AP32" i="13"/>
  <c r="AQ32" i="13"/>
  <c r="AR32" i="13"/>
  <c r="AP33" i="13"/>
  <c r="AQ33" i="13"/>
  <c r="AR33" i="13"/>
  <c r="AP34" i="13"/>
  <c r="AQ34" i="13"/>
  <c r="AR34" i="13"/>
  <c r="AP35" i="13"/>
  <c r="AQ35" i="13"/>
  <c r="AQ51" i="13" s="1"/>
  <c r="AR35" i="13"/>
  <c r="AP36" i="13"/>
  <c r="AQ36" i="13"/>
  <c r="AR36" i="13"/>
  <c r="AP37" i="13"/>
  <c r="AQ37" i="13"/>
  <c r="AR37" i="13"/>
  <c r="AP38" i="13"/>
  <c r="AQ38" i="13"/>
  <c r="AR38" i="13"/>
  <c r="AP39" i="13"/>
  <c r="AQ39" i="13"/>
  <c r="AQ52" i="13" s="1"/>
  <c r="AR39" i="13"/>
  <c r="AP40" i="13"/>
  <c r="AQ40" i="13"/>
  <c r="AR40" i="13"/>
  <c r="AP41" i="13"/>
  <c r="AQ41" i="13"/>
  <c r="AR41" i="13"/>
  <c r="AP42" i="13"/>
  <c r="AQ42" i="13"/>
  <c r="AR42" i="13"/>
  <c r="AR3" i="13"/>
  <c r="AQ3" i="13"/>
  <c r="AQ43" i="13" s="1"/>
  <c r="AP3" i="13"/>
  <c r="D115" i="13"/>
  <c r="D80" i="13"/>
  <c r="D81" i="13"/>
  <c r="D12" i="12"/>
  <c r="E12" i="12"/>
  <c r="F12" i="12"/>
  <c r="H12" i="12"/>
  <c r="N12" i="12"/>
  <c r="O12" i="12"/>
  <c r="W12" i="12"/>
  <c r="X12" i="12"/>
  <c r="Y12" i="12"/>
  <c r="Z12" i="12"/>
  <c r="AA12" i="12"/>
  <c r="AB12" i="12"/>
  <c r="AC12" i="12"/>
  <c r="AD12" i="12"/>
  <c r="AE12" i="12"/>
  <c r="AF12" i="12"/>
  <c r="AG12" i="12"/>
  <c r="S32" i="4"/>
  <c r="E32" i="4"/>
  <c r="F32" i="4"/>
  <c r="G32" i="4"/>
  <c r="H32" i="4"/>
  <c r="I32" i="4"/>
  <c r="J32" i="4"/>
  <c r="K32" i="4"/>
  <c r="L32" i="4"/>
  <c r="M32" i="4"/>
  <c r="N32" i="4"/>
  <c r="O32" i="4"/>
  <c r="P32" i="4"/>
  <c r="Q32" i="4"/>
  <c r="R32" i="4"/>
  <c r="T32" i="4"/>
  <c r="U32" i="4"/>
  <c r="V32" i="4"/>
  <c r="W32" i="4"/>
  <c r="X32" i="4"/>
  <c r="Y32" i="4"/>
  <c r="Z32" i="4"/>
  <c r="AA32" i="4"/>
  <c r="AB32" i="4"/>
  <c r="AC32" i="4"/>
  <c r="AD32" i="4"/>
  <c r="AE32" i="4"/>
  <c r="AF32" i="4"/>
  <c r="AG32" i="4"/>
  <c r="AH32" i="4"/>
  <c r="AI32" i="4"/>
  <c r="AJ32" i="4"/>
  <c r="AK32" i="4"/>
  <c r="AL32" i="4"/>
  <c r="AM32" i="4"/>
  <c r="AN32" i="4"/>
  <c r="AO32" i="4"/>
  <c r="AP32" i="4"/>
  <c r="E33" i="4"/>
  <c r="F33" i="4"/>
  <c r="G33" i="4"/>
  <c r="H33" i="4"/>
  <c r="I33" i="4"/>
  <c r="J33" i="4"/>
  <c r="K33" i="4"/>
  <c r="L33" i="4"/>
  <c r="M33" i="4"/>
  <c r="N33" i="4"/>
  <c r="O33" i="4"/>
  <c r="P33" i="4"/>
  <c r="Q33" i="4"/>
  <c r="R33" i="4"/>
  <c r="S33" i="4"/>
  <c r="T33" i="4"/>
  <c r="U33" i="4"/>
  <c r="V33" i="4"/>
  <c r="W33" i="4"/>
  <c r="X33" i="4"/>
  <c r="Y33" i="4"/>
  <c r="Z33" i="4"/>
  <c r="AA33" i="4"/>
  <c r="AB33" i="4"/>
  <c r="AC33" i="4"/>
  <c r="AD33" i="4"/>
  <c r="AE33" i="4"/>
  <c r="AF33" i="4"/>
  <c r="AG33" i="4"/>
  <c r="AH33" i="4"/>
  <c r="AI33" i="4"/>
  <c r="AJ33" i="4"/>
  <c r="AK33" i="4"/>
  <c r="AL33" i="4"/>
  <c r="AM33" i="4"/>
  <c r="AN33" i="4"/>
  <c r="AO33" i="4"/>
  <c r="AP33" i="4"/>
  <c r="E34" i="4"/>
  <c r="F34" i="4"/>
  <c r="G34" i="4"/>
  <c r="I34" i="4"/>
  <c r="J34" i="4"/>
  <c r="K34" i="4"/>
  <c r="L34" i="4"/>
  <c r="M34" i="4"/>
  <c r="N34" i="4"/>
  <c r="O34" i="4"/>
  <c r="P34" i="4"/>
  <c r="Q34" i="4"/>
  <c r="R34" i="4"/>
  <c r="S34" i="4"/>
  <c r="T34" i="4"/>
  <c r="U34" i="4"/>
  <c r="V34" i="4"/>
  <c r="W34" i="4"/>
  <c r="X34" i="4"/>
  <c r="Y34" i="4"/>
  <c r="Z34" i="4"/>
  <c r="AA34" i="4"/>
  <c r="AB34" i="4"/>
  <c r="AC34" i="4"/>
  <c r="AD34" i="4"/>
  <c r="AE34" i="4"/>
  <c r="AF34" i="4"/>
  <c r="AG34" i="4"/>
  <c r="AH34" i="4"/>
  <c r="AI34" i="4"/>
  <c r="AJ34" i="4"/>
  <c r="AK34" i="4"/>
  <c r="AL34" i="4"/>
  <c r="AM34" i="4"/>
  <c r="AN34" i="4"/>
  <c r="AO34" i="4"/>
  <c r="AP34" i="4"/>
  <c r="D33" i="4"/>
  <c r="D34" i="4"/>
  <c r="D32" i="4"/>
  <c r="J3" i="8"/>
  <c r="AS38" i="4" l="1"/>
  <c r="AQ36" i="4"/>
  <c r="AR36" i="4"/>
  <c r="AR37" i="4"/>
  <c r="AQ37" i="4"/>
  <c r="AR35" i="4"/>
  <c r="AS41" i="4"/>
  <c r="AS37" i="4"/>
  <c r="AS36" i="4"/>
  <c r="AR40" i="4"/>
  <c r="AS39" i="4"/>
  <c r="AH13" i="12"/>
  <c r="AL13" i="12"/>
  <c r="C13" i="12"/>
  <c r="AM13" i="12"/>
  <c r="AI13" i="12"/>
  <c r="S13" i="12"/>
  <c r="K13" i="12"/>
  <c r="G13" i="12"/>
  <c r="V13" i="12"/>
  <c r="R13" i="12"/>
  <c r="J13" i="12"/>
  <c r="AK13" i="12"/>
  <c r="U13" i="12"/>
  <c r="Q13" i="12"/>
  <c r="M13" i="12"/>
  <c r="I13" i="12"/>
  <c r="AN13" i="12"/>
  <c r="AJ13" i="12"/>
  <c r="T13" i="12"/>
  <c r="P13" i="12"/>
  <c r="L13" i="12"/>
  <c r="AN12" i="12"/>
  <c r="AJ12" i="12"/>
  <c r="T12" i="12"/>
  <c r="P12" i="12"/>
  <c r="L12" i="12"/>
  <c r="AM12" i="12"/>
  <c r="AI12" i="12"/>
  <c r="G12" i="12"/>
  <c r="AL12" i="12"/>
  <c r="AH12" i="12"/>
  <c r="V12" i="12"/>
  <c r="R12" i="12"/>
  <c r="J12" i="12"/>
  <c r="S12" i="12"/>
  <c r="K12" i="12"/>
  <c r="C12" i="12"/>
  <c r="AK12" i="12"/>
  <c r="U12" i="12"/>
  <c r="Q12" i="12"/>
  <c r="M12" i="12"/>
  <c r="I12" i="12"/>
  <c r="AS35" i="4"/>
  <c r="AQ35" i="4"/>
  <c r="AQ40" i="4"/>
  <c r="AS40" i="4"/>
  <c r="AR39" i="4"/>
  <c r="AQ39" i="4"/>
  <c r="AQ41" i="4"/>
  <c r="AR41" i="4"/>
  <c r="AQ38" i="4"/>
  <c r="AR38" i="4"/>
  <c r="AW43" i="13"/>
  <c r="AW82" i="13"/>
  <c r="AP82" i="13"/>
  <c r="AX81" i="13"/>
  <c r="AQ81" i="13"/>
  <c r="AW145" i="13"/>
  <c r="AP145" i="13"/>
  <c r="AY143" i="13"/>
  <c r="AR143" i="13"/>
  <c r="AP52" i="13"/>
  <c r="AP51" i="13"/>
  <c r="AP48" i="13"/>
  <c r="AP47" i="13"/>
  <c r="AP46" i="13"/>
  <c r="AP45" i="13"/>
  <c r="AP44" i="13"/>
  <c r="AY80" i="13"/>
  <c r="AR80" i="13"/>
  <c r="AP88" i="13"/>
  <c r="AQ87" i="13"/>
  <c r="AR86" i="13"/>
  <c r="AP84" i="13"/>
  <c r="AQ83" i="13"/>
  <c r="AR82" i="13"/>
  <c r="AR117" i="13"/>
  <c r="AP115" i="13"/>
  <c r="AQ114" i="13"/>
  <c r="AR113" i="13"/>
  <c r="AP147" i="13"/>
  <c r="AQ146" i="13"/>
  <c r="AR145" i="13"/>
  <c r="AP143" i="13"/>
  <c r="AY88" i="13"/>
  <c r="AR88" i="13"/>
  <c r="AW86" i="13"/>
  <c r="AP86" i="13"/>
  <c r="AX85" i="13"/>
  <c r="AQ85" i="13"/>
  <c r="AY84" i="13"/>
  <c r="AR84" i="13"/>
  <c r="AX116" i="13"/>
  <c r="AQ116" i="13"/>
  <c r="AY115" i="13"/>
  <c r="AR115" i="13"/>
  <c r="AW113" i="13"/>
  <c r="AP113" i="13"/>
  <c r="AX148" i="13"/>
  <c r="AQ148" i="13"/>
  <c r="AY147" i="13"/>
  <c r="AR147" i="13"/>
  <c r="AR43" i="13"/>
  <c r="AP50" i="13"/>
  <c r="AP49" i="13"/>
  <c r="AP43" i="13"/>
  <c r="AR52" i="13"/>
  <c r="AR51" i="13"/>
  <c r="AR50" i="13"/>
  <c r="AX49" i="13"/>
  <c r="AR49" i="13"/>
  <c r="AR48" i="13"/>
  <c r="AR47" i="13"/>
  <c r="AR46" i="13"/>
  <c r="AX45" i="13"/>
  <c r="AR45" i="13"/>
  <c r="AR44" i="13"/>
  <c r="AW80" i="13"/>
  <c r="AP80" i="13"/>
  <c r="AY87" i="13"/>
  <c r="AW87" i="13"/>
  <c r="AP87" i="13"/>
  <c r="AX86" i="13"/>
  <c r="AQ86" i="13"/>
  <c r="AW85" i="13"/>
  <c r="AY85" i="13"/>
  <c r="AR85" i="13"/>
  <c r="AY83" i="13"/>
  <c r="AW83" i="13"/>
  <c r="AP83" i="13"/>
  <c r="AX82" i="13"/>
  <c r="AQ82" i="13"/>
  <c r="AW81" i="13"/>
  <c r="AY81" i="13"/>
  <c r="AR81" i="13"/>
  <c r="AX117" i="13"/>
  <c r="AQ117" i="13"/>
  <c r="AY116" i="13"/>
  <c r="AR116" i="13"/>
  <c r="AX114" i="13"/>
  <c r="AW114" i="13"/>
  <c r="AP114" i="13"/>
  <c r="AX113" i="13"/>
  <c r="AQ113" i="13"/>
  <c r="AY148" i="13"/>
  <c r="AR148" i="13"/>
  <c r="AW146" i="13"/>
  <c r="AP146" i="13"/>
  <c r="AX145" i="13"/>
  <c r="AQ145" i="13"/>
  <c r="AY144" i="13"/>
  <c r="AR144" i="13"/>
  <c r="AW118" i="13"/>
  <c r="AP118" i="13"/>
  <c r="AX118" i="13"/>
  <c r="AW117" i="13"/>
  <c r="AY52" i="13"/>
  <c r="AY51" i="13"/>
  <c r="AW50" i="13"/>
  <c r="AY50" i="13"/>
  <c r="AY49" i="13"/>
  <c r="AY48" i="13"/>
  <c r="AY47" i="13"/>
  <c r="AW46" i="13"/>
  <c r="AY46" i="13"/>
  <c r="AY45" i="13"/>
  <c r="AY44" i="13"/>
  <c r="AX47" i="13"/>
  <c r="AX46" i="13"/>
  <c r="AX80" i="13"/>
  <c r="AW52" i="13"/>
  <c r="AW48" i="13"/>
  <c r="AW44" i="13"/>
  <c r="AX88" i="13"/>
  <c r="AX84" i="13"/>
  <c r="AX115" i="13"/>
  <c r="AX147" i="13"/>
  <c r="AX143" i="13"/>
  <c r="AX51" i="13"/>
  <c r="AX50" i="13"/>
  <c r="AX52" i="13"/>
  <c r="AW51" i="13"/>
  <c r="AW49" i="13"/>
  <c r="AX48" i="13"/>
  <c r="AW47" i="13"/>
  <c r="AW45" i="13"/>
  <c r="AX44" i="13"/>
  <c r="AW88" i="13"/>
  <c r="AX87" i="13"/>
  <c r="AY86" i="13"/>
  <c r="AW84" i="13"/>
  <c r="AX83" i="13"/>
  <c r="AY82" i="13"/>
  <c r="AY117" i="13"/>
  <c r="AW116" i="13"/>
  <c r="AW115" i="13"/>
  <c r="AY114" i="13"/>
  <c r="AY113" i="13"/>
  <c r="AW148" i="13"/>
  <c r="AW147" i="13"/>
  <c r="AY146" i="13"/>
  <c r="AY145" i="13"/>
  <c r="AW144" i="13"/>
  <c r="AW143" i="13"/>
  <c r="AY118" i="13"/>
  <c r="AY43" i="13"/>
  <c r="AX43" i="13"/>
  <c r="AX144" i="13"/>
  <c r="AX146" i="13"/>
  <c r="AU38" i="4"/>
  <c r="AT39" i="4"/>
  <c r="AV36" i="4"/>
  <c r="AU41" i="4"/>
  <c r="AU36" i="4"/>
  <c r="AT41" i="4"/>
  <c r="AT40" i="4"/>
  <c r="AV37" i="4"/>
  <c r="AU37" i="4"/>
  <c r="AV35" i="4"/>
  <c r="AT38" i="4"/>
  <c r="AV38" i="4"/>
  <c r="AV39" i="4"/>
  <c r="AU39" i="4"/>
  <c r="AU35" i="4"/>
  <c r="AU40" i="4"/>
  <c r="AT36" i="4"/>
  <c r="AV40" i="4"/>
  <c r="AT37" i="4"/>
  <c r="AV41" i="4"/>
  <c r="D43" i="1"/>
  <c r="E43" i="10"/>
  <c r="F43" i="10"/>
  <c r="G43" i="10"/>
  <c r="H43" i="10"/>
  <c r="I43" i="10"/>
  <c r="J43" i="10"/>
  <c r="K43" i="10"/>
  <c r="L43" i="10"/>
  <c r="M43" i="10"/>
  <c r="N43" i="10"/>
  <c r="O43" i="10"/>
  <c r="P43" i="10"/>
  <c r="Q43" i="10"/>
  <c r="R43" i="10"/>
  <c r="S43" i="10"/>
  <c r="T43" i="10"/>
  <c r="U43" i="10"/>
  <c r="V43" i="10"/>
  <c r="W43" i="10"/>
  <c r="X43" i="10"/>
  <c r="Y43" i="10"/>
  <c r="Z43" i="10"/>
  <c r="AA43" i="10"/>
  <c r="AB43" i="10"/>
  <c r="AC43" i="10"/>
  <c r="AD43" i="10"/>
  <c r="AE43" i="10"/>
  <c r="AF43" i="10"/>
  <c r="AG43" i="10"/>
  <c r="AH43" i="10"/>
  <c r="AI43" i="10"/>
  <c r="AJ43" i="10"/>
  <c r="AK43" i="10"/>
  <c r="AL43" i="10"/>
  <c r="AM43" i="10"/>
  <c r="AN43" i="10"/>
  <c r="AO43" i="10"/>
  <c r="E44" i="10"/>
  <c r="F44" i="10"/>
  <c r="G44" i="10"/>
  <c r="H44" i="10"/>
  <c r="I44" i="10"/>
  <c r="J44" i="10"/>
  <c r="K44" i="10"/>
  <c r="L44" i="10"/>
  <c r="M44" i="10"/>
  <c r="N44" i="10"/>
  <c r="O44" i="10"/>
  <c r="P44" i="10"/>
  <c r="Q44" i="10"/>
  <c r="R44" i="10"/>
  <c r="S44" i="10"/>
  <c r="T44" i="10"/>
  <c r="U44" i="10"/>
  <c r="V44" i="10"/>
  <c r="W44" i="10"/>
  <c r="X44" i="10"/>
  <c r="Y44" i="10"/>
  <c r="Z44" i="10"/>
  <c r="AA44" i="10"/>
  <c r="AB44" i="10"/>
  <c r="AC44" i="10"/>
  <c r="AD44" i="10"/>
  <c r="AE44" i="10"/>
  <c r="AF44" i="10"/>
  <c r="AG44" i="10"/>
  <c r="AH44" i="10"/>
  <c r="AI44" i="10"/>
  <c r="AJ44" i="10"/>
  <c r="AK44" i="10"/>
  <c r="AL44" i="10"/>
  <c r="AM44" i="10"/>
  <c r="AN44" i="10"/>
  <c r="AO44" i="10"/>
  <c r="E45" i="10"/>
  <c r="F45" i="10"/>
  <c r="G45" i="10"/>
  <c r="H45" i="10"/>
  <c r="I45" i="10"/>
  <c r="J45" i="10"/>
  <c r="K45" i="10"/>
  <c r="L45" i="10"/>
  <c r="M45" i="10"/>
  <c r="N45" i="10"/>
  <c r="O45" i="10"/>
  <c r="P45" i="10"/>
  <c r="Q45" i="10"/>
  <c r="R45" i="10"/>
  <c r="S45" i="10"/>
  <c r="T45" i="10"/>
  <c r="U45" i="10"/>
  <c r="V45" i="10"/>
  <c r="W45" i="10"/>
  <c r="X45" i="10"/>
  <c r="Y45" i="10"/>
  <c r="Z45" i="10"/>
  <c r="AA45" i="10"/>
  <c r="AB45" i="10"/>
  <c r="AC45" i="10"/>
  <c r="AD45" i="10"/>
  <c r="AE45" i="10"/>
  <c r="AF45" i="10"/>
  <c r="AG45" i="10"/>
  <c r="AH45" i="10"/>
  <c r="AI45" i="10"/>
  <c r="AJ45" i="10"/>
  <c r="AK45" i="10"/>
  <c r="AL45" i="10"/>
  <c r="AM45" i="10"/>
  <c r="AN45" i="10"/>
  <c r="AO45" i="10"/>
  <c r="E46" i="10"/>
  <c r="F46" i="10"/>
  <c r="G46" i="10"/>
  <c r="H46" i="10"/>
  <c r="I46" i="10"/>
  <c r="J46" i="10"/>
  <c r="K46" i="10"/>
  <c r="L46" i="10"/>
  <c r="M46" i="10"/>
  <c r="N46" i="10"/>
  <c r="O46" i="10"/>
  <c r="P46" i="10"/>
  <c r="Q46" i="10"/>
  <c r="R46" i="10"/>
  <c r="S46" i="10"/>
  <c r="T46" i="10"/>
  <c r="U46" i="10"/>
  <c r="V46" i="10"/>
  <c r="W46" i="10"/>
  <c r="X46" i="10"/>
  <c r="Y46" i="10"/>
  <c r="Z46" i="10"/>
  <c r="AA46" i="10"/>
  <c r="AB46" i="10"/>
  <c r="AC46" i="10"/>
  <c r="AD46" i="10"/>
  <c r="AE46" i="10"/>
  <c r="AF46" i="10"/>
  <c r="AG46" i="10"/>
  <c r="AH46" i="10"/>
  <c r="AI46" i="10"/>
  <c r="AJ46" i="10"/>
  <c r="AK46" i="10"/>
  <c r="AL46" i="10"/>
  <c r="AM46" i="10"/>
  <c r="AN46" i="10"/>
  <c r="AO46" i="10"/>
  <c r="D46" i="10"/>
  <c r="D45" i="10"/>
  <c r="D44" i="10"/>
  <c r="D43" i="10"/>
  <c r="AO41" i="10"/>
  <c r="AN41" i="10"/>
  <c r="AM41" i="10"/>
  <c r="AL41" i="10"/>
  <c r="AK41" i="10"/>
  <c r="AJ41" i="10"/>
  <c r="AI41" i="10"/>
  <c r="AH41" i="10"/>
  <c r="AG41" i="10"/>
  <c r="AF41" i="10"/>
  <c r="AE41" i="10"/>
  <c r="AD41" i="10"/>
  <c r="AC41" i="10"/>
  <c r="AB41" i="10"/>
  <c r="AA41" i="10"/>
  <c r="Z41" i="10"/>
  <c r="Y41" i="10"/>
  <c r="X41" i="10"/>
  <c r="W41" i="10"/>
  <c r="V41" i="10"/>
  <c r="U41" i="10"/>
  <c r="T41" i="10"/>
  <c r="S41" i="10"/>
  <c r="R41" i="10"/>
  <c r="Q41" i="10"/>
  <c r="P41" i="10"/>
  <c r="O41" i="10"/>
  <c r="N41" i="10"/>
  <c r="M41" i="10"/>
  <c r="L41" i="10"/>
  <c r="K41" i="10"/>
  <c r="J41" i="10"/>
  <c r="I41" i="10"/>
  <c r="H41" i="10"/>
  <c r="G41" i="10"/>
  <c r="F41" i="10"/>
  <c r="E41" i="10"/>
  <c r="D41" i="10"/>
  <c r="AO40" i="10"/>
  <c r="AN40" i="10"/>
  <c r="AM40" i="10"/>
  <c r="AL40" i="10"/>
  <c r="AK40" i="10"/>
  <c r="AJ40" i="10"/>
  <c r="AI40" i="10"/>
  <c r="AH40" i="10"/>
  <c r="AG40" i="10"/>
  <c r="AF40" i="10"/>
  <c r="AE40" i="10"/>
  <c r="AD40" i="10"/>
  <c r="AC40" i="10"/>
  <c r="AB40" i="10"/>
  <c r="AA40" i="10"/>
  <c r="Z40" i="10"/>
  <c r="Y40" i="10"/>
  <c r="X40" i="10"/>
  <c r="W40" i="10"/>
  <c r="V40" i="10"/>
  <c r="U40" i="10"/>
  <c r="T40" i="10"/>
  <c r="S40" i="10"/>
  <c r="R40" i="10"/>
  <c r="Q40" i="10"/>
  <c r="P40" i="10"/>
  <c r="O40" i="10"/>
  <c r="N40" i="10"/>
  <c r="M40" i="10"/>
  <c r="L40" i="10"/>
  <c r="K40" i="10"/>
  <c r="J40" i="10"/>
  <c r="I40" i="10"/>
  <c r="H40" i="10"/>
  <c r="G40" i="10"/>
  <c r="F40" i="10"/>
  <c r="E40" i="10"/>
  <c r="D40" i="10"/>
  <c r="AO39" i="10"/>
  <c r="AN39" i="10"/>
  <c r="AM39" i="10"/>
  <c r="AL39" i="10"/>
  <c r="AK39" i="10"/>
  <c r="AJ39" i="10"/>
  <c r="AI39" i="10"/>
  <c r="AH39" i="10"/>
  <c r="AG39" i="10"/>
  <c r="AF39" i="10"/>
  <c r="AE39" i="10"/>
  <c r="AD39" i="10"/>
  <c r="AC39" i="10"/>
  <c r="AB39" i="10"/>
  <c r="AA39" i="10"/>
  <c r="Z39" i="10"/>
  <c r="Y39" i="10"/>
  <c r="X39" i="10"/>
  <c r="W39" i="10"/>
  <c r="V39" i="10"/>
  <c r="U39" i="10"/>
  <c r="T39" i="10"/>
  <c r="S39" i="10"/>
  <c r="R39" i="10"/>
  <c r="Q39" i="10"/>
  <c r="P39" i="10"/>
  <c r="O39" i="10"/>
  <c r="N39" i="10"/>
  <c r="M39" i="10"/>
  <c r="L39" i="10"/>
  <c r="K39" i="10"/>
  <c r="J39" i="10"/>
  <c r="I39" i="10"/>
  <c r="H39" i="10"/>
  <c r="G39" i="10"/>
  <c r="F39" i="10"/>
  <c r="E39" i="10"/>
  <c r="D39" i="10"/>
  <c r="AO37" i="10"/>
  <c r="AN37" i="10"/>
  <c r="AM37" i="10"/>
  <c r="AL37" i="10"/>
  <c r="AK37" i="10"/>
  <c r="AJ37" i="10"/>
  <c r="AI37" i="10"/>
  <c r="AH37" i="10"/>
  <c r="AG37" i="10"/>
  <c r="AF37" i="10"/>
  <c r="AE37" i="10"/>
  <c r="AD37" i="10"/>
  <c r="AC37" i="10"/>
  <c r="AB37" i="10"/>
  <c r="AA37" i="10"/>
  <c r="Z37" i="10"/>
  <c r="Y37" i="10"/>
  <c r="X37" i="10"/>
  <c r="W37" i="10"/>
  <c r="V37" i="10"/>
  <c r="U37" i="10"/>
  <c r="T37" i="10"/>
  <c r="S37" i="10"/>
  <c r="R37" i="10"/>
  <c r="Q37" i="10"/>
  <c r="P37" i="10"/>
  <c r="O37" i="10"/>
  <c r="N37" i="10"/>
  <c r="M37" i="10"/>
  <c r="L37" i="10"/>
  <c r="K37" i="10"/>
  <c r="J37" i="10"/>
  <c r="I37" i="10"/>
  <c r="H37" i="10"/>
  <c r="G37" i="10"/>
  <c r="F37" i="10"/>
  <c r="E37" i="10"/>
  <c r="D37" i="10"/>
  <c r="AO36" i="10"/>
  <c r="AN36" i="10"/>
  <c r="AM36" i="10"/>
  <c r="AL36" i="10"/>
  <c r="AK36" i="10"/>
  <c r="AJ36" i="10"/>
  <c r="AI36" i="10"/>
  <c r="AH36" i="10"/>
  <c r="AG36" i="10"/>
  <c r="AF36" i="10"/>
  <c r="AE36" i="10"/>
  <c r="AD36" i="10"/>
  <c r="AC36" i="10"/>
  <c r="AB36" i="10"/>
  <c r="AA36" i="10"/>
  <c r="Z36" i="10"/>
  <c r="Y36" i="10"/>
  <c r="X36" i="10"/>
  <c r="W36" i="10"/>
  <c r="V36" i="10"/>
  <c r="U36" i="10"/>
  <c r="T36" i="10"/>
  <c r="S36" i="10"/>
  <c r="R36" i="10"/>
  <c r="Q36" i="10"/>
  <c r="P36" i="10"/>
  <c r="O36" i="10"/>
  <c r="N36" i="10"/>
  <c r="M36" i="10"/>
  <c r="L36" i="10"/>
  <c r="K36" i="10"/>
  <c r="J36" i="10"/>
  <c r="I36" i="10"/>
  <c r="H36" i="10"/>
  <c r="G36" i="10"/>
  <c r="F36" i="10"/>
  <c r="E36" i="10"/>
  <c r="D36" i="10"/>
  <c r="AO35" i="10"/>
  <c r="AN35" i="10"/>
  <c r="AM35" i="10"/>
  <c r="AL35" i="10"/>
  <c r="AK35" i="10"/>
  <c r="AJ35" i="10"/>
  <c r="AI35" i="10"/>
  <c r="AH35" i="10"/>
  <c r="AG35" i="10"/>
  <c r="AF35" i="10"/>
  <c r="AE35" i="10"/>
  <c r="AD35" i="10"/>
  <c r="AC35" i="10"/>
  <c r="AB35" i="10"/>
  <c r="AA35" i="10"/>
  <c r="Z35" i="10"/>
  <c r="Y35" i="10"/>
  <c r="X35" i="10"/>
  <c r="W35" i="10"/>
  <c r="V35" i="10"/>
  <c r="U35" i="10"/>
  <c r="T35" i="10"/>
  <c r="S35" i="10"/>
  <c r="R35" i="10"/>
  <c r="Q35" i="10"/>
  <c r="P35" i="10"/>
  <c r="O35" i="10"/>
  <c r="N35" i="10"/>
  <c r="M35" i="10"/>
  <c r="L35" i="10"/>
  <c r="K35" i="10"/>
  <c r="J35" i="10"/>
  <c r="I35" i="10"/>
  <c r="H35" i="10"/>
  <c r="G35" i="10"/>
  <c r="F35" i="10"/>
  <c r="E35" i="10"/>
  <c r="D35" i="10"/>
  <c r="AO33" i="10"/>
  <c r="AN33" i="10"/>
  <c r="AM33" i="10"/>
  <c r="AL33" i="10"/>
  <c r="AK33" i="10"/>
  <c r="AJ33" i="10"/>
  <c r="AI33" i="10"/>
  <c r="AH33" i="10"/>
  <c r="AG33" i="10"/>
  <c r="AF33" i="10"/>
  <c r="AE33" i="10"/>
  <c r="AD33" i="10"/>
  <c r="AC33" i="10"/>
  <c r="AB33" i="10"/>
  <c r="AA33" i="10"/>
  <c r="Z33" i="10"/>
  <c r="Y33" i="10"/>
  <c r="X33" i="10"/>
  <c r="W33" i="10"/>
  <c r="V33" i="10"/>
  <c r="U33" i="10"/>
  <c r="T33" i="10"/>
  <c r="S33" i="10"/>
  <c r="R33" i="10"/>
  <c r="Q33" i="10"/>
  <c r="P33" i="10"/>
  <c r="O33" i="10"/>
  <c r="N33" i="10"/>
  <c r="M33" i="10"/>
  <c r="L33" i="10"/>
  <c r="K33" i="10"/>
  <c r="J33" i="10"/>
  <c r="I33" i="10"/>
  <c r="H33" i="10"/>
  <c r="G33" i="10"/>
  <c r="F33" i="10"/>
  <c r="E33" i="10"/>
  <c r="D33" i="10"/>
  <c r="AO32" i="10"/>
  <c r="AN32" i="10"/>
  <c r="AM32" i="10"/>
  <c r="AL32" i="10"/>
  <c r="AK32" i="10"/>
  <c r="AJ32" i="10"/>
  <c r="AI32" i="10"/>
  <c r="AH32" i="10"/>
  <c r="AG32" i="10"/>
  <c r="AF32" i="10"/>
  <c r="AE32" i="10"/>
  <c r="AD32" i="10"/>
  <c r="AC32" i="10"/>
  <c r="AB32" i="10"/>
  <c r="AA32" i="10"/>
  <c r="Z32" i="10"/>
  <c r="Y32" i="10"/>
  <c r="X32" i="10"/>
  <c r="W32" i="10"/>
  <c r="V32" i="10"/>
  <c r="U32" i="10"/>
  <c r="T32" i="10"/>
  <c r="S32" i="10"/>
  <c r="R32" i="10"/>
  <c r="Q32" i="10"/>
  <c r="P32" i="10"/>
  <c r="O32" i="10"/>
  <c r="N32" i="10"/>
  <c r="M32" i="10"/>
  <c r="L32" i="10"/>
  <c r="K32" i="10"/>
  <c r="J32" i="10"/>
  <c r="I32" i="10"/>
  <c r="H32" i="10"/>
  <c r="G32" i="10"/>
  <c r="F32" i="10"/>
  <c r="E32" i="10"/>
  <c r="D32" i="10"/>
  <c r="AO31" i="10"/>
  <c r="AN31" i="10"/>
  <c r="AM31" i="10"/>
  <c r="AL31" i="10"/>
  <c r="AK31" i="10"/>
  <c r="AJ31" i="10"/>
  <c r="AI31" i="10"/>
  <c r="AH31" i="10"/>
  <c r="AG31" i="10"/>
  <c r="AF31" i="10"/>
  <c r="AE31" i="10"/>
  <c r="AD31" i="10"/>
  <c r="AC31" i="10"/>
  <c r="AB31" i="10"/>
  <c r="AA31" i="10"/>
  <c r="Z31" i="10"/>
  <c r="Y31" i="10"/>
  <c r="X31" i="10"/>
  <c r="W31" i="10"/>
  <c r="V31" i="10"/>
  <c r="U31" i="10"/>
  <c r="T31" i="10"/>
  <c r="S31" i="10"/>
  <c r="R31" i="10"/>
  <c r="Q31" i="10"/>
  <c r="P31" i="10"/>
  <c r="O31" i="10"/>
  <c r="N31" i="10"/>
  <c r="M31" i="10"/>
  <c r="L31" i="10"/>
  <c r="K31" i="10"/>
  <c r="J31" i="10"/>
  <c r="I31" i="10"/>
  <c r="H31" i="10"/>
  <c r="G31" i="10"/>
  <c r="F31" i="10"/>
  <c r="E31" i="10"/>
  <c r="D31" i="10"/>
  <c r="AO29" i="10"/>
  <c r="AN29" i="10"/>
  <c r="AM29" i="10"/>
  <c r="AL29" i="10"/>
  <c r="AK29" i="10"/>
  <c r="AJ29" i="10"/>
  <c r="AI29" i="10"/>
  <c r="AH29" i="10"/>
  <c r="AG29" i="10"/>
  <c r="AF29" i="10"/>
  <c r="AE29" i="10"/>
  <c r="AD29" i="10"/>
  <c r="AC29" i="10"/>
  <c r="AB29" i="10"/>
  <c r="AA29" i="10"/>
  <c r="Z29" i="10"/>
  <c r="Y29" i="10"/>
  <c r="X29" i="10"/>
  <c r="W29" i="10"/>
  <c r="V29" i="10"/>
  <c r="U29" i="10"/>
  <c r="T29" i="10"/>
  <c r="S29" i="10"/>
  <c r="R29" i="10"/>
  <c r="Q29" i="10"/>
  <c r="P29" i="10"/>
  <c r="O29" i="10"/>
  <c r="N29" i="10"/>
  <c r="M29" i="10"/>
  <c r="L29" i="10"/>
  <c r="K29" i="10"/>
  <c r="J29" i="10"/>
  <c r="I29" i="10"/>
  <c r="H29" i="10"/>
  <c r="G29" i="10"/>
  <c r="F29" i="10"/>
  <c r="E29" i="10"/>
  <c r="D29" i="10"/>
  <c r="AO28" i="10"/>
  <c r="AN28" i="10"/>
  <c r="AM28" i="10"/>
  <c r="AL28" i="10"/>
  <c r="AK28" i="10"/>
  <c r="AJ28" i="10"/>
  <c r="AI28" i="10"/>
  <c r="AH28" i="10"/>
  <c r="AG28" i="10"/>
  <c r="AF28" i="10"/>
  <c r="AE28" i="10"/>
  <c r="AD28" i="10"/>
  <c r="AC28" i="10"/>
  <c r="AB28" i="10"/>
  <c r="AA28" i="10"/>
  <c r="Z28" i="10"/>
  <c r="Y28" i="10"/>
  <c r="X28" i="10"/>
  <c r="W28" i="10"/>
  <c r="V28" i="10"/>
  <c r="U28" i="10"/>
  <c r="T28" i="10"/>
  <c r="S28" i="10"/>
  <c r="R28" i="10"/>
  <c r="Q28" i="10"/>
  <c r="P28" i="10"/>
  <c r="O28" i="10"/>
  <c r="N28" i="10"/>
  <c r="M28" i="10"/>
  <c r="L28" i="10"/>
  <c r="K28" i="10"/>
  <c r="J28" i="10"/>
  <c r="I28" i="10"/>
  <c r="H28" i="10"/>
  <c r="G28" i="10"/>
  <c r="F28" i="10"/>
  <c r="E28" i="10"/>
  <c r="D28" i="10"/>
  <c r="AO27" i="10"/>
  <c r="AN27" i="10"/>
  <c r="AM27" i="10"/>
  <c r="AL27" i="10"/>
  <c r="AK27" i="10"/>
  <c r="AJ27" i="10"/>
  <c r="AI27" i="10"/>
  <c r="AH27" i="10"/>
  <c r="AG27" i="10"/>
  <c r="AF27" i="10"/>
  <c r="AE27" i="10"/>
  <c r="AD27" i="10"/>
  <c r="AC27" i="10"/>
  <c r="AB27" i="10"/>
  <c r="AA27" i="10"/>
  <c r="Z27" i="10"/>
  <c r="Y27" i="10"/>
  <c r="X27" i="10"/>
  <c r="W27" i="10"/>
  <c r="V27" i="10"/>
  <c r="U27" i="10"/>
  <c r="T27" i="10"/>
  <c r="S27" i="10"/>
  <c r="R27" i="10"/>
  <c r="Q27" i="10"/>
  <c r="P27" i="10"/>
  <c r="O27" i="10"/>
  <c r="N27" i="10"/>
  <c r="M27" i="10"/>
  <c r="L27" i="10"/>
  <c r="K27" i="10"/>
  <c r="J27" i="10"/>
  <c r="I27" i="10"/>
  <c r="H27" i="10"/>
  <c r="G27" i="10"/>
  <c r="F27" i="10"/>
  <c r="E27" i="10"/>
  <c r="D27" i="10"/>
  <c r="F43" i="7"/>
  <c r="G43" i="7"/>
  <c r="H43" i="7"/>
  <c r="I43" i="7"/>
  <c r="J43" i="7"/>
  <c r="K43" i="7"/>
  <c r="L43" i="7"/>
  <c r="M43" i="7"/>
  <c r="N43" i="7"/>
  <c r="O43" i="7"/>
  <c r="P43" i="7"/>
  <c r="Q43" i="7"/>
  <c r="R43" i="7"/>
  <c r="S43" i="7"/>
  <c r="T43" i="7"/>
  <c r="U43" i="7"/>
  <c r="V43" i="7"/>
  <c r="W43" i="7"/>
  <c r="X43" i="7"/>
  <c r="Y43" i="7"/>
  <c r="Z43" i="7"/>
  <c r="AA43" i="7"/>
  <c r="AB43" i="7"/>
  <c r="AC43" i="7"/>
  <c r="AD43" i="7"/>
  <c r="AE43" i="7"/>
  <c r="AF43" i="7"/>
  <c r="AG43" i="7"/>
  <c r="AH43" i="7"/>
  <c r="AI43" i="7"/>
  <c r="AJ43" i="7"/>
  <c r="AK43" i="7"/>
  <c r="AL43" i="7"/>
  <c r="AM43" i="7"/>
  <c r="AN43" i="7"/>
  <c r="AO43" i="7"/>
  <c r="AP43" i="7"/>
  <c r="F44" i="7"/>
  <c r="G44" i="7"/>
  <c r="H44" i="7"/>
  <c r="I44" i="7"/>
  <c r="J44" i="7"/>
  <c r="K44" i="7"/>
  <c r="L44" i="7"/>
  <c r="M44" i="7"/>
  <c r="N44" i="7"/>
  <c r="O44" i="7"/>
  <c r="P44" i="7"/>
  <c r="Q44" i="7"/>
  <c r="R44" i="7"/>
  <c r="S44" i="7"/>
  <c r="T44" i="7"/>
  <c r="U44" i="7"/>
  <c r="V44" i="7"/>
  <c r="W44" i="7"/>
  <c r="X44" i="7"/>
  <c r="Y44" i="7"/>
  <c r="Z44" i="7"/>
  <c r="AA44" i="7"/>
  <c r="AB44" i="7"/>
  <c r="AC44" i="7"/>
  <c r="AD44" i="7"/>
  <c r="AE44" i="7"/>
  <c r="AF44" i="7"/>
  <c r="AG44" i="7"/>
  <c r="AH44" i="7"/>
  <c r="AI44" i="7"/>
  <c r="AJ44" i="7"/>
  <c r="AK44" i="7"/>
  <c r="AL44" i="7"/>
  <c r="AM44" i="7"/>
  <c r="AN44" i="7"/>
  <c r="AO44" i="7"/>
  <c r="AP44" i="7"/>
  <c r="F45" i="7"/>
  <c r="G45" i="7"/>
  <c r="H45" i="7"/>
  <c r="I45" i="7"/>
  <c r="J45" i="7"/>
  <c r="K45" i="7"/>
  <c r="L45" i="7"/>
  <c r="M45" i="7"/>
  <c r="N45" i="7"/>
  <c r="O45" i="7"/>
  <c r="P45" i="7"/>
  <c r="Q45" i="7"/>
  <c r="R45" i="7"/>
  <c r="S45" i="7"/>
  <c r="T45" i="7"/>
  <c r="U45" i="7"/>
  <c r="V45" i="7"/>
  <c r="W45" i="7"/>
  <c r="X45" i="7"/>
  <c r="Y45" i="7"/>
  <c r="Z45" i="7"/>
  <c r="AA45" i="7"/>
  <c r="AB45" i="7"/>
  <c r="AC45" i="7"/>
  <c r="AD45" i="7"/>
  <c r="AE45" i="7"/>
  <c r="AF45" i="7"/>
  <c r="AG45" i="7"/>
  <c r="AH45" i="7"/>
  <c r="AI45" i="7"/>
  <c r="AJ45" i="7"/>
  <c r="AK45" i="7"/>
  <c r="AL45" i="7"/>
  <c r="AM45" i="7"/>
  <c r="AN45" i="7"/>
  <c r="AO45" i="7"/>
  <c r="AP45" i="7"/>
  <c r="F46" i="7"/>
  <c r="G46" i="7"/>
  <c r="H46" i="7"/>
  <c r="I46" i="7"/>
  <c r="J46" i="7"/>
  <c r="K46" i="7"/>
  <c r="L46" i="7"/>
  <c r="M46" i="7"/>
  <c r="N46" i="7"/>
  <c r="O46" i="7"/>
  <c r="P46" i="7"/>
  <c r="Q46" i="7"/>
  <c r="R46" i="7"/>
  <c r="S46" i="7"/>
  <c r="T46" i="7"/>
  <c r="U46" i="7"/>
  <c r="V46" i="7"/>
  <c r="W46" i="7"/>
  <c r="X46" i="7"/>
  <c r="Y46" i="7"/>
  <c r="Z46" i="7"/>
  <c r="AA46" i="7"/>
  <c r="AB46" i="7"/>
  <c r="AC46" i="7"/>
  <c r="AD46" i="7"/>
  <c r="AE46" i="7"/>
  <c r="AF46" i="7"/>
  <c r="AG46" i="7"/>
  <c r="AH46" i="7"/>
  <c r="AI46" i="7"/>
  <c r="AJ46" i="7"/>
  <c r="AK46" i="7"/>
  <c r="AL46" i="7"/>
  <c r="AM46" i="7"/>
  <c r="AN46" i="7"/>
  <c r="AO46" i="7"/>
  <c r="AP46" i="7"/>
  <c r="E45" i="7"/>
  <c r="E44" i="7"/>
  <c r="E43" i="7"/>
  <c r="E46" i="7"/>
  <c r="D54" i="1"/>
  <c r="D55" i="1"/>
  <c r="D50" i="1"/>
  <c r="G7" i="9"/>
  <c r="G8" i="9"/>
  <c r="G9" i="9"/>
  <c r="G10" i="9"/>
  <c r="G11" i="9"/>
  <c r="G12" i="9"/>
  <c r="G13" i="9"/>
  <c r="G14" i="9"/>
  <c r="G15" i="9"/>
  <c r="G16" i="9"/>
  <c r="G17" i="9"/>
  <c r="G18" i="9"/>
  <c r="G19" i="9"/>
  <c r="G20" i="9"/>
  <c r="G21" i="9"/>
  <c r="G22" i="9"/>
  <c r="G23" i="9"/>
  <c r="G24" i="9"/>
  <c r="G25" i="9"/>
  <c r="G26" i="9"/>
  <c r="G27" i="9"/>
  <c r="G28" i="9"/>
  <c r="G29" i="9"/>
  <c r="G30" i="9"/>
  <c r="G31" i="9"/>
  <c r="G32" i="9"/>
  <c r="G33" i="9"/>
  <c r="G34" i="9"/>
  <c r="G35" i="9"/>
  <c r="G36" i="9"/>
  <c r="G37" i="9"/>
  <c r="G38" i="9"/>
  <c r="G39" i="9"/>
  <c r="G40" i="9"/>
  <c r="N7" i="9"/>
  <c r="O40" i="9" s="1"/>
  <c r="N8" i="9"/>
  <c r="O41" i="9" s="1"/>
  <c r="N9" i="9"/>
  <c r="O42" i="9" s="1"/>
  <c r="N10" i="9"/>
  <c r="O43" i="9" s="1"/>
  <c r="N11" i="9"/>
  <c r="O44" i="9" s="1"/>
  <c r="N12" i="9"/>
  <c r="O45" i="9" s="1"/>
  <c r="N13" i="9"/>
  <c r="O46" i="9" s="1"/>
  <c r="P5" i="9"/>
  <c r="R38" i="9" s="1"/>
  <c r="P6" i="9"/>
  <c r="R39" i="9" s="1"/>
  <c r="P7" i="9"/>
  <c r="R40" i="9" s="1"/>
  <c r="P8" i="9"/>
  <c r="R41" i="9" s="1"/>
  <c r="P9" i="9"/>
  <c r="R42" i="9" s="1"/>
  <c r="P10" i="9"/>
  <c r="R43" i="9" s="1"/>
  <c r="P11" i="9"/>
  <c r="R44" i="9" s="1"/>
  <c r="P12" i="9"/>
  <c r="R45" i="9" s="1"/>
  <c r="O7" i="9"/>
  <c r="Q40" i="9" s="1"/>
  <c r="O9" i="9"/>
  <c r="Q42" i="9" s="1"/>
  <c r="O10" i="9"/>
  <c r="Q43" i="9" s="1"/>
  <c r="O11" i="9"/>
  <c r="Q44" i="9" s="1"/>
  <c r="O12" i="9"/>
  <c r="Q45" i="9" s="1"/>
  <c r="O13" i="9"/>
  <c r="Q46" i="9" s="1"/>
  <c r="Q7" i="9"/>
  <c r="T40" i="9" s="1"/>
  <c r="Q8" i="9"/>
  <c r="T41" i="9" s="1"/>
  <c r="Q9" i="9"/>
  <c r="T42" i="9" s="1"/>
  <c r="Q10" i="9"/>
  <c r="T43" i="9" s="1"/>
  <c r="Q11" i="9"/>
  <c r="T44" i="9" s="1"/>
  <c r="Q12" i="9"/>
  <c r="T45" i="9" s="1"/>
  <c r="F27" i="7"/>
  <c r="G27" i="7"/>
  <c r="H27" i="7"/>
  <c r="I27" i="7"/>
  <c r="J27" i="7"/>
  <c r="K27" i="7"/>
  <c r="L27" i="7"/>
  <c r="M27" i="7"/>
  <c r="N27" i="7"/>
  <c r="O27" i="7"/>
  <c r="P27" i="7"/>
  <c r="Q27" i="7"/>
  <c r="R27" i="7"/>
  <c r="S27" i="7"/>
  <c r="T27" i="7"/>
  <c r="U27" i="7"/>
  <c r="V27" i="7"/>
  <c r="W27" i="7"/>
  <c r="X27" i="7"/>
  <c r="Y27" i="7"/>
  <c r="Z27" i="7"/>
  <c r="AA27" i="7"/>
  <c r="AB27" i="7"/>
  <c r="AC27" i="7"/>
  <c r="AD27" i="7"/>
  <c r="AE27" i="7"/>
  <c r="AF27" i="7"/>
  <c r="AG27" i="7"/>
  <c r="AH27" i="7"/>
  <c r="AI27" i="7"/>
  <c r="AJ27" i="7"/>
  <c r="AK27" i="7"/>
  <c r="AL27" i="7"/>
  <c r="AM27" i="7"/>
  <c r="AN27" i="7"/>
  <c r="AO27" i="7"/>
  <c r="AP27" i="7"/>
  <c r="F31" i="7"/>
  <c r="G31" i="7"/>
  <c r="H31" i="7"/>
  <c r="I31" i="7"/>
  <c r="J31" i="7"/>
  <c r="K31" i="7"/>
  <c r="L31" i="7"/>
  <c r="M31" i="7"/>
  <c r="N31" i="7"/>
  <c r="O31" i="7"/>
  <c r="P31" i="7"/>
  <c r="Q31" i="7"/>
  <c r="R31" i="7"/>
  <c r="S31" i="7"/>
  <c r="T31" i="7"/>
  <c r="U31" i="7"/>
  <c r="V31" i="7"/>
  <c r="W31" i="7"/>
  <c r="X31" i="7"/>
  <c r="Y31" i="7"/>
  <c r="Z31" i="7"/>
  <c r="AA31" i="7"/>
  <c r="AB31" i="7"/>
  <c r="AC31" i="7"/>
  <c r="AD31" i="7"/>
  <c r="AE31" i="7"/>
  <c r="AF31" i="7"/>
  <c r="AG31" i="7"/>
  <c r="AH31" i="7"/>
  <c r="AI31" i="7"/>
  <c r="AJ31" i="7"/>
  <c r="AK31" i="7"/>
  <c r="AL31" i="7"/>
  <c r="AM31" i="7"/>
  <c r="AN31" i="7"/>
  <c r="AO31" i="7"/>
  <c r="AP31" i="7"/>
  <c r="F35" i="7"/>
  <c r="G35" i="7"/>
  <c r="H35" i="7"/>
  <c r="I35" i="7"/>
  <c r="J35" i="7"/>
  <c r="K35" i="7"/>
  <c r="L35" i="7"/>
  <c r="M35" i="7"/>
  <c r="N35" i="7"/>
  <c r="O35" i="7"/>
  <c r="P35" i="7"/>
  <c r="Q35" i="7"/>
  <c r="R35" i="7"/>
  <c r="S35" i="7"/>
  <c r="T35" i="7"/>
  <c r="U35" i="7"/>
  <c r="V35" i="7"/>
  <c r="W35" i="7"/>
  <c r="X35" i="7"/>
  <c r="Y35" i="7"/>
  <c r="Z35" i="7"/>
  <c r="AA35" i="7"/>
  <c r="AB35" i="7"/>
  <c r="AC35" i="7"/>
  <c r="AD35" i="7"/>
  <c r="AE35" i="7"/>
  <c r="AF35" i="7"/>
  <c r="AG35" i="7"/>
  <c r="AH35" i="7"/>
  <c r="AI35" i="7"/>
  <c r="AJ35" i="7"/>
  <c r="AK35" i="7"/>
  <c r="AL35" i="7"/>
  <c r="AM35" i="7"/>
  <c r="AN35" i="7"/>
  <c r="AO35" i="7"/>
  <c r="AP35" i="7"/>
  <c r="F39" i="7"/>
  <c r="G39" i="7"/>
  <c r="H39" i="7"/>
  <c r="I39" i="7"/>
  <c r="J39" i="7"/>
  <c r="K39" i="7"/>
  <c r="L39" i="7"/>
  <c r="M39" i="7"/>
  <c r="N39" i="7"/>
  <c r="O39" i="7"/>
  <c r="P39" i="7"/>
  <c r="Q39" i="7"/>
  <c r="R39" i="7"/>
  <c r="S39" i="7"/>
  <c r="T39" i="7"/>
  <c r="U39" i="7"/>
  <c r="V39" i="7"/>
  <c r="W39" i="7"/>
  <c r="X39" i="7"/>
  <c r="Y39" i="7"/>
  <c r="Z39" i="7"/>
  <c r="AA39" i="7"/>
  <c r="AB39" i="7"/>
  <c r="AC39" i="7"/>
  <c r="AD39" i="7"/>
  <c r="AE39" i="7"/>
  <c r="AF39" i="7"/>
  <c r="AG39" i="7"/>
  <c r="AH39" i="7"/>
  <c r="AI39" i="7"/>
  <c r="AJ39" i="7"/>
  <c r="AK39" i="7"/>
  <c r="AL39" i="7"/>
  <c r="AM39" i="7"/>
  <c r="AN39" i="7"/>
  <c r="AO39" i="7"/>
  <c r="AP39" i="7"/>
  <c r="F28" i="7"/>
  <c r="G28" i="7"/>
  <c r="H28" i="7"/>
  <c r="I28" i="7"/>
  <c r="J28" i="7"/>
  <c r="K28" i="7"/>
  <c r="L28" i="7"/>
  <c r="M28" i="7"/>
  <c r="N28" i="7"/>
  <c r="O28" i="7"/>
  <c r="P28" i="7"/>
  <c r="Q28" i="7"/>
  <c r="R28" i="7"/>
  <c r="S28" i="7"/>
  <c r="T28" i="7"/>
  <c r="U28" i="7"/>
  <c r="V28" i="7"/>
  <c r="W28" i="7"/>
  <c r="X28" i="7"/>
  <c r="Y28" i="7"/>
  <c r="Z28" i="7"/>
  <c r="AA28" i="7"/>
  <c r="AB28" i="7"/>
  <c r="AC28" i="7"/>
  <c r="AD28" i="7"/>
  <c r="AE28" i="7"/>
  <c r="AF28" i="7"/>
  <c r="AG28" i="7"/>
  <c r="AH28" i="7"/>
  <c r="AI28" i="7"/>
  <c r="AJ28" i="7"/>
  <c r="AK28" i="7"/>
  <c r="AL28" i="7"/>
  <c r="AM28" i="7"/>
  <c r="AN28" i="7"/>
  <c r="AO28" i="7"/>
  <c r="AP28" i="7"/>
  <c r="F32" i="7"/>
  <c r="G32" i="7"/>
  <c r="H32" i="7"/>
  <c r="I32" i="7"/>
  <c r="J32" i="7"/>
  <c r="K32" i="7"/>
  <c r="L32" i="7"/>
  <c r="M32" i="7"/>
  <c r="N32" i="7"/>
  <c r="O32" i="7"/>
  <c r="P32" i="7"/>
  <c r="Q32" i="7"/>
  <c r="R32" i="7"/>
  <c r="S32" i="7"/>
  <c r="T32" i="7"/>
  <c r="U32" i="7"/>
  <c r="V32" i="7"/>
  <c r="W32" i="7"/>
  <c r="X32" i="7"/>
  <c r="Y32" i="7"/>
  <c r="Z32" i="7"/>
  <c r="AA32" i="7"/>
  <c r="AB32" i="7"/>
  <c r="AC32" i="7"/>
  <c r="AD32" i="7"/>
  <c r="AE32" i="7"/>
  <c r="AF32" i="7"/>
  <c r="AG32" i="7"/>
  <c r="AH32" i="7"/>
  <c r="AI32" i="7"/>
  <c r="AJ32" i="7"/>
  <c r="AK32" i="7"/>
  <c r="AL32" i="7"/>
  <c r="AM32" i="7"/>
  <c r="AN32" i="7"/>
  <c r="AO32" i="7"/>
  <c r="AP32" i="7"/>
  <c r="F36" i="7"/>
  <c r="G36" i="7"/>
  <c r="H36" i="7"/>
  <c r="I36" i="7"/>
  <c r="J36" i="7"/>
  <c r="K36" i="7"/>
  <c r="L36" i="7"/>
  <c r="M36" i="7"/>
  <c r="N36" i="7"/>
  <c r="O36" i="7"/>
  <c r="P36" i="7"/>
  <c r="Q36" i="7"/>
  <c r="R36" i="7"/>
  <c r="S36" i="7"/>
  <c r="T36" i="7"/>
  <c r="U36" i="7"/>
  <c r="V36" i="7"/>
  <c r="W36" i="7"/>
  <c r="X36" i="7"/>
  <c r="Y36" i="7"/>
  <c r="Z36" i="7"/>
  <c r="AA36" i="7"/>
  <c r="AB36" i="7"/>
  <c r="AC36" i="7"/>
  <c r="AD36" i="7"/>
  <c r="AE36" i="7"/>
  <c r="AF36" i="7"/>
  <c r="AG36" i="7"/>
  <c r="AH36" i="7"/>
  <c r="AI36" i="7"/>
  <c r="AJ36" i="7"/>
  <c r="AK36" i="7"/>
  <c r="AL36" i="7"/>
  <c r="AM36" i="7"/>
  <c r="AN36" i="7"/>
  <c r="AO36" i="7"/>
  <c r="AP36" i="7"/>
  <c r="F40" i="7"/>
  <c r="G40" i="7"/>
  <c r="H40" i="7"/>
  <c r="I40" i="7"/>
  <c r="J40" i="7"/>
  <c r="K40" i="7"/>
  <c r="L40" i="7"/>
  <c r="M40" i="7"/>
  <c r="N40" i="7"/>
  <c r="O40" i="7"/>
  <c r="P40" i="7"/>
  <c r="Q40" i="7"/>
  <c r="R40" i="7"/>
  <c r="S40" i="7"/>
  <c r="T40" i="7"/>
  <c r="U40" i="7"/>
  <c r="V40" i="7"/>
  <c r="W40" i="7"/>
  <c r="X40" i="7"/>
  <c r="Y40" i="7"/>
  <c r="Z40" i="7"/>
  <c r="AA40" i="7"/>
  <c r="AB40" i="7"/>
  <c r="AC40" i="7"/>
  <c r="AD40" i="7"/>
  <c r="AE40" i="7"/>
  <c r="AF40" i="7"/>
  <c r="AG40" i="7"/>
  <c r="AH40" i="7"/>
  <c r="AI40" i="7"/>
  <c r="AJ40" i="7"/>
  <c r="AK40" i="7"/>
  <c r="AL40" i="7"/>
  <c r="AM40" i="7"/>
  <c r="AN40" i="7"/>
  <c r="AO40" i="7"/>
  <c r="AP40" i="7"/>
  <c r="F29" i="7"/>
  <c r="G29" i="7"/>
  <c r="H29" i="7"/>
  <c r="I29" i="7"/>
  <c r="J29" i="7"/>
  <c r="K29" i="7"/>
  <c r="L29" i="7"/>
  <c r="M29" i="7"/>
  <c r="N29" i="7"/>
  <c r="O29" i="7"/>
  <c r="P29" i="7"/>
  <c r="Q29" i="7"/>
  <c r="R29" i="7"/>
  <c r="S29" i="7"/>
  <c r="T29" i="7"/>
  <c r="U29" i="7"/>
  <c r="V29" i="7"/>
  <c r="W29" i="7"/>
  <c r="X29" i="7"/>
  <c r="Y29" i="7"/>
  <c r="Z29" i="7"/>
  <c r="AA29" i="7"/>
  <c r="AB29" i="7"/>
  <c r="AC29" i="7"/>
  <c r="AD29" i="7"/>
  <c r="AE29" i="7"/>
  <c r="AF29" i="7"/>
  <c r="AG29" i="7"/>
  <c r="AH29" i="7"/>
  <c r="AI29" i="7"/>
  <c r="AJ29" i="7"/>
  <c r="AK29" i="7"/>
  <c r="AL29" i="7"/>
  <c r="AM29" i="7"/>
  <c r="AN29" i="7"/>
  <c r="AO29" i="7"/>
  <c r="AP29" i="7"/>
  <c r="F33" i="7"/>
  <c r="G33" i="7"/>
  <c r="H33" i="7"/>
  <c r="I33" i="7"/>
  <c r="J33" i="7"/>
  <c r="K33" i="7"/>
  <c r="L33" i="7"/>
  <c r="M33" i="7"/>
  <c r="N33" i="7"/>
  <c r="O33" i="7"/>
  <c r="P33" i="7"/>
  <c r="Q33" i="7"/>
  <c r="R33" i="7"/>
  <c r="S33" i="7"/>
  <c r="T33" i="7"/>
  <c r="U33" i="7"/>
  <c r="V33" i="7"/>
  <c r="W33" i="7"/>
  <c r="X33" i="7"/>
  <c r="Y33" i="7"/>
  <c r="Z33" i="7"/>
  <c r="AA33" i="7"/>
  <c r="AB33" i="7"/>
  <c r="AC33" i="7"/>
  <c r="AD33" i="7"/>
  <c r="AE33" i="7"/>
  <c r="AF33" i="7"/>
  <c r="AG33" i="7"/>
  <c r="AH33" i="7"/>
  <c r="AI33" i="7"/>
  <c r="AJ33" i="7"/>
  <c r="AK33" i="7"/>
  <c r="AL33" i="7"/>
  <c r="AM33" i="7"/>
  <c r="AN33" i="7"/>
  <c r="AO33" i="7"/>
  <c r="AP33" i="7"/>
  <c r="F37" i="7"/>
  <c r="G37" i="7"/>
  <c r="H37" i="7"/>
  <c r="I37" i="7"/>
  <c r="J37" i="7"/>
  <c r="K37" i="7"/>
  <c r="L37" i="7"/>
  <c r="M37" i="7"/>
  <c r="N37" i="7"/>
  <c r="O37" i="7"/>
  <c r="P37" i="7"/>
  <c r="Q37" i="7"/>
  <c r="R37" i="7"/>
  <c r="S37" i="7"/>
  <c r="T37" i="7"/>
  <c r="U37" i="7"/>
  <c r="V37" i="7"/>
  <c r="W37" i="7"/>
  <c r="X37" i="7"/>
  <c r="Y37" i="7"/>
  <c r="Z37" i="7"/>
  <c r="AA37" i="7"/>
  <c r="AB37" i="7"/>
  <c r="AC37" i="7"/>
  <c r="AD37" i="7"/>
  <c r="AE37" i="7"/>
  <c r="AF37" i="7"/>
  <c r="AG37" i="7"/>
  <c r="AH37" i="7"/>
  <c r="AI37" i="7"/>
  <c r="AJ37" i="7"/>
  <c r="AK37" i="7"/>
  <c r="AL37" i="7"/>
  <c r="AM37" i="7"/>
  <c r="AN37" i="7"/>
  <c r="AO37" i="7"/>
  <c r="AP37" i="7"/>
  <c r="F41" i="7"/>
  <c r="G41" i="7"/>
  <c r="H41" i="7"/>
  <c r="I41" i="7"/>
  <c r="J41" i="7"/>
  <c r="K41" i="7"/>
  <c r="L41" i="7"/>
  <c r="M41" i="7"/>
  <c r="N41" i="7"/>
  <c r="O41" i="7"/>
  <c r="P41" i="7"/>
  <c r="Q41" i="7"/>
  <c r="R41" i="7"/>
  <c r="S41" i="7"/>
  <c r="T41" i="7"/>
  <c r="U41" i="7"/>
  <c r="V41" i="7"/>
  <c r="W41" i="7"/>
  <c r="X41" i="7"/>
  <c r="Y41" i="7"/>
  <c r="Z41" i="7"/>
  <c r="AA41" i="7"/>
  <c r="AB41" i="7"/>
  <c r="AC41" i="7"/>
  <c r="AD41" i="7"/>
  <c r="AE41" i="7"/>
  <c r="AF41" i="7"/>
  <c r="AG41" i="7"/>
  <c r="AH41" i="7"/>
  <c r="AI41" i="7"/>
  <c r="AJ41" i="7"/>
  <c r="AK41" i="7"/>
  <c r="AL41" i="7"/>
  <c r="AM41" i="7"/>
  <c r="AN41" i="7"/>
  <c r="AO41" i="7"/>
  <c r="AP41" i="7"/>
  <c r="E31" i="7"/>
  <c r="E35" i="7"/>
  <c r="E39" i="7"/>
  <c r="E28" i="7"/>
  <c r="E32" i="7"/>
  <c r="E36" i="7"/>
  <c r="E40" i="7"/>
  <c r="E29" i="7"/>
  <c r="E33" i="7"/>
  <c r="E37" i="7"/>
  <c r="E41" i="7"/>
  <c r="E27" i="7"/>
  <c r="D48" i="3"/>
  <c r="E48" i="3"/>
  <c r="F48" i="3"/>
  <c r="G48" i="3"/>
  <c r="H48" i="3"/>
  <c r="I48" i="3"/>
  <c r="J48" i="3"/>
  <c r="K48" i="3"/>
  <c r="L48" i="3"/>
  <c r="M48" i="3"/>
  <c r="N48" i="3"/>
  <c r="O48" i="3"/>
  <c r="P48" i="3"/>
  <c r="Q48" i="3"/>
  <c r="R48" i="3"/>
  <c r="S48" i="3"/>
  <c r="T48" i="3"/>
  <c r="U48" i="3"/>
  <c r="V48" i="3"/>
  <c r="W48" i="3"/>
  <c r="X48" i="3"/>
  <c r="Y48" i="3"/>
  <c r="Z48" i="3"/>
  <c r="AA48" i="3"/>
  <c r="AB48" i="3"/>
  <c r="AC48" i="3"/>
  <c r="AD48" i="3"/>
  <c r="AE48" i="3"/>
  <c r="AF48" i="3"/>
  <c r="AG48" i="3"/>
  <c r="AH48" i="3"/>
  <c r="AI48" i="3"/>
  <c r="AJ48" i="3"/>
  <c r="AK48" i="3"/>
  <c r="AL48" i="3"/>
  <c r="AM48" i="3"/>
  <c r="AN48" i="3"/>
  <c r="D49" i="3"/>
  <c r="E49" i="3"/>
  <c r="F49" i="3"/>
  <c r="G49" i="3"/>
  <c r="H49" i="3"/>
  <c r="I49" i="3"/>
  <c r="J49" i="3"/>
  <c r="K49" i="3"/>
  <c r="L49" i="3"/>
  <c r="M49" i="3"/>
  <c r="N49" i="3"/>
  <c r="O49" i="3"/>
  <c r="P49" i="3"/>
  <c r="Q49" i="3"/>
  <c r="R49" i="3"/>
  <c r="S49" i="3"/>
  <c r="T49" i="3"/>
  <c r="U49" i="3"/>
  <c r="V49" i="3"/>
  <c r="W49" i="3"/>
  <c r="X49" i="3"/>
  <c r="Y49" i="3"/>
  <c r="Z49" i="3"/>
  <c r="AA49" i="3"/>
  <c r="AB49" i="3"/>
  <c r="AC49" i="3"/>
  <c r="AD49" i="3"/>
  <c r="AE49" i="3"/>
  <c r="AF49" i="3"/>
  <c r="AG49" i="3"/>
  <c r="AH49" i="3"/>
  <c r="AI49" i="3"/>
  <c r="AJ49" i="3"/>
  <c r="AK49" i="3"/>
  <c r="AL49" i="3"/>
  <c r="AM49" i="3"/>
  <c r="AN49" i="3"/>
  <c r="D50" i="3"/>
  <c r="E50" i="3"/>
  <c r="F50" i="3"/>
  <c r="G50" i="3"/>
  <c r="H50" i="3"/>
  <c r="I50" i="3"/>
  <c r="J50" i="3"/>
  <c r="K50" i="3"/>
  <c r="L50" i="3"/>
  <c r="M50" i="3"/>
  <c r="N50" i="3"/>
  <c r="O50" i="3"/>
  <c r="P50" i="3"/>
  <c r="Q50" i="3"/>
  <c r="R50" i="3"/>
  <c r="S50" i="3"/>
  <c r="T50" i="3"/>
  <c r="U50" i="3"/>
  <c r="V50" i="3"/>
  <c r="W50" i="3"/>
  <c r="X50" i="3"/>
  <c r="Y50" i="3"/>
  <c r="Z50" i="3"/>
  <c r="AA50" i="3"/>
  <c r="AB50" i="3"/>
  <c r="AC50" i="3"/>
  <c r="AD50" i="3"/>
  <c r="AE50" i="3"/>
  <c r="AF50" i="3"/>
  <c r="AG50" i="3"/>
  <c r="AH50" i="3"/>
  <c r="AI50" i="3"/>
  <c r="AJ50" i="3"/>
  <c r="AK50" i="3"/>
  <c r="AL50" i="3"/>
  <c r="AM50" i="3"/>
  <c r="AN50" i="3"/>
  <c r="C50" i="3"/>
  <c r="C49" i="3"/>
  <c r="C48" i="3"/>
  <c r="D30" i="3"/>
  <c r="E30" i="3"/>
  <c r="F30" i="3"/>
  <c r="G30" i="3"/>
  <c r="H30" i="3"/>
  <c r="I30" i="3"/>
  <c r="J30" i="3"/>
  <c r="K30" i="3"/>
  <c r="L30" i="3"/>
  <c r="M30" i="3"/>
  <c r="N30" i="3"/>
  <c r="O30" i="3"/>
  <c r="P30" i="3"/>
  <c r="Q30" i="3"/>
  <c r="R30" i="3"/>
  <c r="S30" i="3"/>
  <c r="T30" i="3"/>
  <c r="U30" i="3"/>
  <c r="V30" i="3"/>
  <c r="W30" i="3"/>
  <c r="X30" i="3"/>
  <c r="Y30" i="3"/>
  <c r="Z30" i="3"/>
  <c r="AA30" i="3"/>
  <c r="AB30" i="3"/>
  <c r="AC30" i="3"/>
  <c r="AD30" i="3"/>
  <c r="AE30" i="3"/>
  <c r="AF30" i="3"/>
  <c r="AG30" i="3"/>
  <c r="AH30" i="3"/>
  <c r="AI30" i="3"/>
  <c r="AJ30" i="3"/>
  <c r="AK30" i="3"/>
  <c r="AL30" i="3"/>
  <c r="AM30" i="3"/>
  <c r="AN30" i="3"/>
  <c r="D36" i="3"/>
  <c r="E36" i="3"/>
  <c r="F36" i="3"/>
  <c r="G36" i="3"/>
  <c r="H36" i="3"/>
  <c r="I36" i="3"/>
  <c r="J36" i="3"/>
  <c r="K36" i="3"/>
  <c r="L36" i="3"/>
  <c r="M36" i="3"/>
  <c r="N36" i="3"/>
  <c r="O36" i="3"/>
  <c r="P36" i="3"/>
  <c r="Q36" i="3"/>
  <c r="R36" i="3"/>
  <c r="S36" i="3"/>
  <c r="T36" i="3"/>
  <c r="U36" i="3"/>
  <c r="V36" i="3"/>
  <c r="W36" i="3"/>
  <c r="X36" i="3"/>
  <c r="Y36" i="3"/>
  <c r="Z36" i="3"/>
  <c r="AA36" i="3"/>
  <c r="AB36" i="3"/>
  <c r="AC36" i="3"/>
  <c r="AD36" i="3"/>
  <c r="AE36" i="3"/>
  <c r="AF36" i="3"/>
  <c r="AG36" i="3"/>
  <c r="AH36" i="3"/>
  <c r="AI36" i="3"/>
  <c r="AJ36" i="3"/>
  <c r="AK36" i="3"/>
  <c r="AL36" i="3"/>
  <c r="AM36" i="3"/>
  <c r="AN36" i="3"/>
  <c r="D42" i="3"/>
  <c r="E42" i="3"/>
  <c r="F42" i="3"/>
  <c r="G42" i="3"/>
  <c r="H42" i="3"/>
  <c r="I42" i="3"/>
  <c r="J42" i="3"/>
  <c r="K42" i="3"/>
  <c r="L42" i="3"/>
  <c r="M42" i="3"/>
  <c r="N42" i="3"/>
  <c r="O42" i="3"/>
  <c r="P42" i="3"/>
  <c r="Q42" i="3"/>
  <c r="R42" i="3"/>
  <c r="S42" i="3"/>
  <c r="T42" i="3"/>
  <c r="U42" i="3"/>
  <c r="V42" i="3"/>
  <c r="W42" i="3"/>
  <c r="X42" i="3"/>
  <c r="Y42" i="3"/>
  <c r="Z42" i="3"/>
  <c r="AA42" i="3"/>
  <c r="AB42" i="3"/>
  <c r="AC42" i="3"/>
  <c r="AD42" i="3"/>
  <c r="AE42" i="3"/>
  <c r="AF42" i="3"/>
  <c r="AG42" i="3"/>
  <c r="AH42" i="3"/>
  <c r="AI42" i="3"/>
  <c r="AJ42" i="3"/>
  <c r="AK42" i="3"/>
  <c r="AL42" i="3"/>
  <c r="AM42" i="3"/>
  <c r="AN42" i="3"/>
  <c r="D31" i="3"/>
  <c r="E31" i="3"/>
  <c r="F31" i="3"/>
  <c r="G31" i="3"/>
  <c r="H31" i="3"/>
  <c r="I31" i="3"/>
  <c r="J31" i="3"/>
  <c r="K31" i="3"/>
  <c r="L31" i="3"/>
  <c r="M31" i="3"/>
  <c r="N31" i="3"/>
  <c r="O31" i="3"/>
  <c r="P31" i="3"/>
  <c r="Q31" i="3"/>
  <c r="R31" i="3"/>
  <c r="S31" i="3"/>
  <c r="T31" i="3"/>
  <c r="U31" i="3"/>
  <c r="V31" i="3"/>
  <c r="W31" i="3"/>
  <c r="X31" i="3"/>
  <c r="Y31" i="3"/>
  <c r="Z31" i="3"/>
  <c r="AA31" i="3"/>
  <c r="AB31" i="3"/>
  <c r="AC31" i="3"/>
  <c r="AD31" i="3"/>
  <c r="AE31" i="3"/>
  <c r="AF31" i="3"/>
  <c r="AG31" i="3"/>
  <c r="AH31" i="3"/>
  <c r="AI31" i="3"/>
  <c r="AJ31" i="3"/>
  <c r="AK31" i="3"/>
  <c r="AL31" i="3"/>
  <c r="AM31" i="3"/>
  <c r="AN31" i="3"/>
  <c r="D37" i="3"/>
  <c r="E37" i="3"/>
  <c r="F37" i="3"/>
  <c r="G37" i="3"/>
  <c r="H37" i="3"/>
  <c r="I37" i="3"/>
  <c r="J37" i="3"/>
  <c r="K37" i="3"/>
  <c r="L37" i="3"/>
  <c r="M37" i="3"/>
  <c r="N37" i="3"/>
  <c r="O37" i="3"/>
  <c r="P37" i="3"/>
  <c r="Q37" i="3"/>
  <c r="R37" i="3"/>
  <c r="S37" i="3"/>
  <c r="T37" i="3"/>
  <c r="U37" i="3"/>
  <c r="V37" i="3"/>
  <c r="W37" i="3"/>
  <c r="X37" i="3"/>
  <c r="Y37" i="3"/>
  <c r="Z37" i="3"/>
  <c r="AA37" i="3"/>
  <c r="AB37" i="3"/>
  <c r="AC37" i="3"/>
  <c r="AD37" i="3"/>
  <c r="AE37" i="3"/>
  <c r="AF37" i="3"/>
  <c r="AG37" i="3"/>
  <c r="AH37" i="3"/>
  <c r="AI37" i="3"/>
  <c r="AJ37" i="3"/>
  <c r="AK37" i="3"/>
  <c r="AL37" i="3"/>
  <c r="AM37" i="3"/>
  <c r="AN37" i="3"/>
  <c r="D43" i="3"/>
  <c r="E43" i="3"/>
  <c r="F43" i="3"/>
  <c r="G43" i="3"/>
  <c r="H43" i="3"/>
  <c r="I43" i="3"/>
  <c r="J43" i="3"/>
  <c r="K43" i="3"/>
  <c r="L43" i="3"/>
  <c r="M43" i="3"/>
  <c r="N43" i="3"/>
  <c r="O43" i="3"/>
  <c r="P43" i="3"/>
  <c r="Q43" i="3"/>
  <c r="R43" i="3"/>
  <c r="S43" i="3"/>
  <c r="T43" i="3"/>
  <c r="U43" i="3"/>
  <c r="V43" i="3"/>
  <c r="W43" i="3"/>
  <c r="X43" i="3"/>
  <c r="Y43" i="3"/>
  <c r="Z43" i="3"/>
  <c r="AA43" i="3"/>
  <c r="AB43" i="3"/>
  <c r="AC43" i="3"/>
  <c r="AD43" i="3"/>
  <c r="AE43" i="3"/>
  <c r="AF43" i="3"/>
  <c r="AG43" i="3"/>
  <c r="AH43" i="3"/>
  <c r="AI43" i="3"/>
  <c r="AJ43" i="3"/>
  <c r="AK43" i="3"/>
  <c r="AL43" i="3"/>
  <c r="AM43" i="3"/>
  <c r="AN43" i="3"/>
  <c r="D32" i="3"/>
  <c r="E32" i="3"/>
  <c r="F32" i="3"/>
  <c r="G32" i="3"/>
  <c r="H32" i="3"/>
  <c r="I32" i="3"/>
  <c r="J32" i="3"/>
  <c r="K32" i="3"/>
  <c r="L32" i="3"/>
  <c r="M32" i="3"/>
  <c r="N32" i="3"/>
  <c r="O32" i="3"/>
  <c r="P32" i="3"/>
  <c r="Q32" i="3"/>
  <c r="R32" i="3"/>
  <c r="S32" i="3"/>
  <c r="T32" i="3"/>
  <c r="U32" i="3"/>
  <c r="V32" i="3"/>
  <c r="W32" i="3"/>
  <c r="X32" i="3"/>
  <c r="Y32" i="3"/>
  <c r="Z32" i="3"/>
  <c r="AA32" i="3"/>
  <c r="AB32" i="3"/>
  <c r="AC32" i="3"/>
  <c r="AD32" i="3"/>
  <c r="AE32" i="3"/>
  <c r="AF32" i="3"/>
  <c r="AG32" i="3"/>
  <c r="AH32" i="3"/>
  <c r="AI32" i="3"/>
  <c r="AJ32" i="3"/>
  <c r="AK32" i="3"/>
  <c r="AL32" i="3"/>
  <c r="AM32" i="3"/>
  <c r="AN32" i="3"/>
  <c r="D38" i="3"/>
  <c r="E38" i="3"/>
  <c r="F38" i="3"/>
  <c r="G38" i="3"/>
  <c r="H38" i="3"/>
  <c r="I38" i="3"/>
  <c r="J38" i="3"/>
  <c r="K38" i="3"/>
  <c r="L38" i="3"/>
  <c r="M38" i="3"/>
  <c r="N38" i="3"/>
  <c r="O38" i="3"/>
  <c r="P38" i="3"/>
  <c r="Q38" i="3"/>
  <c r="R38" i="3"/>
  <c r="S38" i="3"/>
  <c r="T38" i="3"/>
  <c r="U38" i="3"/>
  <c r="V38" i="3"/>
  <c r="W38" i="3"/>
  <c r="X38" i="3"/>
  <c r="Y38" i="3"/>
  <c r="Z38" i="3"/>
  <c r="AA38" i="3"/>
  <c r="AB38" i="3"/>
  <c r="AC38" i="3"/>
  <c r="AD38" i="3"/>
  <c r="AE38" i="3"/>
  <c r="AF38" i="3"/>
  <c r="AG38" i="3"/>
  <c r="AH38" i="3"/>
  <c r="AI38" i="3"/>
  <c r="AJ38" i="3"/>
  <c r="AK38" i="3"/>
  <c r="AL38" i="3"/>
  <c r="AM38" i="3"/>
  <c r="AN38" i="3"/>
  <c r="D44" i="3"/>
  <c r="E44" i="3"/>
  <c r="F44" i="3"/>
  <c r="G44" i="3"/>
  <c r="H44" i="3"/>
  <c r="I44" i="3"/>
  <c r="J44" i="3"/>
  <c r="K44" i="3"/>
  <c r="L44" i="3"/>
  <c r="M44" i="3"/>
  <c r="N44" i="3"/>
  <c r="O44" i="3"/>
  <c r="P44" i="3"/>
  <c r="Q44" i="3"/>
  <c r="R44" i="3"/>
  <c r="S44" i="3"/>
  <c r="T44" i="3"/>
  <c r="U44" i="3"/>
  <c r="V44" i="3"/>
  <c r="W44" i="3"/>
  <c r="X44" i="3"/>
  <c r="Y44" i="3"/>
  <c r="Z44" i="3"/>
  <c r="AA44" i="3"/>
  <c r="AB44" i="3"/>
  <c r="AC44" i="3"/>
  <c r="AD44" i="3"/>
  <c r="AE44" i="3"/>
  <c r="AF44" i="3"/>
  <c r="AG44" i="3"/>
  <c r="AH44" i="3"/>
  <c r="AI44" i="3"/>
  <c r="AJ44" i="3"/>
  <c r="AK44" i="3"/>
  <c r="AL44" i="3"/>
  <c r="AM44" i="3"/>
  <c r="AN44" i="3"/>
  <c r="D33" i="3"/>
  <c r="E33" i="3"/>
  <c r="F33" i="3"/>
  <c r="G33" i="3"/>
  <c r="H33" i="3"/>
  <c r="I33" i="3"/>
  <c r="J33" i="3"/>
  <c r="K33" i="3"/>
  <c r="L33" i="3"/>
  <c r="M33" i="3"/>
  <c r="N33" i="3"/>
  <c r="O33" i="3"/>
  <c r="P33" i="3"/>
  <c r="Q33" i="3"/>
  <c r="R33" i="3"/>
  <c r="S33" i="3"/>
  <c r="T33" i="3"/>
  <c r="U33" i="3"/>
  <c r="V33" i="3"/>
  <c r="W33" i="3"/>
  <c r="X33" i="3"/>
  <c r="Y33" i="3"/>
  <c r="Z33" i="3"/>
  <c r="AA33" i="3"/>
  <c r="AB33" i="3"/>
  <c r="AC33" i="3"/>
  <c r="AD33" i="3"/>
  <c r="AE33" i="3"/>
  <c r="AF33" i="3"/>
  <c r="AG33" i="3"/>
  <c r="AH33" i="3"/>
  <c r="AI33" i="3"/>
  <c r="AJ33" i="3"/>
  <c r="AK33" i="3"/>
  <c r="AL33" i="3"/>
  <c r="AM33" i="3"/>
  <c r="AN33" i="3"/>
  <c r="D39" i="3"/>
  <c r="E39" i="3"/>
  <c r="F39" i="3"/>
  <c r="G39" i="3"/>
  <c r="H39" i="3"/>
  <c r="I39" i="3"/>
  <c r="J39" i="3"/>
  <c r="K39" i="3"/>
  <c r="L39" i="3"/>
  <c r="M39" i="3"/>
  <c r="N39" i="3"/>
  <c r="O39" i="3"/>
  <c r="P39" i="3"/>
  <c r="Q39" i="3"/>
  <c r="R39" i="3"/>
  <c r="S39" i="3"/>
  <c r="T39" i="3"/>
  <c r="U39" i="3"/>
  <c r="V39" i="3"/>
  <c r="W39" i="3"/>
  <c r="X39" i="3"/>
  <c r="Y39" i="3"/>
  <c r="Z39" i="3"/>
  <c r="AA39" i="3"/>
  <c r="AB39" i="3"/>
  <c r="AC39" i="3"/>
  <c r="AD39" i="3"/>
  <c r="AE39" i="3"/>
  <c r="AF39" i="3"/>
  <c r="AG39" i="3"/>
  <c r="AH39" i="3"/>
  <c r="AI39" i="3"/>
  <c r="AJ39" i="3"/>
  <c r="AK39" i="3"/>
  <c r="AL39" i="3"/>
  <c r="AM39" i="3"/>
  <c r="AN39" i="3"/>
  <c r="D45" i="3"/>
  <c r="E45" i="3"/>
  <c r="F45" i="3"/>
  <c r="G45" i="3"/>
  <c r="H45" i="3"/>
  <c r="I45" i="3"/>
  <c r="J45" i="3"/>
  <c r="K45" i="3"/>
  <c r="L45" i="3"/>
  <c r="M45" i="3"/>
  <c r="N45" i="3"/>
  <c r="O45" i="3"/>
  <c r="P45" i="3"/>
  <c r="Q45" i="3"/>
  <c r="R45" i="3"/>
  <c r="S45" i="3"/>
  <c r="T45" i="3"/>
  <c r="U45" i="3"/>
  <c r="V45" i="3"/>
  <c r="W45" i="3"/>
  <c r="X45" i="3"/>
  <c r="Y45" i="3"/>
  <c r="Z45" i="3"/>
  <c r="AA45" i="3"/>
  <c r="AB45" i="3"/>
  <c r="AC45" i="3"/>
  <c r="AD45" i="3"/>
  <c r="AE45" i="3"/>
  <c r="AF45" i="3"/>
  <c r="AG45" i="3"/>
  <c r="AH45" i="3"/>
  <c r="AI45" i="3"/>
  <c r="AJ45" i="3"/>
  <c r="AK45" i="3"/>
  <c r="AL45" i="3"/>
  <c r="AM45" i="3"/>
  <c r="AN45" i="3"/>
  <c r="D34" i="3"/>
  <c r="E34" i="3"/>
  <c r="F34" i="3"/>
  <c r="G34" i="3"/>
  <c r="H34" i="3"/>
  <c r="I34" i="3"/>
  <c r="J34" i="3"/>
  <c r="K34" i="3"/>
  <c r="L34" i="3"/>
  <c r="M34" i="3"/>
  <c r="N34" i="3"/>
  <c r="O34" i="3"/>
  <c r="P34" i="3"/>
  <c r="Q34" i="3"/>
  <c r="R34" i="3"/>
  <c r="S34" i="3"/>
  <c r="T34" i="3"/>
  <c r="U34" i="3"/>
  <c r="V34" i="3"/>
  <c r="W34" i="3"/>
  <c r="X34" i="3"/>
  <c r="Y34" i="3"/>
  <c r="Z34" i="3"/>
  <c r="AA34" i="3"/>
  <c r="AB34" i="3"/>
  <c r="AC34" i="3"/>
  <c r="AD34" i="3"/>
  <c r="AE34" i="3"/>
  <c r="AF34" i="3"/>
  <c r="AG34" i="3"/>
  <c r="AH34" i="3"/>
  <c r="AI34" i="3"/>
  <c r="AJ34" i="3"/>
  <c r="AK34" i="3"/>
  <c r="AL34" i="3"/>
  <c r="AM34" i="3"/>
  <c r="AN34" i="3"/>
  <c r="D40" i="3"/>
  <c r="E40" i="3"/>
  <c r="F40" i="3"/>
  <c r="G40" i="3"/>
  <c r="H40" i="3"/>
  <c r="I40" i="3"/>
  <c r="J40" i="3"/>
  <c r="K40" i="3"/>
  <c r="L40" i="3"/>
  <c r="M40" i="3"/>
  <c r="N40" i="3"/>
  <c r="O40" i="3"/>
  <c r="P40" i="3"/>
  <c r="Q40" i="3"/>
  <c r="R40" i="3"/>
  <c r="S40" i="3"/>
  <c r="T40" i="3"/>
  <c r="U40" i="3"/>
  <c r="V40" i="3"/>
  <c r="W40" i="3"/>
  <c r="X40" i="3"/>
  <c r="Y40" i="3"/>
  <c r="Z40" i="3"/>
  <c r="AA40" i="3"/>
  <c r="AB40" i="3"/>
  <c r="AC40" i="3"/>
  <c r="AD40" i="3"/>
  <c r="AE40" i="3"/>
  <c r="AF40" i="3"/>
  <c r="AG40" i="3"/>
  <c r="AH40" i="3"/>
  <c r="AI40" i="3"/>
  <c r="AJ40" i="3"/>
  <c r="AK40" i="3"/>
  <c r="AL40" i="3"/>
  <c r="AM40" i="3"/>
  <c r="AN40" i="3"/>
  <c r="D46" i="3"/>
  <c r="E46" i="3"/>
  <c r="F46" i="3"/>
  <c r="G46" i="3"/>
  <c r="H46" i="3"/>
  <c r="I46" i="3"/>
  <c r="J46" i="3"/>
  <c r="K46" i="3"/>
  <c r="L46" i="3"/>
  <c r="M46" i="3"/>
  <c r="N46" i="3"/>
  <c r="O46" i="3"/>
  <c r="P46" i="3"/>
  <c r="Q46" i="3"/>
  <c r="R46" i="3"/>
  <c r="S46" i="3"/>
  <c r="T46" i="3"/>
  <c r="U46" i="3"/>
  <c r="V46" i="3"/>
  <c r="W46" i="3"/>
  <c r="X46" i="3"/>
  <c r="Y46" i="3"/>
  <c r="Z46" i="3"/>
  <c r="AA46" i="3"/>
  <c r="AB46" i="3"/>
  <c r="AC46" i="3"/>
  <c r="AD46" i="3"/>
  <c r="AE46" i="3"/>
  <c r="AF46" i="3"/>
  <c r="AG46" i="3"/>
  <c r="AH46" i="3"/>
  <c r="AI46" i="3"/>
  <c r="AJ46" i="3"/>
  <c r="AK46" i="3"/>
  <c r="AL46" i="3"/>
  <c r="AM46" i="3"/>
  <c r="AN46" i="3"/>
  <c r="C36" i="3"/>
  <c r="C42" i="3"/>
  <c r="C31" i="3"/>
  <c r="C37" i="3"/>
  <c r="C43" i="3"/>
  <c r="C32" i="3"/>
  <c r="C38" i="3"/>
  <c r="C44" i="3"/>
  <c r="C33" i="3"/>
  <c r="C39" i="3"/>
  <c r="C45" i="3"/>
  <c r="C34" i="3"/>
  <c r="C40" i="3"/>
  <c r="C46" i="3"/>
  <c r="C30" i="3"/>
  <c r="D74" i="1"/>
  <c r="D73" i="1"/>
  <c r="D72" i="1"/>
  <c r="E43" i="1"/>
  <c r="F43" i="1"/>
  <c r="G43" i="1"/>
  <c r="H43" i="1"/>
  <c r="I43" i="1"/>
  <c r="J43" i="1"/>
  <c r="K43" i="1"/>
  <c r="L43" i="1"/>
  <c r="M43" i="1"/>
  <c r="N43" i="1"/>
  <c r="O43" i="1"/>
  <c r="P43" i="1"/>
  <c r="Q43" i="1"/>
  <c r="R43" i="1"/>
  <c r="S43" i="1"/>
  <c r="T43" i="1"/>
  <c r="U43" i="1"/>
  <c r="V43" i="1"/>
  <c r="W43" i="1"/>
  <c r="X43" i="1"/>
  <c r="Y43" i="1"/>
  <c r="Z43" i="1"/>
  <c r="AA43" i="1"/>
  <c r="AB43" i="1"/>
  <c r="AC43" i="1"/>
  <c r="AD43" i="1"/>
  <c r="AE43" i="1"/>
  <c r="AF43" i="1"/>
  <c r="AG43" i="1"/>
  <c r="AH43" i="1"/>
  <c r="AI43" i="1"/>
  <c r="AJ43" i="1"/>
  <c r="AK43" i="1"/>
  <c r="AL43" i="1"/>
  <c r="AM43" i="1"/>
  <c r="AN43" i="1"/>
  <c r="AO43" i="1"/>
  <c r="E44" i="1"/>
  <c r="F44" i="1"/>
  <c r="G44" i="1"/>
  <c r="H44" i="1"/>
  <c r="I44" i="1"/>
  <c r="J44" i="1"/>
  <c r="K44" i="1"/>
  <c r="L44" i="1"/>
  <c r="M44" i="1"/>
  <c r="N44" i="1"/>
  <c r="O44" i="1"/>
  <c r="P44" i="1"/>
  <c r="Q44" i="1"/>
  <c r="R44" i="1"/>
  <c r="S44" i="1"/>
  <c r="T44" i="1"/>
  <c r="U44" i="1"/>
  <c r="V44" i="1"/>
  <c r="W44" i="1"/>
  <c r="X44" i="1"/>
  <c r="Y44" i="1"/>
  <c r="Z44" i="1"/>
  <c r="AA44" i="1"/>
  <c r="AB44" i="1"/>
  <c r="AC44" i="1"/>
  <c r="AD44" i="1"/>
  <c r="AE44" i="1"/>
  <c r="AF44" i="1"/>
  <c r="AG44" i="1"/>
  <c r="AH44" i="1"/>
  <c r="AI44" i="1"/>
  <c r="AJ44" i="1"/>
  <c r="AK44" i="1"/>
  <c r="AL44" i="1"/>
  <c r="AM44" i="1"/>
  <c r="AN44" i="1"/>
  <c r="AO44" i="1"/>
  <c r="E45" i="1"/>
  <c r="F45" i="1"/>
  <c r="G45" i="1"/>
  <c r="H45" i="1"/>
  <c r="I45" i="1"/>
  <c r="J45" i="1"/>
  <c r="K45" i="1"/>
  <c r="L45" i="1"/>
  <c r="M45" i="1"/>
  <c r="N45" i="1"/>
  <c r="O45" i="1"/>
  <c r="P45" i="1"/>
  <c r="Q45" i="1"/>
  <c r="R45" i="1"/>
  <c r="S45" i="1"/>
  <c r="T45" i="1"/>
  <c r="U45" i="1"/>
  <c r="V45" i="1"/>
  <c r="W45" i="1"/>
  <c r="X45" i="1"/>
  <c r="Y45" i="1"/>
  <c r="Z45" i="1"/>
  <c r="AA45" i="1"/>
  <c r="AB45" i="1"/>
  <c r="AC45" i="1"/>
  <c r="AD45" i="1"/>
  <c r="AE45" i="1"/>
  <c r="AF45" i="1"/>
  <c r="AG45" i="1"/>
  <c r="AH45" i="1"/>
  <c r="AI45" i="1"/>
  <c r="AJ45" i="1"/>
  <c r="AK45" i="1"/>
  <c r="AL45" i="1"/>
  <c r="AM45" i="1"/>
  <c r="AN45" i="1"/>
  <c r="AO45" i="1"/>
  <c r="E46" i="1"/>
  <c r="F46" i="1"/>
  <c r="G46" i="1"/>
  <c r="H46" i="1"/>
  <c r="I46" i="1"/>
  <c r="J46" i="1"/>
  <c r="K46" i="1"/>
  <c r="L46" i="1"/>
  <c r="M46" i="1"/>
  <c r="N46" i="1"/>
  <c r="O46" i="1"/>
  <c r="P46" i="1"/>
  <c r="Q46" i="1"/>
  <c r="R46" i="1"/>
  <c r="S46" i="1"/>
  <c r="T46" i="1"/>
  <c r="U46" i="1"/>
  <c r="V46" i="1"/>
  <c r="W46" i="1"/>
  <c r="X46" i="1"/>
  <c r="Y46" i="1"/>
  <c r="Z46" i="1"/>
  <c r="AA46" i="1"/>
  <c r="AB46" i="1"/>
  <c r="AC46" i="1"/>
  <c r="AD46" i="1"/>
  <c r="AE46" i="1"/>
  <c r="AF46" i="1"/>
  <c r="AG46" i="1"/>
  <c r="AH46" i="1"/>
  <c r="AI46" i="1"/>
  <c r="AJ46" i="1"/>
  <c r="AK46" i="1"/>
  <c r="AL46" i="1"/>
  <c r="AM46" i="1"/>
  <c r="AN46" i="1"/>
  <c r="AO46" i="1"/>
  <c r="D46" i="1"/>
  <c r="D45" i="1"/>
  <c r="D44" i="1"/>
  <c r="V53" i="1"/>
  <c r="AL47" i="1"/>
  <c r="AM47" i="1"/>
  <c r="AN47" i="1"/>
  <c r="AO47" i="1"/>
  <c r="AL53" i="1"/>
  <c r="AM53" i="1"/>
  <c r="AN53" i="1"/>
  <c r="AO53" i="1"/>
  <c r="AL59" i="1"/>
  <c r="AM59" i="1"/>
  <c r="AN59" i="1"/>
  <c r="AO59" i="1"/>
  <c r="AL65" i="1"/>
  <c r="AM65" i="1"/>
  <c r="AN65" i="1"/>
  <c r="AO65" i="1"/>
  <c r="AL48" i="1"/>
  <c r="AM48" i="1"/>
  <c r="AN48" i="1"/>
  <c r="AO48" i="1"/>
  <c r="AL54" i="1"/>
  <c r="AM54" i="1"/>
  <c r="AN54" i="1"/>
  <c r="AO54" i="1"/>
  <c r="AL60" i="1"/>
  <c r="AM60" i="1"/>
  <c r="AN60" i="1"/>
  <c r="AO60" i="1"/>
  <c r="AL66" i="1"/>
  <c r="AM66" i="1"/>
  <c r="AN66" i="1"/>
  <c r="AO66" i="1"/>
  <c r="AL49" i="1"/>
  <c r="AM49" i="1"/>
  <c r="AN49" i="1"/>
  <c r="AO49" i="1"/>
  <c r="AL55" i="1"/>
  <c r="AM55" i="1"/>
  <c r="AN55" i="1"/>
  <c r="AO55" i="1"/>
  <c r="AL61" i="1"/>
  <c r="AM61" i="1"/>
  <c r="AN61" i="1"/>
  <c r="AO61" i="1"/>
  <c r="AL67" i="1"/>
  <c r="AM67" i="1"/>
  <c r="AN67" i="1"/>
  <c r="AO67" i="1"/>
  <c r="AL50" i="1"/>
  <c r="AM50" i="1"/>
  <c r="AN50" i="1"/>
  <c r="AO50" i="1"/>
  <c r="AL56" i="1"/>
  <c r="AM56" i="1"/>
  <c r="AN56" i="1"/>
  <c r="AO56" i="1"/>
  <c r="AL62" i="1"/>
  <c r="AM62" i="1"/>
  <c r="AN62" i="1"/>
  <c r="AO62" i="1"/>
  <c r="AL68" i="1"/>
  <c r="AM68" i="1"/>
  <c r="AN68" i="1"/>
  <c r="AO68" i="1"/>
  <c r="AL51" i="1"/>
  <c r="AM51" i="1"/>
  <c r="AN51" i="1"/>
  <c r="AO51" i="1"/>
  <c r="AL57" i="1"/>
  <c r="AM57" i="1"/>
  <c r="AN57" i="1"/>
  <c r="AO57" i="1"/>
  <c r="AL63" i="1"/>
  <c r="AM63" i="1"/>
  <c r="AN63" i="1"/>
  <c r="AO63" i="1"/>
  <c r="AL69" i="1"/>
  <c r="AM69" i="1"/>
  <c r="AN69" i="1"/>
  <c r="AO69" i="1"/>
  <c r="E47" i="1"/>
  <c r="F47" i="1"/>
  <c r="G47" i="1"/>
  <c r="H47" i="1"/>
  <c r="I47" i="1"/>
  <c r="J47" i="1"/>
  <c r="K47" i="1"/>
  <c r="M47" i="1"/>
  <c r="N47" i="1"/>
  <c r="O47" i="1"/>
  <c r="P47" i="1"/>
  <c r="Q47" i="1"/>
  <c r="R47" i="1"/>
  <c r="S47" i="1"/>
  <c r="T47" i="1"/>
  <c r="U47" i="1"/>
  <c r="V47" i="1"/>
  <c r="W47" i="1"/>
  <c r="X47" i="1"/>
  <c r="Y47" i="1"/>
  <c r="Z47" i="1"/>
  <c r="AA47" i="1"/>
  <c r="AB47" i="1"/>
  <c r="AE47" i="1"/>
  <c r="AF47" i="1"/>
  <c r="AG47" i="1"/>
  <c r="AH47" i="1"/>
  <c r="AI47" i="1"/>
  <c r="AJ47" i="1"/>
  <c r="AK47" i="1"/>
  <c r="E53" i="1"/>
  <c r="F53" i="1"/>
  <c r="G53" i="1"/>
  <c r="H53" i="1"/>
  <c r="I53" i="1"/>
  <c r="J53" i="1"/>
  <c r="K53" i="1"/>
  <c r="L53" i="1"/>
  <c r="M53" i="1"/>
  <c r="N53" i="1"/>
  <c r="O53" i="1"/>
  <c r="P53" i="1"/>
  <c r="Q53" i="1"/>
  <c r="R53" i="1"/>
  <c r="S53" i="1"/>
  <c r="T53" i="1"/>
  <c r="U53" i="1"/>
  <c r="W53" i="1"/>
  <c r="X53" i="1"/>
  <c r="Y53" i="1"/>
  <c r="Z53" i="1"/>
  <c r="AA53" i="1"/>
  <c r="AB53" i="1"/>
  <c r="AC53" i="1"/>
  <c r="AD53" i="1"/>
  <c r="AE53" i="1"/>
  <c r="AF53" i="1"/>
  <c r="AG53" i="1"/>
  <c r="AH53" i="1"/>
  <c r="AI53" i="1"/>
  <c r="AJ53" i="1"/>
  <c r="AK53" i="1"/>
  <c r="E59" i="1"/>
  <c r="F59" i="1"/>
  <c r="G59" i="1"/>
  <c r="H59" i="1"/>
  <c r="I59" i="1"/>
  <c r="J59" i="1"/>
  <c r="K59" i="1"/>
  <c r="L59" i="1"/>
  <c r="M59" i="1"/>
  <c r="N59" i="1"/>
  <c r="O59" i="1"/>
  <c r="P59" i="1"/>
  <c r="Q59" i="1"/>
  <c r="R59" i="1"/>
  <c r="S59" i="1"/>
  <c r="T59" i="1"/>
  <c r="U59" i="1"/>
  <c r="V59" i="1"/>
  <c r="W59" i="1"/>
  <c r="X59" i="1"/>
  <c r="Y59" i="1"/>
  <c r="Z59" i="1"/>
  <c r="AA59" i="1"/>
  <c r="AB59" i="1"/>
  <c r="AC59" i="1"/>
  <c r="AD59" i="1"/>
  <c r="AE59" i="1"/>
  <c r="AF59" i="1"/>
  <c r="AG59" i="1"/>
  <c r="AH59" i="1"/>
  <c r="AI59" i="1"/>
  <c r="AJ59" i="1"/>
  <c r="AK59" i="1"/>
  <c r="E65" i="1"/>
  <c r="F65" i="1"/>
  <c r="G65" i="1"/>
  <c r="H65" i="1"/>
  <c r="I65" i="1"/>
  <c r="J65" i="1"/>
  <c r="K65" i="1"/>
  <c r="L65" i="1"/>
  <c r="M65" i="1"/>
  <c r="N65" i="1"/>
  <c r="O65" i="1"/>
  <c r="P65" i="1"/>
  <c r="Q65" i="1"/>
  <c r="R65" i="1"/>
  <c r="S65" i="1"/>
  <c r="T65" i="1"/>
  <c r="U65" i="1"/>
  <c r="V65" i="1"/>
  <c r="W65" i="1"/>
  <c r="X65" i="1"/>
  <c r="Y65" i="1"/>
  <c r="Z65" i="1"/>
  <c r="AA65" i="1"/>
  <c r="AB65" i="1"/>
  <c r="AC65" i="1"/>
  <c r="AD65" i="1"/>
  <c r="AE65" i="1"/>
  <c r="AF65" i="1"/>
  <c r="AG65" i="1"/>
  <c r="AH65" i="1"/>
  <c r="AI65" i="1"/>
  <c r="AJ65" i="1"/>
  <c r="AK65" i="1"/>
  <c r="E48" i="1"/>
  <c r="F48" i="1"/>
  <c r="G48" i="1"/>
  <c r="H48" i="1"/>
  <c r="I48" i="1"/>
  <c r="J48" i="1"/>
  <c r="K48" i="1"/>
  <c r="L48" i="1"/>
  <c r="M48" i="1"/>
  <c r="N48" i="1"/>
  <c r="O48" i="1"/>
  <c r="P48" i="1"/>
  <c r="Q48" i="1"/>
  <c r="R48" i="1"/>
  <c r="S48" i="1"/>
  <c r="T48" i="1"/>
  <c r="U48" i="1"/>
  <c r="V48" i="1"/>
  <c r="W48" i="1"/>
  <c r="X48" i="1"/>
  <c r="Y48" i="1"/>
  <c r="Z48" i="1"/>
  <c r="AA48" i="1"/>
  <c r="AB48" i="1"/>
  <c r="AC48" i="1"/>
  <c r="AD48" i="1"/>
  <c r="AE48" i="1"/>
  <c r="AF48" i="1"/>
  <c r="AG48" i="1"/>
  <c r="AH48" i="1"/>
  <c r="AI48" i="1"/>
  <c r="AJ48" i="1"/>
  <c r="AK48" i="1"/>
  <c r="E54" i="1"/>
  <c r="F54" i="1"/>
  <c r="G54" i="1"/>
  <c r="H54" i="1"/>
  <c r="I54" i="1"/>
  <c r="J54" i="1"/>
  <c r="K54" i="1"/>
  <c r="L54" i="1"/>
  <c r="M54" i="1"/>
  <c r="N54" i="1"/>
  <c r="O54" i="1"/>
  <c r="P54" i="1"/>
  <c r="Q54" i="1"/>
  <c r="R54" i="1"/>
  <c r="S54" i="1"/>
  <c r="T54" i="1"/>
  <c r="U54" i="1"/>
  <c r="V54" i="1"/>
  <c r="W54" i="1"/>
  <c r="X54" i="1"/>
  <c r="Y54" i="1"/>
  <c r="Z54" i="1"/>
  <c r="AA54" i="1"/>
  <c r="AB54" i="1"/>
  <c r="AC54" i="1"/>
  <c r="AE54" i="1"/>
  <c r="AF54" i="1"/>
  <c r="AG54" i="1"/>
  <c r="AH54" i="1"/>
  <c r="AI54" i="1"/>
  <c r="AJ54" i="1"/>
  <c r="AK54" i="1"/>
  <c r="E60" i="1"/>
  <c r="F60" i="1"/>
  <c r="G60" i="1"/>
  <c r="H60" i="1"/>
  <c r="I60" i="1"/>
  <c r="J60" i="1"/>
  <c r="K60" i="1"/>
  <c r="L60" i="1"/>
  <c r="M60" i="1"/>
  <c r="N60" i="1"/>
  <c r="O60" i="1"/>
  <c r="P60" i="1"/>
  <c r="Q60" i="1"/>
  <c r="R60" i="1"/>
  <c r="S60" i="1"/>
  <c r="T60" i="1"/>
  <c r="U60" i="1"/>
  <c r="V60" i="1"/>
  <c r="W60" i="1"/>
  <c r="X60" i="1"/>
  <c r="Y60" i="1"/>
  <c r="Z60" i="1"/>
  <c r="AA60" i="1"/>
  <c r="AB60" i="1"/>
  <c r="AC60" i="1"/>
  <c r="AD60" i="1"/>
  <c r="AE60" i="1"/>
  <c r="AF60" i="1"/>
  <c r="AG60" i="1"/>
  <c r="AH60" i="1"/>
  <c r="AI60" i="1"/>
  <c r="AJ60" i="1"/>
  <c r="AK60" i="1"/>
  <c r="E66" i="1"/>
  <c r="F66" i="1"/>
  <c r="G66" i="1"/>
  <c r="H66" i="1"/>
  <c r="I66" i="1"/>
  <c r="J66" i="1"/>
  <c r="K66" i="1"/>
  <c r="L66" i="1"/>
  <c r="M66" i="1"/>
  <c r="N66" i="1"/>
  <c r="O66" i="1"/>
  <c r="P66" i="1"/>
  <c r="Q66" i="1"/>
  <c r="R66" i="1"/>
  <c r="S66" i="1"/>
  <c r="T66" i="1"/>
  <c r="U66" i="1"/>
  <c r="V66" i="1"/>
  <c r="W66" i="1"/>
  <c r="X66" i="1"/>
  <c r="Y66" i="1"/>
  <c r="Z66" i="1"/>
  <c r="AA66" i="1"/>
  <c r="AB66" i="1"/>
  <c r="AC66" i="1"/>
  <c r="AD66" i="1"/>
  <c r="AE66" i="1"/>
  <c r="AF66" i="1"/>
  <c r="AG66" i="1"/>
  <c r="AH66" i="1"/>
  <c r="AI66" i="1"/>
  <c r="AJ66" i="1"/>
  <c r="AK66" i="1"/>
  <c r="E49" i="1"/>
  <c r="F49" i="1"/>
  <c r="G49" i="1"/>
  <c r="H49" i="1"/>
  <c r="I49" i="1"/>
  <c r="J49" i="1"/>
  <c r="K49" i="1"/>
  <c r="L49" i="1"/>
  <c r="M49" i="1"/>
  <c r="N49" i="1"/>
  <c r="O49" i="1"/>
  <c r="P49" i="1"/>
  <c r="Q49" i="1"/>
  <c r="R49" i="1"/>
  <c r="S49" i="1"/>
  <c r="T49" i="1"/>
  <c r="U49" i="1"/>
  <c r="V49" i="1"/>
  <c r="W49" i="1"/>
  <c r="X49" i="1"/>
  <c r="Y49" i="1"/>
  <c r="Z49" i="1"/>
  <c r="AA49" i="1"/>
  <c r="AB49" i="1"/>
  <c r="AC49" i="1"/>
  <c r="AD49" i="1"/>
  <c r="AE49" i="1"/>
  <c r="AF49" i="1"/>
  <c r="AG49" i="1"/>
  <c r="AH49" i="1"/>
  <c r="AI49" i="1"/>
  <c r="AJ49" i="1"/>
  <c r="AK49" i="1"/>
  <c r="E55" i="1"/>
  <c r="F55" i="1"/>
  <c r="G55" i="1"/>
  <c r="H55" i="1"/>
  <c r="I55" i="1"/>
  <c r="J55" i="1"/>
  <c r="K55" i="1"/>
  <c r="L55" i="1"/>
  <c r="M55" i="1"/>
  <c r="N55" i="1"/>
  <c r="O55" i="1"/>
  <c r="P55" i="1"/>
  <c r="Q55" i="1"/>
  <c r="R55" i="1"/>
  <c r="S55" i="1"/>
  <c r="T55" i="1"/>
  <c r="U55" i="1"/>
  <c r="V55" i="1"/>
  <c r="W55" i="1"/>
  <c r="X55" i="1"/>
  <c r="Y55" i="1"/>
  <c r="Z55" i="1"/>
  <c r="AA55" i="1"/>
  <c r="AB55" i="1"/>
  <c r="AC55" i="1"/>
  <c r="AD55" i="1"/>
  <c r="AE55" i="1"/>
  <c r="AF55" i="1"/>
  <c r="AG55" i="1"/>
  <c r="AH55" i="1"/>
  <c r="AI55" i="1"/>
  <c r="AJ55" i="1"/>
  <c r="AK55" i="1"/>
  <c r="E61" i="1"/>
  <c r="F61" i="1"/>
  <c r="G61" i="1"/>
  <c r="H61" i="1"/>
  <c r="I61" i="1"/>
  <c r="J61" i="1"/>
  <c r="K61" i="1"/>
  <c r="L61" i="1"/>
  <c r="M61" i="1"/>
  <c r="N61" i="1"/>
  <c r="O61" i="1"/>
  <c r="P61" i="1"/>
  <c r="Q61" i="1"/>
  <c r="R61" i="1"/>
  <c r="S61" i="1"/>
  <c r="T61" i="1"/>
  <c r="U61" i="1"/>
  <c r="V61" i="1"/>
  <c r="W61" i="1"/>
  <c r="X61" i="1"/>
  <c r="Y61" i="1"/>
  <c r="Z61" i="1"/>
  <c r="AA61" i="1"/>
  <c r="AB61" i="1"/>
  <c r="AC61" i="1"/>
  <c r="AD61" i="1"/>
  <c r="AE61" i="1"/>
  <c r="AF61" i="1"/>
  <c r="AG61" i="1"/>
  <c r="AH61" i="1"/>
  <c r="AI61" i="1"/>
  <c r="AJ61" i="1"/>
  <c r="AK61" i="1"/>
  <c r="E67" i="1"/>
  <c r="F67" i="1"/>
  <c r="G67" i="1"/>
  <c r="H67" i="1"/>
  <c r="I67" i="1"/>
  <c r="J67" i="1"/>
  <c r="K67" i="1"/>
  <c r="L67" i="1"/>
  <c r="M67" i="1"/>
  <c r="N67" i="1"/>
  <c r="O67" i="1"/>
  <c r="P67" i="1"/>
  <c r="Q67" i="1"/>
  <c r="R67" i="1"/>
  <c r="S67" i="1"/>
  <c r="T67" i="1"/>
  <c r="U67" i="1"/>
  <c r="V67" i="1"/>
  <c r="W67" i="1"/>
  <c r="X67" i="1"/>
  <c r="Y67" i="1"/>
  <c r="Z67" i="1"/>
  <c r="AA67" i="1"/>
  <c r="AB67" i="1"/>
  <c r="AC67" i="1"/>
  <c r="AD67" i="1"/>
  <c r="AE67" i="1"/>
  <c r="AF67" i="1"/>
  <c r="AG67" i="1"/>
  <c r="AH67" i="1"/>
  <c r="AI67" i="1"/>
  <c r="AJ67" i="1"/>
  <c r="AK67" i="1"/>
  <c r="E50" i="1"/>
  <c r="F50" i="1"/>
  <c r="G50" i="1"/>
  <c r="H50" i="1"/>
  <c r="I50" i="1"/>
  <c r="J50" i="1"/>
  <c r="K50" i="1"/>
  <c r="L50" i="1"/>
  <c r="M50" i="1"/>
  <c r="N50" i="1"/>
  <c r="O50" i="1"/>
  <c r="P50" i="1"/>
  <c r="Q50" i="1"/>
  <c r="R50" i="1"/>
  <c r="S50" i="1"/>
  <c r="T50" i="1"/>
  <c r="U50" i="1"/>
  <c r="V50" i="1"/>
  <c r="W50" i="1"/>
  <c r="X50" i="1"/>
  <c r="Y50" i="1"/>
  <c r="Z50" i="1"/>
  <c r="AA50" i="1"/>
  <c r="AB50" i="1"/>
  <c r="AC50" i="1"/>
  <c r="AD50" i="1"/>
  <c r="AE50" i="1"/>
  <c r="AF50" i="1"/>
  <c r="AG50" i="1"/>
  <c r="AH50" i="1"/>
  <c r="AI50" i="1"/>
  <c r="AJ50" i="1"/>
  <c r="AK50" i="1"/>
  <c r="E56" i="1"/>
  <c r="F56" i="1"/>
  <c r="G56" i="1"/>
  <c r="H56" i="1"/>
  <c r="I56" i="1"/>
  <c r="J56" i="1"/>
  <c r="K56" i="1"/>
  <c r="L56" i="1"/>
  <c r="M56" i="1"/>
  <c r="N56" i="1"/>
  <c r="O56" i="1"/>
  <c r="P56" i="1"/>
  <c r="Q56" i="1"/>
  <c r="R56" i="1"/>
  <c r="S56" i="1"/>
  <c r="T56" i="1"/>
  <c r="U56" i="1"/>
  <c r="V56" i="1"/>
  <c r="W56" i="1"/>
  <c r="X56" i="1"/>
  <c r="Y56" i="1"/>
  <c r="Z56" i="1"/>
  <c r="AA56" i="1"/>
  <c r="AB56" i="1"/>
  <c r="AC56" i="1"/>
  <c r="AD56" i="1"/>
  <c r="AE56" i="1"/>
  <c r="AF56" i="1"/>
  <c r="AG56" i="1"/>
  <c r="AH56" i="1"/>
  <c r="AI56" i="1"/>
  <c r="AJ56" i="1"/>
  <c r="AK56" i="1"/>
  <c r="E62" i="1"/>
  <c r="F62" i="1"/>
  <c r="G62" i="1"/>
  <c r="H62" i="1"/>
  <c r="I62" i="1"/>
  <c r="J62" i="1"/>
  <c r="K62" i="1"/>
  <c r="L62" i="1"/>
  <c r="M62" i="1"/>
  <c r="N62" i="1"/>
  <c r="O62" i="1"/>
  <c r="P62" i="1"/>
  <c r="Q62" i="1"/>
  <c r="R62" i="1"/>
  <c r="S62" i="1"/>
  <c r="T62" i="1"/>
  <c r="U62" i="1"/>
  <c r="V62" i="1"/>
  <c r="W62" i="1"/>
  <c r="X62" i="1"/>
  <c r="Y62" i="1"/>
  <c r="Z62" i="1"/>
  <c r="AA62" i="1"/>
  <c r="AB62" i="1"/>
  <c r="AC62" i="1"/>
  <c r="AD62" i="1"/>
  <c r="AE62" i="1"/>
  <c r="AF62" i="1"/>
  <c r="AG62" i="1"/>
  <c r="AH62" i="1"/>
  <c r="AI62" i="1"/>
  <c r="AJ62" i="1"/>
  <c r="AK62" i="1"/>
  <c r="E68" i="1"/>
  <c r="F68" i="1"/>
  <c r="G68" i="1"/>
  <c r="H68" i="1"/>
  <c r="I68" i="1"/>
  <c r="J68" i="1"/>
  <c r="K68" i="1"/>
  <c r="L68" i="1"/>
  <c r="M68" i="1"/>
  <c r="N68" i="1"/>
  <c r="O68" i="1"/>
  <c r="P68" i="1"/>
  <c r="Q68" i="1"/>
  <c r="R68" i="1"/>
  <c r="S68" i="1"/>
  <c r="T68" i="1"/>
  <c r="U68" i="1"/>
  <c r="V68" i="1"/>
  <c r="W68" i="1"/>
  <c r="X68" i="1"/>
  <c r="Y68" i="1"/>
  <c r="Z68" i="1"/>
  <c r="AA68" i="1"/>
  <c r="AB68" i="1"/>
  <c r="AC68" i="1"/>
  <c r="AD68" i="1"/>
  <c r="AE68" i="1"/>
  <c r="AF68" i="1"/>
  <c r="AG68" i="1"/>
  <c r="AH68" i="1"/>
  <c r="AI68" i="1"/>
  <c r="AJ68" i="1"/>
  <c r="AK68" i="1"/>
  <c r="E51" i="1"/>
  <c r="F51" i="1"/>
  <c r="G51" i="1"/>
  <c r="H51" i="1"/>
  <c r="I51" i="1"/>
  <c r="J51" i="1"/>
  <c r="K51" i="1"/>
  <c r="L51" i="1"/>
  <c r="M51" i="1"/>
  <c r="N51" i="1"/>
  <c r="O51" i="1"/>
  <c r="P51" i="1"/>
  <c r="Q51" i="1"/>
  <c r="R51" i="1"/>
  <c r="S51" i="1"/>
  <c r="T51" i="1"/>
  <c r="U51" i="1"/>
  <c r="V51" i="1"/>
  <c r="W51" i="1"/>
  <c r="X51" i="1"/>
  <c r="Y51" i="1"/>
  <c r="Z51" i="1"/>
  <c r="AA51" i="1"/>
  <c r="AB51" i="1"/>
  <c r="AC51" i="1"/>
  <c r="AD51" i="1"/>
  <c r="AE51" i="1"/>
  <c r="AF51" i="1"/>
  <c r="AG51" i="1"/>
  <c r="AH51" i="1"/>
  <c r="AI51" i="1"/>
  <c r="AJ51" i="1"/>
  <c r="AK51" i="1"/>
  <c r="E57" i="1"/>
  <c r="F57" i="1"/>
  <c r="G57" i="1"/>
  <c r="H57" i="1"/>
  <c r="I57" i="1"/>
  <c r="J57" i="1"/>
  <c r="K57" i="1"/>
  <c r="L57" i="1"/>
  <c r="M57" i="1"/>
  <c r="N57" i="1"/>
  <c r="O57" i="1"/>
  <c r="P57" i="1"/>
  <c r="Q57" i="1"/>
  <c r="R57" i="1"/>
  <c r="S57" i="1"/>
  <c r="T57" i="1"/>
  <c r="U57" i="1"/>
  <c r="V57" i="1"/>
  <c r="W57" i="1"/>
  <c r="X57" i="1"/>
  <c r="Y57" i="1"/>
  <c r="Z57" i="1"/>
  <c r="AA57" i="1"/>
  <c r="AB57" i="1"/>
  <c r="AC57" i="1"/>
  <c r="AD57" i="1"/>
  <c r="AE57" i="1"/>
  <c r="AF57" i="1"/>
  <c r="AG57" i="1"/>
  <c r="AH57" i="1"/>
  <c r="AI57" i="1"/>
  <c r="AJ57" i="1"/>
  <c r="AK57" i="1"/>
  <c r="E63" i="1"/>
  <c r="F63" i="1"/>
  <c r="G63" i="1"/>
  <c r="H63" i="1"/>
  <c r="I63" i="1"/>
  <c r="J63" i="1"/>
  <c r="K63" i="1"/>
  <c r="L63" i="1"/>
  <c r="M63" i="1"/>
  <c r="N63" i="1"/>
  <c r="O63" i="1"/>
  <c r="P63" i="1"/>
  <c r="Q63" i="1"/>
  <c r="R63" i="1"/>
  <c r="S63" i="1"/>
  <c r="T63" i="1"/>
  <c r="U63" i="1"/>
  <c r="V63" i="1"/>
  <c r="W63" i="1"/>
  <c r="X63" i="1"/>
  <c r="Y63" i="1"/>
  <c r="Z63" i="1"/>
  <c r="AA63" i="1"/>
  <c r="AB63" i="1"/>
  <c r="AC63" i="1"/>
  <c r="AD63" i="1"/>
  <c r="AE63" i="1"/>
  <c r="AF63" i="1"/>
  <c r="AG63" i="1"/>
  <c r="AH63" i="1"/>
  <c r="AI63" i="1"/>
  <c r="AJ63" i="1"/>
  <c r="AK63" i="1"/>
  <c r="E69" i="1"/>
  <c r="F69" i="1"/>
  <c r="G69" i="1"/>
  <c r="H69" i="1"/>
  <c r="I69" i="1"/>
  <c r="J69" i="1"/>
  <c r="K69" i="1"/>
  <c r="L69" i="1"/>
  <c r="M69" i="1"/>
  <c r="N69" i="1"/>
  <c r="O69" i="1"/>
  <c r="P69" i="1"/>
  <c r="Q69" i="1"/>
  <c r="R69" i="1"/>
  <c r="S69" i="1"/>
  <c r="T69" i="1"/>
  <c r="U69" i="1"/>
  <c r="V69" i="1"/>
  <c r="W69" i="1"/>
  <c r="X69" i="1"/>
  <c r="Y69" i="1"/>
  <c r="Z69" i="1"/>
  <c r="AA69" i="1"/>
  <c r="AB69" i="1"/>
  <c r="AC69" i="1"/>
  <c r="AD69" i="1"/>
  <c r="AE69" i="1"/>
  <c r="AF69" i="1"/>
  <c r="AG69" i="1"/>
  <c r="AH69" i="1"/>
  <c r="AI69" i="1"/>
  <c r="AJ69" i="1"/>
  <c r="AK69" i="1"/>
  <c r="D69" i="1"/>
  <c r="D53" i="1"/>
  <c r="D59" i="1"/>
  <c r="D65" i="1"/>
  <c r="D48" i="1"/>
  <c r="D60" i="1"/>
  <c r="D66" i="1"/>
  <c r="D49" i="1"/>
  <c r="D61" i="1"/>
  <c r="D67" i="1"/>
  <c r="D56" i="1"/>
  <c r="D62" i="1"/>
  <c r="D68" i="1"/>
  <c r="D51" i="1"/>
  <c r="D57" i="1"/>
  <c r="D63" i="1"/>
  <c r="AS46" i="1" l="1"/>
  <c r="AQ43" i="1"/>
  <c r="AS44" i="1"/>
  <c r="AR44" i="1"/>
  <c r="AV46" i="1"/>
  <c r="AT45" i="1"/>
  <c r="AU43" i="1"/>
  <c r="AP43" i="1"/>
  <c r="AR45" i="1"/>
  <c r="AT44" i="1"/>
  <c r="AQ45" i="1"/>
  <c r="AT43" i="1"/>
  <c r="AQ44" i="1"/>
  <c r="AS43" i="1"/>
  <c r="AT46" i="1"/>
  <c r="AV43" i="1"/>
  <c r="AP46" i="1"/>
  <c r="AU46" i="1"/>
  <c r="AV45" i="1"/>
  <c r="AU45" i="1"/>
  <c r="AV44" i="1"/>
  <c r="AR46" i="1"/>
  <c r="AP44" i="1"/>
  <c r="AS45" i="1"/>
  <c r="AU44" i="1"/>
  <c r="AR43" i="1"/>
  <c r="AQ46" i="1"/>
  <c r="AP45" i="1"/>
  <c r="K3" i="8"/>
  <c r="L3" i="8"/>
  <c r="M3" i="8"/>
  <c r="J40" i="8"/>
  <c r="J37" i="8"/>
  <c r="J36" i="8"/>
  <c r="J33" i="8"/>
  <c r="J32" i="8"/>
  <c r="J29" i="8"/>
  <c r="J28" i="8"/>
  <c r="J27" i="8"/>
  <c r="J25" i="8"/>
  <c r="J23" i="8"/>
  <c r="J21" i="8"/>
  <c r="J20" i="8"/>
  <c r="J19" i="8"/>
  <c r="J17" i="8"/>
  <c r="J16" i="8"/>
  <c r="J13" i="8"/>
  <c r="J12" i="8"/>
  <c r="J11" i="8"/>
  <c r="J9" i="8"/>
  <c r="J8" i="8"/>
  <c r="J7" i="8"/>
  <c r="J5" i="8"/>
  <c r="J4" i="8"/>
  <c r="K4" i="8"/>
  <c r="L4" i="8"/>
  <c r="M4" i="8"/>
  <c r="K5" i="8"/>
  <c r="L5" i="8"/>
  <c r="M5" i="8"/>
  <c r="J6" i="8"/>
  <c r="K6" i="8"/>
  <c r="L6" i="8"/>
  <c r="M6" i="8"/>
  <c r="K7" i="8"/>
  <c r="L7" i="8"/>
  <c r="M7" i="8"/>
  <c r="K8" i="8"/>
  <c r="L8" i="8"/>
  <c r="M8" i="8"/>
  <c r="K9" i="8"/>
  <c r="L9" i="8"/>
  <c r="M9" i="8"/>
  <c r="J10" i="8"/>
  <c r="K10" i="8"/>
  <c r="L10" i="8"/>
  <c r="M10" i="8"/>
  <c r="K11" i="8"/>
  <c r="L11" i="8"/>
  <c r="M11" i="8"/>
  <c r="K12" i="8"/>
  <c r="L12" i="8"/>
  <c r="M12" i="8"/>
  <c r="K13" i="8"/>
  <c r="L13" i="8"/>
  <c r="M13" i="8"/>
  <c r="J14" i="8"/>
  <c r="K14" i="8"/>
  <c r="L14" i="8"/>
  <c r="M14" i="8"/>
  <c r="K16" i="8"/>
  <c r="L16" i="8"/>
  <c r="M16" i="8"/>
  <c r="K17" i="8"/>
  <c r="L17" i="8"/>
  <c r="M17" i="8"/>
  <c r="J18" i="8"/>
  <c r="K18" i="8"/>
  <c r="L18" i="8"/>
  <c r="M18" i="8"/>
  <c r="K19" i="8"/>
  <c r="L19" i="8"/>
  <c r="M19" i="8"/>
  <c r="K20" i="8"/>
  <c r="L20" i="8"/>
  <c r="M20" i="8"/>
  <c r="K21" i="8"/>
  <c r="L21" i="8"/>
  <c r="M21" i="8"/>
  <c r="J22" i="8"/>
  <c r="K22" i="8"/>
  <c r="L22" i="8"/>
  <c r="M22" i="8"/>
  <c r="K23" i="8"/>
  <c r="L23" i="8"/>
  <c r="M23" i="8"/>
  <c r="K25" i="8"/>
  <c r="L25" i="8"/>
  <c r="M25" i="8"/>
  <c r="J26" i="8"/>
  <c r="K26" i="8"/>
  <c r="L26" i="8"/>
  <c r="M26" i="8"/>
  <c r="K27" i="8"/>
  <c r="L27" i="8"/>
  <c r="M27" i="8"/>
  <c r="K28" i="8"/>
  <c r="L28" i="8"/>
  <c r="M28" i="8"/>
  <c r="K29" i="8"/>
  <c r="L29" i="8"/>
  <c r="M29" i="8"/>
  <c r="J30" i="8"/>
  <c r="K30" i="8"/>
  <c r="L30" i="8"/>
  <c r="M30" i="8"/>
  <c r="J31" i="8"/>
  <c r="K31" i="8"/>
  <c r="L31" i="8"/>
  <c r="M31" i="8"/>
  <c r="K32" i="8"/>
  <c r="L32" i="8"/>
  <c r="M32" i="8"/>
  <c r="K33" i="8"/>
  <c r="L33" i="8"/>
  <c r="M33" i="8"/>
  <c r="J35" i="8"/>
  <c r="K35" i="8"/>
  <c r="L35" i="8"/>
  <c r="M35" i="8"/>
  <c r="K36" i="8"/>
  <c r="L36" i="8"/>
  <c r="M36" i="8"/>
  <c r="K37" i="8"/>
  <c r="L37" i="8"/>
  <c r="M37" i="8"/>
  <c r="J38" i="8"/>
  <c r="K38" i="8"/>
  <c r="L38" i="8"/>
  <c r="M38" i="8"/>
  <c r="J39" i="8"/>
  <c r="K39" i="8"/>
  <c r="L39" i="8"/>
  <c r="M39" i="8"/>
  <c r="K40" i="8"/>
  <c r="L40" i="8"/>
  <c r="M40" i="8"/>
  <c r="N39" i="8" l="1"/>
  <c r="O39" i="8"/>
  <c r="N19" i="8"/>
  <c r="O19" i="8"/>
  <c r="N29" i="8"/>
  <c r="O29" i="8"/>
  <c r="O26" i="8"/>
  <c r="N26" i="8"/>
  <c r="O10" i="8"/>
  <c r="N10" i="8"/>
  <c r="O4" i="8"/>
  <c r="N4" i="8"/>
  <c r="N9" i="8"/>
  <c r="O9" i="8"/>
  <c r="O20" i="8"/>
  <c r="N20" i="8"/>
  <c r="N25" i="8"/>
  <c r="D52" i="8" s="1"/>
  <c r="O25" i="8"/>
  <c r="O32" i="8"/>
  <c r="N32" i="8"/>
  <c r="O40" i="8"/>
  <c r="N40" i="8"/>
  <c r="O38" i="8"/>
  <c r="N38" i="8"/>
  <c r="N31" i="8"/>
  <c r="O31" i="8"/>
  <c r="O14" i="8"/>
  <c r="N14" i="8"/>
  <c r="E49" i="8" s="1"/>
  <c r="O8" i="8"/>
  <c r="N8" i="8"/>
  <c r="N35" i="8"/>
  <c r="O35" i="8"/>
  <c r="O22" i="8"/>
  <c r="N22" i="8"/>
  <c r="O6" i="8"/>
  <c r="N6" i="8"/>
  <c r="N5" i="8"/>
  <c r="O5" i="8"/>
  <c r="N11" i="8"/>
  <c r="O11" i="8"/>
  <c r="O16" i="8"/>
  <c r="N16" i="8"/>
  <c r="N21" i="8"/>
  <c r="O21" i="8"/>
  <c r="N27" i="8"/>
  <c r="O27" i="8"/>
  <c r="N33" i="8"/>
  <c r="F51" i="8" s="1"/>
  <c r="O33" i="8"/>
  <c r="O3" i="8"/>
  <c r="N3" i="8"/>
  <c r="O30" i="8"/>
  <c r="N30" i="8"/>
  <c r="N13" i="8"/>
  <c r="O13" i="8"/>
  <c r="N37" i="8"/>
  <c r="O37" i="8"/>
  <c r="O18" i="8"/>
  <c r="N18" i="8"/>
  <c r="N7" i="8"/>
  <c r="O7" i="8"/>
  <c r="O12" i="8"/>
  <c r="N12" i="8"/>
  <c r="N17" i="8"/>
  <c r="O17" i="8"/>
  <c r="N23" i="8"/>
  <c r="O23" i="8"/>
  <c r="O28" i="8"/>
  <c r="N28" i="8"/>
  <c r="O36" i="8"/>
  <c r="N36" i="8"/>
  <c r="D55" i="8" l="1"/>
  <c r="D99" i="8"/>
  <c r="D57" i="8"/>
  <c r="D101" i="8"/>
  <c r="C52" i="8"/>
  <c r="C96" i="8"/>
  <c r="F56" i="8"/>
  <c r="F100" i="8"/>
  <c r="D59" i="8"/>
  <c r="D103" i="8"/>
  <c r="E55" i="8"/>
  <c r="E99" i="8"/>
  <c r="C50" i="8"/>
  <c r="C94" i="8"/>
  <c r="D53" i="8"/>
  <c r="D97" i="8"/>
  <c r="E52" i="8"/>
  <c r="E96" i="8"/>
  <c r="C53" i="8"/>
  <c r="C97" i="8"/>
  <c r="F55" i="8"/>
  <c r="F99" i="8"/>
  <c r="E56" i="8"/>
  <c r="E100" i="8"/>
  <c r="C57" i="8"/>
  <c r="C101" i="8"/>
  <c r="F53" i="8"/>
  <c r="F97" i="8"/>
  <c r="E54" i="8"/>
  <c r="E98" i="8"/>
  <c r="F54" i="8"/>
  <c r="F98" i="8"/>
  <c r="C58" i="8"/>
  <c r="C102" i="8"/>
  <c r="E53" i="8"/>
  <c r="E97" i="8"/>
  <c r="C49" i="8"/>
  <c r="C93" i="8"/>
  <c r="E51" i="8"/>
  <c r="E95" i="8"/>
  <c r="E57" i="8"/>
  <c r="E101" i="8"/>
  <c r="C54" i="8"/>
  <c r="C98" i="8"/>
  <c r="F58" i="8"/>
  <c r="F102" i="8"/>
  <c r="C100" i="8"/>
  <c r="C56" i="8"/>
  <c r="E58" i="8"/>
  <c r="E102" i="8"/>
  <c r="C103" i="8"/>
  <c r="C59" i="8"/>
  <c r="D54" i="8"/>
  <c r="D98" i="8"/>
  <c r="C51" i="8"/>
  <c r="C95" i="8"/>
  <c r="D58" i="8"/>
  <c r="D102" i="8"/>
  <c r="D96" i="8"/>
  <c r="C99" i="8"/>
  <c r="C55" i="8"/>
  <c r="D56" i="8"/>
  <c r="D100" i="8"/>
  <c r="F57" i="8"/>
  <c r="F101" i="8"/>
  <c r="AQ4" i="1"/>
  <c r="AR4" i="1"/>
  <c r="AQ5" i="1"/>
  <c r="AR5" i="1"/>
  <c r="AQ6" i="1"/>
  <c r="AR6" i="1"/>
  <c r="AQ7" i="1"/>
  <c r="AR7" i="1"/>
  <c r="AQ8" i="1"/>
  <c r="AR8" i="1"/>
  <c r="AQ9" i="1"/>
  <c r="AR9" i="1"/>
  <c r="AQ10" i="1"/>
  <c r="AR10" i="1"/>
  <c r="AQ11" i="1"/>
  <c r="AR11" i="1"/>
  <c r="AQ12" i="1"/>
  <c r="AR12" i="1"/>
  <c r="AQ13" i="1"/>
  <c r="AR13" i="1"/>
  <c r="AQ14" i="1"/>
  <c r="AR14" i="1"/>
  <c r="AQ15" i="1"/>
  <c r="AR15" i="1"/>
  <c r="AQ16" i="1"/>
  <c r="AR16" i="1"/>
  <c r="AQ17" i="1"/>
  <c r="AR17" i="1"/>
  <c r="AQ18" i="1"/>
  <c r="AR18" i="1"/>
  <c r="AQ19" i="1"/>
  <c r="AR19" i="1"/>
  <c r="AQ20" i="1"/>
  <c r="AR20" i="1"/>
  <c r="AQ21" i="1"/>
  <c r="AR21" i="1"/>
  <c r="AQ22" i="1"/>
  <c r="AR22" i="1"/>
  <c r="AQ23" i="1"/>
  <c r="AR23" i="1"/>
  <c r="AQ24" i="1"/>
  <c r="AR24" i="1"/>
  <c r="AQ25" i="1"/>
  <c r="AR25" i="1"/>
  <c r="AQ26" i="1"/>
  <c r="AR26" i="1"/>
  <c r="AQ27" i="1"/>
  <c r="AR27" i="1"/>
  <c r="AQ28" i="1"/>
  <c r="AR28" i="1"/>
  <c r="AQ29" i="1"/>
  <c r="AR29" i="1"/>
  <c r="AQ30" i="1"/>
  <c r="AR30" i="1"/>
  <c r="AQ31" i="1"/>
  <c r="AR31" i="1"/>
  <c r="AQ32" i="1"/>
  <c r="AR32" i="1"/>
  <c r="AQ33" i="1"/>
  <c r="AR33" i="1"/>
  <c r="AQ34" i="1"/>
  <c r="AR34" i="1"/>
  <c r="AQ35" i="1"/>
  <c r="AR35" i="1"/>
  <c r="AQ36" i="1"/>
  <c r="AR36" i="1"/>
  <c r="AQ37" i="1"/>
  <c r="AR37" i="1"/>
  <c r="AQ38" i="1"/>
  <c r="AR38" i="1"/>
  <c r="AQ39" i="1"/>
  <c r="AR39" i="1"/>
  <c r="AQ40" i="1"/>
  <c r="AR40" i="1"/>
  <c r="AQ41" i="1"/>
  <c r="AR41" i="1"/>
  <c r="AQ42" i="1"/>
  <c r="AR42" i="1"/>
  <c r="AR3" i="1"/>
  <c r="AQ3" i="1"/>
  <c r="AQ57" i="1" l="1"/>
  <c r="AQ56" i="1"/>
  <c r="AQ55" i="1"/>
  <c r="AQ54" i="1"/>
  <c r="AQ53" i="1"/>
  <c r="AQ52" i="1"/>
  <c r="AQ51" i="1"/>
  <c r="AQ50" i="1"/>
  <c r="AQ49" i="1"/>
  <c r="AQ48" i="1"/>
  <c r="AS51" i="18"/>
  <c r="AT51" i="18"/>
</calcChain>
</file>

<file path=xl/sharedStrings.xml><?xml version="1.0" encoding="utf-8"?>
<sst xmlns="http://schemas.openxmlformats.org/spreadsheetml/2006/main" count="4622" uniqueCount="361">
  <si>
    <t>linear</t>
  </si>
  <si>
    <t xml:space="preserve">n-PFHpA </t>
  </si>
  <si>
    <t xml:space="preserve">n-PFOA </t>
  </si>
  <si>
    <t xml:space="preserve">n-PFNA </t>
  </si>
  <si>
    <t xml:space="preserve">n-PFDA </t>
  </si>
  <si>
    <t xml:space="preserve">n-PFUnDA </t>
  </si>
  <si>
    <t xml:space="preserve">n-PFDoDA </t>
  </si>
  <si>
    <t xml:space="preserve">n-PFTrDA </t>
  </si>
  <si>
    <t xml:space="preserve">n-PFTeDA </t>
  </si>
  <si>
    <t xml:space="preserve">n-PFHxS </t>
  </si>
  <si>
    <t xml:space="preserve">n-PFHpS </t>
  </si>
  <si>
    <t xml:space="preserve">n-PFOS </t>
  </si>
  <si>
    <t xml:space="preserve">n-PFNS </t>
  </si>
  <si>
    <t xml:space="preserve">n-PFDS </t>
  </si>
  <si>
    <t xml:space="preserve">n-PFUnDS </t>
  </si>
  <si>
    <t xml:space="preserve">n-PFDoDS </t>
  </si>
  <si>
    <t xml:space="preserve">n-PFTrDS </t>
  </si>
  <si>
    <t>branched</t>
  </si>
  <si>
    <t xml:space="preserve">br-PFHpA </t>
  </si>
  <si>
    <t xml:space="preserve">br-PFOA </t>
  </si>
  <si>
    <t xml:space="preserve">br-PFNA </t>
  </si>
  <si>
    <t xml:space="preserve">br-PFDA </t>
  </si>
  <si>
    <t xml:space="preserve">br-PFUnDA </t>
  </si>
  <si>
    <t xml:space="preserve">br-PFDoDA </t>
  </si>
  <si>
    <t xml:space="preserve">br-PFTrDA </t>
  </si>
  <si>
    <t xml:space="preserve">br-PFTeDA </t>
  </si>
  <si>
    <t>br-PFHxS</t>
  </si>
  <si>
    <t xml:space="preserve">br-PFOS </t>
  </si>
  <si>
    <t xml:space="preserve">br-PFNS </t>
  </si>
  <si>
    <t xml:space="preserve">br-PFDS </t>
  </si>
  <si>
    <t xml:space="preserve">br-PFUnDS </t>
  </si>
  <si>
    <t xml:space="preserve">br-PFDoDS </t>
  </si>
  <si>
    <t xml:space="preserve">br-PFTrDS </t>
  </si>
  <si>
    <t>Matrix</t>
  </si>
  <si>
    <t>Zeitpunkt</t>
  </si>
  <si>
    <t>Tier</t>
  </si>
  <si>
    <t>ER</t>
  </si>
  <si>
    <t xml:space="preserve">br-PFHxA </t>
  </si>
  <si>
    <t>Milch</t>
  </si>
  <si>
    <t>E2</t>
  </si>
  <si>
    <t>E3</t>
  </si>
  <si>
    <t>E4</t>
  </si>
  <si>
    <t>Woche 1</t>
  </si>
  <si>
    <t>Woche 2</t>
  </si>
  <si>
    <t>Woche 3</t>
  </si>
  <si>
    <t>Woche 4</t>
  </si>
  <si>
    <t>Woche 5</t>
  </si>
  <si>
    <t>Woche 6</t>
  </si>
  <si>
    <t>Woche 7</t>
  </si>
  <si>
    <t>Woche 8</t>
  </si>
  <si>
    <t>Woche 9</t>
  </si>
  <si>
    <t>Woche 10</t>
  </si>
  <si>
    <t>Woche 11</t>
  </si>
  <si>
    <t>Woche 12</t>
  </si>
  <si>
    <t>Woche 13</t>
  </si>
  <si>
    <t>Woche 14</t>
  </si>
  <si>
    <t>Woche 15</t>
  </si>
  <si>
    <t>Woche 16</t>
  </si>
  <si>
    <t>Woche 17</t>
  </si>
  <si>
    <t>Woche 18</t>
  </si>
  <si>
    <t>Woche 19</t>
  </si>
  <si>
    <t>Woche 20</t>
  </si>
  <si>
    <t>Gewicht Tier (Kg LM)</t>
  </si>
  <si>
    <t>Kot</t>
  </si>
  <si>
    <t>Kontrolle</t>
  </si>
  <si>
    <t>&lt; 0.5</t>
  </si>
  <si>
    <t>Urin</t>
  </si>
  <si>
    <t>Herz</t>
  </si>
  <si>
    <t>E1</t>
  </si>
  <si>
    <t>Hirn</t>
  </si>
  <si>
    <t>Leber</t>
  </si>
  <si>
    <t>Lunge</t>
  </si>
  <si>
    <t>Milz</t>
  </si>
  <si>
    <t>Muskel</t>
  </si>
  <si>
    <t>Niere</t>
  </si>
  <si>
    <t>Serum</t>
  </si>
  <si>
    <t>br-PFHxA</t>
  </si>
  <si>
    <t>br-PFHpS</t>
  </si>
  <si>
    <t>n-PFBA</t>
  </si>
  <si>
    <t xml:space="preserve">n-PFPeA </t>
  </si>
  <si>
    <t xml:space="preserve">n-PFHxA </t>
  </si>
  <si>
    <t xml:space="preserve">n-PFBS </t>
  </si>
  <si>
    <t xml:space="preserve">n-PFPeS </t>
  </si>
  <si>
    <t>Organgewicht kg</t>
  </si>
  <si>
    <t>Menge g</t>
  </si>
  <si>
    <t>Tag</t>
  </si>
  <si>
    <t>Summe</t>
  </si>
  <si>
    <t>Summe lin</t>
  </si>
  <si>
    <t>Summe br</t>
  </si>
  <si>
    <t>MW</t>
  </si>
  <si>
    <t>SD</t>
  </si>
  <si>
    <t>Summe PFAS-Aufnahme Versuchzeitraum</t>
  </si>
  <si>
    <t>(=Conc.*Tage*Futteraufnahme)</t>
  </si>
  <si>
    <t>PFAS-Ausscheidung im Versuch</t>
  </si>
  <si>
    <t>Summe n-</t>
  </si>
  <si>
    <t>Summe br-</t>
  </si>
  <si>
    <t>Summe PFAS-Aufnahme je kg KG</t>
  </si>
  <si>
    <t>Futteraufnahme</t>
  </si>
  <si>
    <t xml:space="preserve"> Expo</t>
  </si>
  <si>
    <t>Auswasch</t>
  </si>
  <si>
    <t>kg 88%DM/Tag Futteraufnahme</t>
  </si>
  <si>
    <t>Organe ohne Muskel</t>
  </si>
  <si>
    <t>ER*</t>
  </si>
  <si>
    <t>*</t>
  </si>
  <si>
    <t>mit angenommener PFAS-Heukonzentration</t>
  </si>
  <si>
    <t>ln(conc)</t>
  </si>
  <si>
    <t>k</t>
  </si>
  <si>
    <t>x</t>
  </si>
  <si>
    <t>DT50</t>
  </si>
  <si>
    <t>DT50 (d)</t>
  </si>
  <si>
    <t>ln(conc) E2</t>
  </si>
  <si>
    <t>Transferrate Milch</t>
  </si>
  <si>
    <t>Mean Transfer Rate (%)</t>
  </si>
  <si>
    <t>n-PFCA</t>
  </si>
  <si>
    <t>br-PFCA</t>
  </si>
  <si>
    <t>n-PFSA</t>
  </si>
  <si>
    <t>br-PFSA</t>
  </si>
  <si>
    <t>Plasma/Milk Ratio. Milk levels were lower compared with</t>
  </si>
  <si>
    <t>the matched plasma levels based on concentration per liter. The</t>
  </si>
  <si>
    <t>mean ratio between milk and plasma (M:P) concentration was</t>
  </si>
  <si>
    <t>0.007:1 for PFHxS and 0.013:1 for PFOS. The milk:plasma</t>
  </si>
  <si>
    <t>ratio for PFBS and PFOA cannot be calculated as only a few</t>
  </si>
  <si>
    <t>milk samples were found to be above the detection limit.</t>
  </si>
  <si>
    <t>Simple regression analysis and Spearman’s correlation test of</t>
  </si>
  <si>
    <t>the matched plasma and milk samples show a significant</t>
  </si>
  <si>
    <t>association between levels of PFHxS (r2 = 0.91, p = 0.01) and</t>
  </si>
  <si>
    <t>PFOS (r2 = 0.97, p = 0.01) in plasma and milk (Figure 4).</t>
  </si>
  <si>
    <t>Milchmenge</t>
  </si>
  <si>
    <t>Milk</t>
  </si>
  <si>
    <t>Urine</t>
  </si>
  <si>
    <t>Feces</t>
  </si>
  <si>
    <t>SD Summe</t>
  </si>
  <si>
    <t>SD br</t>
  </si>
  <si>
    <t>SD n</t>
  </si>
  <si>
    <t>Milk/serum</t>
  </si>
  <si>
    <t>µg/kg</t>
  </si>
  <si>
    <t>PFNS in serum</t>
  </si>
  <si>
    <t>br</t>
  </si>
  <si>
    <t>lin</t>
  </si>
  <si>
    <t>total PFNS in serum</t>
  </si>
  <si>
    <t>total PFNS in milk</t>
  </si>
  <si>
    <t>PFNS in milk</t>
  </si>
  <si>
    <t>n</t>
  </si>
  <si>
    <t>mittlere Konz</t>
  </si>
  <si>
    <t>E2 TR%</t>
  </si>
  <si>
    <t>E3 TR%</t>
  </si>
  <si>
    <t>E4 TR%</t>
  </si>
  <si>
    <t>Aufnahme µg</t>
  </si>
  <si>
    <t>Ausscheidung Milch µg</t>
  </si>
  <si>
    <t>linear PFCA</t>
  </si>
  <si>
    <t>linear PFSA</t>
  </si>
  <si>
    <t>branched PFCA</t>
  </si>
  <si>
    <t>branched PFSA</t>
  </si>
  <si>
    <t>Perfluorobutanoic acid</t>
  </si>
  <si>
    <t>Perfluoropentanoic acid</t>
  </si>
  <si>
    <t>Perfluorohexanoic acid</t>
  </si>
  <si>
    <t>Perfluoroheptanoic acid</t>
  </si>
  <si>
    <t>Perfluorooctanoic acid</t>
  </si>
  <si>
    <t>Perfluorononanoic acid</t>
  </si>
  <si>
    <t>Perfluorodecanoic acid</t>
  </si>
  <si>
    <t>Perfluoroundecanoic acid</t>
  </si>
  <si>
    <t>Perfluorododecanoic acid</t>
  </si>
  <si>
    <t>Perfluorotridecanoic acid</t>
  </si>
  <si>
    <t>Perfluorotetradecanoic acid</t>
  </si>
  <si>
    <t>Perfluorobutane sulfonic acid</t>
  </si>
  <si>
    <t>Gehalt in Organen ohne Muskel (µg/Gesamtgewicht Organe)</t>
  </si>
  <si>
    <t>n-PFHxS</t>
  </si>
  <si>
    <t>n-PFOA</t>
  </si>
  <si>
    <t>hay</t>
  </si>
  <si>
    <t>milk</t>
  </si>
  <si>
    <t>rest</t>
  </si>
  <si>
    <t>Sum</t>
  </si>
  <si>
    <t>Rest Heu:</t>
  </si>
  <si>
    <t>PFHpA, PFNA, PFDA, PFUnDA, PFDoDA, PFTrDA, PFTeDA, PFBS, PFPeS, PFHpS</t>
  </si>
  <si>
    <t>Rest Milch:</t>
  </si>
  <si>
    <t>PFPeA, PFHxA, PFHpA, PFOA, PFNA, PFDA, PFUnDA, PFDoDA, PFTrDA, PFTeDA, PFBS, PFPeS, PFHxS, PFHpS, PFTrDS</t>
  </si>
  <si>
    <t>Rest</t>
  </si>
  <si>
    <t>Liver</t>
  </si>
  <si>
    <t>Kidney</t>
  </si>
  <si>
    <t>Lung</t>
  </si>
  <si>
    <t>Brain</t>
  </si>
  <si>
    <t>Heart</t>
  </si>
  <si>
    <t>Spleen</t>
  </si>
  <si>
    <t>Breast Muscle</t>
  </si>
  <si>
    <t>SD %</t>
  </si>
  <si>
    <t>Heu Rohdaten</t>
  </si>
  <si>
    <t>Woche 1-1</t>
  </si>
  <si>
    <t>µg/kg (88 % dm)</t>
  </si>
  <si>
    <t>Woche 1-2</t>
  </si>
  <si>
    <t>Pool</t>
  </si>
  <si>
    <t>ln(conc) E3</t>
  </si>
  <si>
    <t>ln(conc) E4</t>
  </si>
  <si>
    <t>serum</t>
  </si>
  <si>
    <t>Sum n-PFCA</t>
  </si>
  <si>
    <t>Sum br-PFCA</t>
  </si>
  <si>
    <t>Sum n-PFSA</t>
  </si>
  <si>
    <t>Sum br-PFSA</t>
  </si>
  <si>
    <t>LOQ Serum</t>
  </si>
  <si>
    <t>LOQ Milch</t>
  </si>
  <si>
    <t>R2</t>
  </si>
  <si>
    <t>n-PFDA</t>
  </si>
  <si>
    <t>n-PFUnDA</t>
  </si>
  <si>
    <t>n-PFDoDA</t>
  </si>
  <si>
    <t>n-PFTrDA</t>
  </si>
  <si>
    <t>n-PFTeDA</t>
  </si>
  <si>
    <t>n-PFHpS</t>
  </si>
  <si>
    <t>n-PFNS</t>
  </si>
  <si>
    <r>
      <t>r</t>
    </r>
    <r>
      <rPr>
        <vertAlign val="superscript"/>
        <sz val="11"/>
        <color theme="1"/>
        <rFont val="Calibri"/>
        <family val="2"/>
        <scheme val="minor"/>
      </rPr>
      <t>2</t>
    </r>
  </si>
  <si>
    <t>n-PFDS</t>
  </si>
  <si>
    <t>n-PFUnDS</t>
  </si>
  <si>
    <t>n-PFDoDS</t>
  </si>
  <si>
    <t>br-PFOS</t>
  </si>
  <si>
    <t>br-PFNS</t>
  </si>
  <si>
    <t>br-PFDS</t>
  </si>
  <si>
    <t>br-PFUnDS</t>
  </si>
  <si>
    <t>br-PFDoDS</t>
  </si>
  <si>
    <t>br-PFOA</t>
  </si>
  <si>
    <t>?</t>
  </si>
  <si>
    <t>br-PFTrDS</t>
  </si>
  <si>
    <t>n-PFSAs</t>
  </si>
  <si>
    <t>n-PFCAs</t>
  </si>
  <si>
    <t>br-PFSAs</t>
  </si>
  <si>
    <t>PFSAs</t>
  </si>
  <si>
    <r>
      <t>hohe Korr zwischen Kettenlänge und r</t>
    </r>
    <r>
      <rPr>
        <vertAlign val="superscript"/>
        <sz val="11"/>
        <color theme="1"/>
        <rFont val="Calibri"/>
        <family val="2"/>
        <scheme val="minor"/>
      </rPr>
      <t>2</t>
    </r>
    <r>
      <rPr>
        <sz val="11"/>
        <color theme="1"/>
        <rFont val="Calibri"/>
        <family val="2"/>
        <scheme val="minor"/>
      </rPr>
      <t xml:space="preserve"> Serum und Milch</t>
    </r>
  </si>
  <si>
    <t>TR br &gt; TR n</t>
  </si>
  <si>
    <t>Rest Heu</t>
  </si>
  <si>
    <t>Rest Milch</t>
  </si>
  <si>
    <t>PFBA</t>
  </si>
  <si>
    <t>PFPeA</t>
  </si>
  <si>
    <t>PFOA</t>
  </si>
  <si>
    <t>PFOS</t>
  </si>
  <si>
    <t>PFNS</t>
  </si>
  <si>
    <t>PFDS</t>
  </si>
  <si>
    <t>PFUnDS</t>
  </si>
  <si>
    <t>PFDoDS</t>
  </si>
  <si>
    <t>PFTrDS</t>
  </si>
  <si>
    <t xml:space="preserve">PFPeA </t>
  </si>
  <si>
    <t xml:space="preserve">PFHxA </t>
  </si>
  <si>
    <t xml:space="preserve">PFHpA </t>
  </si>
  <si>
    <t xml:space="preserve">PFOA </t>
  </si>
  <si>
    <t xml:space="preserve">PFNA </t>
  </si>
  <si>
    <t xml:space="preserve">PFDA </t>
  </si>
  <si>
    <t xml:space="preserve">PFUnDA </t>
  </si>
  <si>
    <t xml:space="preserve">PFDoDA </t>
  </si>
  <si>
    <t xml:space="preserve">PFTrDA </t>
  </si>
  <si>
    <t xml:space="preserve">PFTeDA </t>
  </si>
  <si>
    <t xml:space="preserve">PFBS </t>
  </si>
  <si>
    <t xml:space="preserve">PFPeS </t>
  </si>
  <si>
    <t xml:space="preserve">PFHxS </t>
  </si>
  <si>
    <t xml:space="preserve">PFHpS </t>
  </si>
  <si>
    <t xml:space="preserve">PFOS </t>
  </si>
  <si>
    <t xml:space="preserve">PFNS </t>
  </si>
  <si>
    <t xml:space="preserve">PFDS </t>
  </si>
  <si>
    <t xml:space="preserve">PFUnDS </t>
  </si>
  <si>
    <t xml:space="preserve">PFDoDS </t>
  </si>
  <si>
    <t xml:space="preserve">PFTrDS </t>
  </si>
  <si>
    <t>PFHxA</t>
  </si>
  <si>
    <t>PFHxS</t>
  </si>
  <si>
    <t>PFHpS</t>
  </si>
  <si>
    <t>Mittelwert Gehalt</t>
  </si>
  <si>
    <t>Standardabweichung Gehalt</t>
  </si>
  <si>
    <t>PFSAs C8-C10</t>
  </si>
  <si>
    <t>PFCAs C4-C5</t>
  </si>
  <si>
    <t>br-PFCAs</t>
  </si>
  <si>
    <t xml:space="preserve">Hay </t>
  </si>
  <si>
    <t>&lt;LOQ</t>
  </si>
  <si>
    <t>n.d.</t>
  </si>
  <si>
    <t>PFPeS</t>
  </si>
  <si>
    <t xml:space="preserve">Milch </t>
  </si>
  <si>
    <t>=</t>
  </si>
  <si>
    <t>PFAS-Aufnahme in µg</t>
  </si>
  <si>
    <t>mean TR</t>
  </si>
  <si>
    <t>Summe n</t>
  </si>
  <si>
    <t>TR</t>
  </si>
  <si>
    <t>DT50 (weeks)</t>
  </si>
  <si>
    <t>liver</t>
  </si>
  <si>
    <t>lung</t>
  </si>
  <si>
    <t>heart</t>
  </si>
  <si>
    <t>kidney</t>
  </si>
  <si>
    <t>erster Tag der Depurationphase</t>
  </si>
  <si>
    <t>MW milk:serum</t>
  </si>
  <si>
    <t>tissue</t>
  </si>
  <si>
    <t>µg/l</t>
  </si>
  <si>
    <t>tissue:serum</t>
  </si>
  <si>
    <t>partition coefficients tisse:serum at time of slaughter</t>
  </si>
  <si>
    <t>coeff</t>
  </si>
  <si>
    <t>author</t>
  </si>
  <si>
    <t>animal</t>
  </si>
  <si>
    <t>dose</t>
  </si>
  <si>
    <t>duration of exposure</t>
  </si>
  <si>
    <t>plasma</t>
  </si>
  <si>
    <t>muscle</t>
  </si>
  <si>
    <t>spleen</t>
  </si>
  <si>
    <t>Kowalczyk et al. 2013</t>
  </si>
  <si>
    <t>sheep, pilot study</t>
  </si>
  <si>
    <t>number of animals</t>
  </si>
  <si>
    <t>90 µg/kg DM PFOS 33µg/kg PFOA</t>
  </si>
  <si>
    <t>21 days</t>
  </si>
  <si>
    <t>0.2-19.2 µg/l PFOS &lt;0.2-1.3 µg/L PFOA</t>
  </si>
  <si>
    <t>urine</t>
  </si>
  <si>
    <t>feces</t>
  </si>
  <si>
    <t>PFOA, PFOS</t>
  </si>
  <si>
    <t>primarly PFOS</t>
  </si>
  <si>
    <t>primarly PFOA</t>
  </si>
  <si>
    <t>Zafeiraki et al. 2016</t>
  </si>
  <si>
    <t>sheep</t>
  </si>
  <si>
    <t>PFOS up to 0.5 µg/kg grass</t>
  </si>
  <si>
    <t>intake</t>
  </si>
  <si>
    <t>contaminated feed</t>
  </si>
  <si>
    <t>grazing on contaminated site</t>
  </si>
  <si>
    <t xml:space="preserve"> sheep</t>
  </si>
  <si>
    <t>112 days</t>
  </si>
  <si>
    <t>10.9 ng/g PFOS</t>
  </si>
  <si>
    <t>56 days</t>
  </si>
  <si>
    <t>9.2 ng/g PFOS</t>
  </si>
  <si>
    <t>4.7 ng/g PFOS</t>
  </si>
  <si>
    <t>64 days</t>
  </si>
  <si>
    <t>12 % of intaken PFOS after expsoure, 6% after depuration</t>
  </si>
  <si>
    <t>Lupton et al. 2025</t>
  </si>
  <si>
    <t>28 days</t>
  </si>
  <si>
    <t>Drew et al. 2021</t>
  </si>
  <si>
    <t>heifers</t>
  </si>
  <si>
    <t>water with AFFF</t>
  </si>
  <si>
    <t>PFOS , PFHpS, PFHxS, PFNA, PFDA</t>
  </si>
  <si>
    <t>depuration phase</t>
  </si>
  <si>
    <t>215 days</t>
  </si>
  <si>
    <t>Half-lives (d) tPFOS 74.1 ± 13.4, PFHpS 45.7 ± 9.4, PFHxS 9.3 ± 1.3, PFNA 12.3 ± 3.2, PFDA 60.4 ± 10.4,  n-PFOS 69.4 ± 11.6, mono br-PFOS 83.6 ± 19, di br-PFOS 29.9 ± 5.8</t>
  </si>
  <si>
    <t>Drew et al. 2022</t>
  </si>
  <si>
    <t>cattle</t>
  </si>
  <si>
    <t xml:space="preserve">water </t>
  </si>
  <si>
    <t>19 (3 steers)</t>
  </si>
  <si>
    <t>Serum/water TF - Figures --&gt;                                               The accumulation order for PFOS isomers is
L-PFOS ≈ m-PFOS &gt;&gt; di-PFOS with tPFOS the
same as L-PFOS and m-PFOS. For other PFAS
the rank order is PFNA &gt; tPFOS ≈ PFHpS &gt;
PFDA &gt;&gt; PFHxS</t>
  </si>
  <si>
    <t>Because sheep had much lower PFAS serum</t>
  </si>
  <si>
    <t>concentrations than cattle, the TFs for sheep</t>
  </si>
  <si>
    <t>(non-pregnant and non-lactating ewes) are also</t>
  </si>
  <si>
    <t>much lower. The bioaccumulation order for the</t>
  </si>
  <si>
    <t>PFAS measured in sheep serum are PFHxS &gt;</t>
  </si>
  <si>
    <t>tPFOS = b-PFOS (this is the sum of di- and</t>
  </si>
  <si>
    <t>mono-PFOS) &gt; L-PFOS (Table 2)</t>
  </si>
  <si>
    <t>Kowalczyk et al. 2012</t>
  </si>
  <si>
    <t>dairy cows</t>
  </si>
  <si>
    <t>hay, silage</t>
  </si>
  <si>
    <t>dairy cows Holstein)</t>
  </si>
  <si>
    <t>lifetime exposure</t>
  </si>
  <si>
    <t>2 weeks, 20 weeks, 22 weeks</t>
  </si>
  <si>
    <t>grazing</t>
  </si>
  <si>
    <t>unknown</t>
  </si>
  <si>
    <t>Perfluorocarboxylic acid (PFCA) analytes (PFBA, PFHxA, PFHpA, PFOA and PFNA) and perfluorobutane sulfonic acid (PFBS) are not shown because they were either not detected in plasma or were only sporadically detected at con­centrations near each LOD, consistent with plasma data of cattle from the same farm (Lupton et al. 2022) and from other studies which demon­strate that PFCA residues do not generally accu­mulate in cattle (Kowalczyk et al. 2013; Vestergren et al. 2013; Drew et al. 2022). Rapid clearance of PFCAs in ruminants substantially differs from the long elimination half-lives of PFOA and PFSAs in humans, primates and rodents (Pizzurro et al. 2019).</t>
  </si>
  <si>
    <t>Rank order in plasma = rank order in water: At Day 0, plasma concentrations of PFSAs ranked PFHxS &gt; L-PFOS &gt;3Me-PFOS ≈ 6Me-PFOS &gt; PFHpS with respect to numeric con­centrations.</t>
  </si>
  <si>
    <t>PFHpS and PFHxS eliminated more rapidly than PFOS</t>
  </si>
  <si>
    <t>Hay</t>
  </si>
  <si>
    <t>Heu SD</t>
  </si>
  <si>
    <t>Tag der Auswaschphase</t>
  </si>
  <si>
    <t>PFCAs</t>
  </si>
  <si>
    <t xml:space="preserve">je kg KG </t>
  </si>
  <si>
    <t>steady state after 12-18 months exposure reached</t>
  </si>
  <si>
    <t>TR milk</t>
  </si>
  <si>
    <t>HL milk</t>
  </si>
  <si>
    <t>HL serum</t>
  </si>
  <si>
    <t>Isomer</t>
  </si>
  <si>
    <t>milk:serum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</si>
</sst>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0"/>
    <numFmt numFmtId="166" formatCode="0.000"/>
  </numFmts>
  <fonts count="14" x14ac:knownFonts="1">
    <font>
      <sz val="11"/>
      <color theme="1"/>
      <name val="Calibri"/>
      <family val="2"/>
      <scheme val="minor"/>
    </font>
    <font>
      <sz val="11"/>
      <color rgb="FF006100"/>
      <name val="Calibri"/>
      <family val="2"/>
      <scheme val="minor"/>
    </font>
    <font>
      <b/>
      <sz val="11"/>
      <color rgb="FF3F3F3F"/>
      <name val="Calibri"/>
      <family val="2"/>
      <scheme val="minor"/>
    </font>
    <font>
      <sz val="11"/>
      <color rgb="FFFF0000"/>
      <name val="Calibri"/>
      <family val="2"/>
      <scheme val="minor"/>
    </font>
    <font>
      <sz val="8"/>
      <name val="Calibri"/>
      <family val="2"/>
      <scheme val="minor"/>
    </font>
    <font>
      <vertAlign val="superscript"/>
      <sz val="11"/>
      <color theme="1"/>
      <name val="Calibri"/>
      <family val="2"/>
      <scheme val="minor"/>
    </font>
    <font>
      <sz val="11"/>
      <name val="Calibri"/>
      <family val="2"/>
      <scheme val="minor"/>
    </font>
    <font>
      <b/>
      <sz val="11"/>
      <color theme="1"/>
      <name val="Calibri"/>
      <family val="2"/>
      <scheme val="minor"/>
    </font>
    <font>
      <b/>
      <sz val="11"/>
      <color rgb="FFFF0000"/>
      <name val="Calibri"/>
      <family val="2"/>
      <scheme val="minor"/>
    </font>
    <font>
      <sz val="11"/>
      <color theme="1"/>
      <name val="Calibri"/>
      <family val="2"/>
    </font>
    <font>
      <sz val="12"/>
      <color theme="1"/>
      <name val="Calibri"/>
      <family val="2"/>
      <scheme val="minor"/>
    </font>
    <font>
      <sz val="11"/>
      <color theme="1"/>
      <name val="Arial"/>
      <family val="2"/>
    </font>
    <font>
      <sz val="11.5"/>
      <color rgb="FF000000"/>
      <name val="Times New Roman"/>
      <family val="1"/>
    </font>
    <font>
      <sz val="11"/>
      <color theme="1"/>
      <name val="Times New Roman"/>
      <family val="1"/>
    </font>
  </fonts>
  <fills count="10">
    <fill>
      <patternFill patternType="none"/>
    </fill>
    <fill>
      <patternFill patternType="gray125"/>
    </fill>
    <fill>
      <patternFill patternType="solid">
        <fgColor rgb="FFC6EFCE"/>
      </patternFill>
    </fill>
    <fill>
      <patternFill patternType="solid">
        <fgColor rgb="FFF2F2F2"/>
      </patternFill>
    </fill>
    <fill>
      <patternFill patternType="solid">
        <fgColor rgb="FFFFFF00"/>
        <bgColor indexed="64"/>
      </patternFill>
    </fill>
    <fill>
      <patternFill patternType="solid">
        <fgColor indexed="65"/>
        <bgColor theme="6"/>
      </patternFill>
    </fill>
    <fill>
      <patternFill patternType="lightUp"/>
    </fill>
    <fill>
      <patternFill patternType="solid">
        <fgColor theme="2"/>
        <bgColor indexed="64"/>
      </patternFill>
    </fill>
    <fill>
      <patternFill patternType="solid">
        <fgColor theme="9"/>
        <bgColor indexed="64"/>
      </patternFill>
    </fill>
    <fill>
      <patternFill patternType="solid">
        <fgColor rgb="FF92D050"/>
        <bgColor indexed="64"/>
      </patternFill>
    </fill>
  </fills>
  <borders count="28">
    <border>
      <left/>
      <right/>
      <top/>
      <bottom/>
      <diagonal/>
    </border>
    <border>
      <left style="thin">
        <color rgb="FF3F3F3F"/>
      </left>
      <right style="thin">
        <color rgb="FF3F3F3F"/>
      </right>
      <top style="thin">
        <color rgb="FF3F3F3F"/>
      </top>
      <bottom style="thin">
        <color rgb="FF3F3F3F"/>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rgb="FF3F3F3F"/>
      </right>
      <top style="thin">
        <color rgb="FF3F3F3F"/>
      </top>
      <bottom style="thin">
        <color rgb="FF3F3F3F"/>
      </bottom>
      <diagonal/>
    </border>
    <border>
      <left/>
      <right style="thin">
        <color rgb="FF3F3F3F"/>
      </right>
      <top style="thin">
        <color rgb="FF3F3F3F"/>
      </top>
      <bottom/>
      <diagonal/>
    </border>
    <border>
      <left style="thin">
        <color rgb="FF3F3F3F"/>
      </left>
      <right style="thin">
        <color rgb="FF3F3F3F"/>
      </right>
      <top style="thin">
        <color rgb="FF3F3F3F"/>
      </top>
      <bottom/>
      <diagonal/>
    </border>
    <border>
      <left style="thin">
        <color rgb="FF3F3F3F"/>
      </left>
      <right style="thin">
        <color rgb="FF3F3F3F"/>
      </right>
      <top/>
      <bottom style="thin">
        <color rgb="FF3F3F3F"/>
      </bottom>
      <diagonal/>
    </border>
    <border>
      <left style="thin">
        <color rgb="FF3F3F3F"/>
      </left>
      <right style="thin">
        <color rgb="FF3F3F3F"/>
      </right>
      <top style="thin">
        <color indexed="64"/>
      </top>
      <bottom style="thin">
        <color rgb="FF3F3F3F"/>
      </bottom>
      <diagonal/>
    </border>
    <border>
      <left style="thin">
        <color rgb="FF3F3F3F"/>
      </left>
      <right style="thin">
        <color rgb="FF3F3F3F"/>
      </right>
      <top style="thin">
        <color rgb="FF3F3F3F"/>
      </top>
      <bottom style="thin">
        <color indexed="64"/>
      </bottom>
      <diagonal/>
    </border>
    <border>
      <left/>
      <right/>
      <top/>
      <bottom style="medium">
        <color indexed="64"/>
      </bottom>
      <diagonal/>
    </border>
  </borders>
  <cellStyleXfs count="3">
    <xf numFmtId="0" fontId="0" fillId="0" borderId="0"/>
    <xf numFmtId="0" fontId="1" fillId="2" borderId="0" applyNumberFormat="0" applyBorder="0" applyAlignment="0" applyProtection="0"/>
    <xf numFmtId="0" fontId="2" fillId="3" borderId="1" applyNumberFormat="0" applyAlignment="0" applyProtection="0"/>
  </cellStyleXfs>
  <cellXfs count="99">
    <xf numFmtId="0" fontId="0" fillId="0" borderId="0" xfId="0"/>
    <xf numFmtId="0" fontId="0" fillId="0" borderId="2" xfId="0" applyBorder="1"/>
    <xf numFmtId="14" fontId="0" fillId="0" borderId="0" xfId="0" applyNumberFormat="1"/>
    <xf numFmtId="2" fontId="0" fillId="0" borderId="2" xfId="0" applyNumberFormat="1" applyBorder="1"/>
    <xf numFmtId="2" fontId="0" fillId="0" borderId="0" xfId="0" applyNumberFormat="1"/>
    <xf numFmtId="0" fontId="0" fillId="0" borderId="7" xfId="0" applyBorder="1"/>
    <xf numFmtId="2" fontId="0" fillId="0" borderId="4" xfId="0" applyNumberFormat="1" applyBorder="1"/>
    <xf numFmtId="0" fontId="0" fillId="0" borderId="9" xfId="0" applyBorder="1"/>
    <xf numFmtId="2" fontId="0" fillId="0" borderId="6" xfId="0" applyNumberFormat="1" applyBorder="1"/>
    <xf numFmtId="0" fontId="0" fillId="0" borderId="5" xfId="0" applyBorder="1"/>
    <xf numFmtId="2" fontId="0" fillId="0" borderId="12" xfId="1" applyNumberFormat="1" applyFont="1" applyFill="1" applyBorder="1" applyAlignment="1">
      <alignment horizontal="center" vertical="center"/>
    </xf>
    <xf numFmtId="2" fontId="0" fillId="0" borderId="8" xfId="1" applyNumberFormat="1" applyFont="1" applyFill="1" applyBorder="1" applyAlignment="1">
      <alignment horizontal="center" vertical="center"/>
    </xf>
    <xf numFmtId="164" fontId="0" fillId="0" borderId="8" xfId="1" applyNumberFormat="1" applyFont="1" applyFill="1" applyBorder="1" applyAlignment="1">
      <alignment horizontal="center" vertical="center"/>
    </xf>
    <xf numFmtId="2" fontId="0" fillId="0" borderId="13" xfId="1" applyNumberFormat="1" applyFont="1" applyFill="1" applyBorder="1" applyAlignment="1">
      <alignment horizontal="center" vertical="center"/>
    </xf>
    <xf numFmtId="2" fontId="0" fillId="0" borderId="14" xfId="1" applyNumberFormat="1" applyFont="1" applyFill="1" applyBorder="1" applyAlignment="1">
      <alignment horizontal="center" vertical="center"/>
    </xf>
    <xf numFmtId="164" fontId="0" fillId="0" borderId="12" xfId="1" applyNumberFormat="1" applyFont="1" applyFill="1" applyBorder="1" applyAlignment="1">
      <alignment horizontal="center" vertical="center"/>
    </xf>
    <xf numFmtId="2" fontId="0" fillId="0" borderId="15" xfId="1" applyNumberFormat="1" applyFont="1" applyFill="1" applyBorder="1" applyAlignment="1">
      <alignment horizontal="center" vertical="center"/>
    </xf>
    <xf numFmtId="2" fontId="0" fillId="0" borderId="10" xfId="1" applyNumberFormat="1" applyFont="1" applyFill="1" applyBorder="1" applyAlignment="1">
      <alignment horizontal="center" vertical="center"/>
    </xf>
    <xf numFmtId="1" fontId="0" fillId="0" borderId="8" xfId="1" applyNumberFormat="1" applyFont="1" applyFill="1" applyBorder="1" applyAlignment="1">
      <alignment horizontal="center" vertical="center"/>
    </xf>
    <xf numFmtId="2" fontId="0" fillId="5" borderId="12" xfId="1" applyNumberFormat="1" applyFont="1" applyFill="1" applyBorder="1" applyAlignment="1">
      <alignment horizontal="center" vertical="center"/>
    </xf>
    <xf numFmtId="2" fontId="0" fillId="5" borderId="8" xfId="1" applyNumberFormat="1" applyFont="1" applyFill="1" applyBorder="1" applyAlignment="1">
      <alignment horizontal="center" vertical="center"/>
    </xf>
    <xf numFmtId="164" fontId="0" fillId="5" borderId="8" xfId="1" applyNumberFormat="1" applyFont="1" applyFill="1" applyBorder="1" applyAlignment="1">
      <alignment horizontal="center" vertical="center"/>
    </xf>
    <xf numFmtId="164" fontId="0" fillId="5" borderId="12" xfId="1" applyNumberFormat="1" applyFont="1" applyFill="1" applyBorder="1" applyAlignment="1">
      <alignment horizontal="center" vertical="center"/>
    </xf>
    <xf numFmtId="14" fontId="0" fillId="6" borderId="0" xfId="0" applyNumberFormat="1" applyFill="1"/>
    <xf numFmtId="0" fontId="0" fillId="6" borderId="0" xfId="0" applyFill="1"/>
    <xf numFmtId="2" fontId="0" fillId="0" borderId="9" xfId="0" applyNumberFormat="1" applyBorder="1"/>
    <xf numFmtId="0" fontId="0" fillId="0" borderId="11" xfId="0" applyBorder="1"/>
    <xf numFmtId="1" fontId="0" fillId="0" borderId="0" xfId="0" applyNumberFormat="1"/>
    <xf numFmtId="2" fontId="0" fillId="0" borderId="3" xfId="0" applyNumberFormat="1" applyBorder="1"/>
    <xf numFmtId="0" fontId="0" fillId="0" borderId="0" xfId="0" applyAlignment="1"/>
    <xf numFmtId="0" fontId="3" fillId="0" borderId="0" xfId="0" applyFont="1"/>
    <xf numFmtId="49" fontId="0" fillId="0" borderId="0" xfId="0" applyNumberFormat="1"/>
    <xf numFmtId="0" fontId="2" fillId="3" borderId="1" xfId="2"/>
    <xf numFmtId="164" fontId="0" fillId="0" borderId="0" xfId="0" applyNumberFormat="1"/>
    <xf numFmtId="2" fontId="0" fillId="0" borderId="0" xfId="0" applyNumberFormat="1" applyAlignment="1"/>
    <xf numFmtId="0" fontId="0" fillId="4" borderId="0" xfId="0" applyFill="1"/>
    <xf numFmtId="2" fontId="3" fillId="0" borderId="0" xfId="0" applyNumberFormat="1" applyFont="1"/>
    <xf numFmtId="2" fontId="0" fillId="4" borderId="0" xfId="0" applyNumberFormat="1" applyFill="1"/>
    <xf numFmtId="0" fontId="0" fillId="0" borderId="0" xfId="0" applyFill="1"/>
    <xf numFmtId="14" fontId="0" fillId="0" borderId="0" xfId="0" applyNumberFormat="1" applyFill="1"/>
    <xf numFmtId="0" fontId="0" fillId="7" borderId="0" xfId="0" applyFill="1"/>
    <xf numFmtId="2" fontId="3" fillId="7" borderId="0" xfId="0" applyNumberFormat="1" applyFont="1" applyFill="1"/>
    <xf numFmtId="2" fontId="0" fillId="7" borderId="0" xfId="0" applyNumberFormat="1" applyFill="1"/>
    <xf numFmtId="0" fontId="0" fillId="8" borderId="0" xfId="0" applyFill="1"/>
    <xf numFmtId="0" fontId="3" fillId="9" borderId="0" xfId="0" applyFont="1" applyFill="1"/>
    <xf numFmtId="2" fontId="3" fillId="0" borderId="0" xfId="0" applyNumberFormat="1" applyFont="1" applyFill="1"/>
    <xf numFmtId="2" fontId="0" fillId="0" borderId="0" xfId="0" applyNumberFormat="1" applyFill="1"/>
    <xf numFmtId="2" fontId="0" fillId="0" borderId="0" xfId="0" applyNumberFormat="1" applyBorder="1"/>
    <xf numFmtId="2" fontId="0" fillId="0" borderId="5" xfId="0" applyNumberFormat="1" applyBorder="1"/>
    <xf numFmtId="2" fontId="0" fillId="0" borderId="11" xfId="0" applyNumberFormat="1" applyBorder="1"/>
    <xf numFmtId="0" fontId="0" fillId="0" borderId="16" xfId="0" applyBorder="1"/>
    <xf numFmtId="0" fontId="0" fillId="0" borderId="17" xfId="0" applyBorder="1"/>
    <xf numFmtId="0" fontId="0" fillId="0" borderId="18" xfId="0" applyBorder="1"/>
    <xf numFmtId="0" fontId="0" fillId="0" borderId="10" xfId="0" applyBorder="1"/>
    <xf numFmtId="0" fontId="0" fillId="0" borderId="19" xfId="0" applyBorder="1"/>
    <xf numFmtId="0" fontId="0" fillId="0" borderId="20" xfId="0" applyBorder="1"/>
    <xf numFmtId="2" fontId="0" fillId="0" borderId="7" xfId="0" applyNumberFormat="1" applyBorder="1"/>
    <xf numFmtId="2" fontId="6" fillId="0" borderId="0" xfId="0" applyNumberFormat="1" applyFont="1"/>
    <xf numFmtId="0" fontId="6" fillId="0" borderId="0" xfId="0" applyFont="1"/>
    <xf numFmtId="14" fontId="6" fillId="0" borderId="0" xfId="0" applyNumberFormat="1" applyFont="1"/>
    <xf numFmtId="0" fontId="0" fillId="0" borderId="0" xfId="0" applyBorder="1"/>
    <xf numFmtId="2" fontId="2" fillId="3" borderId="1" xfId="2" applyNumberFormat="1"/>
    <xf numFmtId="2" fontId="0" fillId="6" borderId="0" xfId="0" applyNumberFormat="1" applyFill="1"/>
    <xf numFmtId="0" fontId="0" fillId="0" borderId="0" xfId="0" applyNumberFormat="1"/>
    <xf numFmtId="0" fontId="2" fillId="3" borderId="1" xfId="2" applyNumberFormat="1"/>
    <xf numFmtId="0" fontId="2" fillId="3" borderId="0" xfId="2" applyBorder="1"/>
    <xf numFmtId="2" fontId="2" fillId="3" borderId="21" xfId="2" applyNumberFormat="1" applyBorder="1"/>
    <xf numFmtId="0" fontId="7" fillId="0" borderId="0" xfId="0" applyFont="1"/>
    <xf numFmtId="2" fontId="7" fillId="0" borderId="0" xfId="0" applyNumberFormat="1" applyFont="1"/>
    <xf numFmtId="165" fontId="7" fillId="0" borderId="0" xfId="0" applyNumberFormat="1" applyFont="1"/>
    <xf numFmtId="2" fontId="2" fillId="3" borderId="1" xfId="2" applyNumberFormat="1" applyFont="1"/>
    <xf numFmtId="0" fontId="2" fillId="3" borderId="1" xfId="2" applyNumberFormat="1" applyFont="1"/>
    <xf numFmtId="165" fontId="8" fillId="0" borderId="0" xfId="0" applyNumberFormat="1" applyFont="1"/>
    <xf numFmtId="2" fontId="2" fillId="3" borderId="22" xfId="2" applyNumberFormat="1" applyBorder="1"/>
    <xf numFmtId="2" fontId="2" fillId="3" borderId="23" xfId="2" applyNumberFormat="1" applyBorder="1"/>
    <xf numFmtId="2" fontId="2" fillId="3" borderId="24" xfId="2" applyNumberFormat="1" applyBorder="1"/>
    <xf numFmtId="2" fontId="2" fillId="3" borderId="25" xfId="2" applyNumberFormat="1" applyBorder="1"/>
    <xf numFmtId="2" fontId="2" fillId="3" borderId="1" xfId="2" applyNumberFormat="1" applyBorder="1"/>
    <xf numFmtId="2" fontId="2" fillId="3" borderId="26" xfId="2" applyNumberFormat="1" applyBorder="1"/>
    <xf numFmtId="2" fontId="9" fillId="0" borderId="2" xfId="0" applyNumberFormat="1" applyFont="1" applyBorder="1"/>
    <xf numFmtId="2" fontId="9" fillId="0" borderId="3" xfId="0" applyNumberFormat="1" applyFont="1" applyBorder="1"/>
    <xf numFmtId="2" fontId="9" fillId="0" borderId="0" xfId="0" applyNumberFormat="1" applyFont="1"/>
    <xf numFmtId="2" fontId="9" fillId="0" borderId="4" xfId="0" applyNumberFormat="1" applyFont="1" applyBorder="1"/>
    <xf numFmtId="2" fontId="9" fillId="0" borderId="5" xfId="0" applyNumberFormat="1" applyFont="1" applyBorder="1"/>
    <xf numFmtId="2" fontId="9" fillId="0" borderId="6" xfId="0" applyNumberFormat="1" applyFont="1" applyBorder="1"/>
    <xf numFmtId="14" fontId="0" fillId="4" borderId="0" xfId="0" applyNumberFormat="1" applyFill="1"/>
    <xf numFmtId="2" fontId="3" fillId="0" borderId="9" xfId="0" applyNumberFormat="1" applyFont="1" applyBorder="1"/>
    <xf numFmtId="166" fontId="0" fillId="0" borderId="0" xfId="0" applyNumberFormat="1"/>
    <xf numFmtId="0" fontId="10" fillId="0" borderId="0" xfId="0" applyFont="1"/>
    <xf numFmtId="2" fontId="0" fillId="0" borderId="0" xfId="1" applyNumberFormat="1" applyFont="1" applyFill="1" applyBorder="1" applyAlignment="1">
      <alignment horizontal="center" vertical="center"/>
    </xf>
    <xf numFmtId="0" fontId="0" fillId="0" borderId="0" xfId="0" applyAlignment="1">
      <alignment wrapText="1"/>
    </xf>
    <xf numFmtId="0" fontId="11" fillId="0" borderId="0" xfId="0" applyFont="1"/>
    <xf numFmtId="0" fontId="12" fillId="0" borderId="0" xfId="0" applyFont="1" applyAlignment="1">
      <alignment horizontal="left" vertical="center" wrapText="1"/>
    </xf>
    <xf numFmtId="0" fontId="0" fillId="0" borderId="27" xfId="0" applyBorder="1"/>
    <xf numFmtId="2" fontId="6" fillId="0" borderId="5" xfId="0" applyNumberFormat="1" applyFont="1" applyBorder="1"/>
    <xf numFmtId="2" fontId="6" fillId="0" borderId="27" xfId="0" applyNumberFormat="1" applyFont="1" applyBorder="1"/>
    <xf numFmtId="2" fontId="0" fillId="0" borderId="27" xfId="0" applyNumberFormat="1" applyBorder="1"/>
    <xf numFmtId="0" fontId="0" fillId="0" borderId="0" xfId="0" applyAlignment="1">
      <alignment horizontal="center" wrapText="1"/>
    </xf>
    <xf numFmtId="2" fontId="13" fillId="0" borderId="0" xfId="0" applyNumberFormat="1" applyFont="1"/>
  </cellXfs>
  <cellStyles count="3">
    <cellStyle name="Ausgabe" xfId="2" builtinId="21"/>
    <cellStyle name="Gut" xfId="1" builtinId="26"/>
    <cellStyle name="Standard" xfId="0" builtinId="0"/>
  </cellStyles>
  <dxfs count="38">
    <dxf>
      <font>
        <color theme="0"/>
      </font>
      <fill>
        <patternFill>
          <bgColor rgb="FF7030A0"/>
        </patternFill>
      </fill>
    </dxf>
    <dxf>
      <font>
        <color auto="1"/>
      </font>
      <fill>
        <patternFill>
          <bgColor rgb="FF00B0F0"/>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8.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9.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0.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1.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2.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43.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44.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45.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46.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47.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48.xml.rels><?xml version="1.0" encoding="UTF-8" standalone="yes"?>
<Relationships xmlns="http://schemas.openxmlformats.org/package/2006/relationships"><Relationship Id="rId3" Type="http://schemas.openxmlformats.org/officeDocument/2006/relationships/chartUserShapes" Target="../drawings/drawing14.xml"/><Relationship Id="rId2" Type="http://schemas.microsoft.com/office/2011/relationships/chartColorStyle" Target="colors48.xml"/><Relationship Id="rId1" Type="http://schemas.microsoft.com/office/2011/relationships/chartStyle" Target="style48.xml"/></Relationships>
</file>

<file path=xl/charts/_rels/chart49.xml.rels><?xml version="1.0" encoding="UTF-8" standalone="yes"?>
<Relationships xmlns="http://schemas.openxmlformats.org/package/2006/relationships"><Relationship Id="rId3" Type="http://schemas.openxmlformats.org/officeDocument/2006/relationships/chartUserShapes" Target="../drawings/drawing15.xml"/><Relationship Id="rId2" Type="http://schemas.microsoft.com/office/2011/relationships/chartColorStyle" Target="colors49.xml"/><Relationship Id="rId1" Type="http://schemas.microsoft.com/office/2011/relationships/chartStyle" Target="style49.xml"/></Relationships>
</file>

<file path=xl/charts/_rels/chart50.xml.rels><?xml version="1.0" encoding="UTF-8" standalone="yes"?>
<Relationships xmlns="http://schemas.openxmlformats.org/package/2006/relationships"><Relationship Id="rId3" Type="http://schemas.openxmlformats.org/officeDocument/2006/relationships/chartUserShapes" Target="../drawings/drawing16.xml"/><Relationship Id="rId2" Type="http://schemas.microsoft.com/office/2011/relationships/chartColorStyle" Target="colors50.xml"/><Relationship Id="rId1" Type="http://schemas.microsoft.com/office/2011/relationships/chartStyle" Target="style50.xml"/></Relationships>
</file>

<file path=xl/charts/_rels/chart51.xml.rels><?xml version="1.0" encoding="UTF-8" standalone="yes"?>
<Relationships xmlns="http://schemas.openxmlformats.org/package/2006/relationships"><Relationship Id="rId3" Type="http://schemas.openxmlformats.org/officeDocument/2006/relationships/chartUserShapes" Target="../drawings/drawing17.xml"/><Relationship Id="rId2" Type="http://schemas.microsoft.com/office/2011/relationships/chartColorStyle" Target="colors51.xml"/><Relationship Id="rId1" Type="http://schemas.microsoft.com/office/2011/relationships/chartStyle" Target="style51.xml"/></Relationships>
</file>

<file path=xl/charts/_rels/chart52.xml.rels><?xml version="1.0" encoding="UTF-8" standalone="yes"?>
<Relationships xmlns="http://schemas.openxmlformats.org/package/2006/relationships"><Relationship Id="rId2" Type="http://schemas.microsoft.com/office/2011/relationships/chartColorStyle" Target="colors52.xml"/><Relationship Id="rId1" Type="http://schemas.microsoft.com/office/2011/relationships/chartStyle" Target="style52.xml"/></Relationships>
</file>

<file path=xl/charts/_rels/chart53.xml.rels><?xml version="1.0" encoding="UTF-8" standalone="yes"?>
<Relationships xmlns="http://schemas.openxmlformats.org/package/2006/relationships"><Relationship Id="rId2" Type="http://schemas.microsoft.com/office/2011/relationships/chartColorStyle" Target="colors53.xml"/><Relationship Id="rId1" Type="http://schemas.microsoft.com/office/2011/relationships/chartStyle" Target="style53.xml"/></Relationships>
</file>

<file path=xl/charts/_rels/chart54.xml.rels><?xml version="1.0" encoding="UTF-8" standalone="yes"?>
<Relationships xmlns="http://schemas.openxmlformats.org/package/2006/relationships"><Relationship Id="rId3" Type="http://schemas.openxmlformats.org/officeDocument/2006/relationships/chartUserShapes" Target="../drawings/drawing19.xml"/><Relationship Id="rId2" Type="http://schemas.microsoft.com/office/2011/relationships/chartColorStyle" Target="colors54.xml"/><Relationship Id="rId1" Type="http://schemas.microsoft.com/office/2011/relationships/chartStyle" Target="style5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1"/>
            <c:trendlineLbl>
              <c:numFmt formatCode="General" sourceLinked="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rendlineLbl>
          </c:trendline>
          <c:xVal>
            <c:numRef>
              <c:f>Milch!$C$65:$C$68</c:f>
              <c:numCache>
                <c:formatCode>General</c:formatCode>
                <c:ptCount val="4"/>
                <c:pt idx="0">
                  <c:v>1</c:v>
                </c:pt>
                <c:pt idx="1">
                  <c:v>5</c:v>
                </c:pt>
                <c:pt idx="2">
                  <c:v>17</c:v>
                </c:pt>
                <c:pt idx="3">
                  <c:v>45</c:v>
                </c:pt>
              </c:numCache>
            </c:numRef>
          </c:xVal>
          <c:yVal>
            <c:numRef>
              <c:f>Milch!$AD$65:$AD$68</c:f>
              <c:numCache>
                <c:formatCode>0.00</c:formatCode>
                <c:ptCount val="4"/>
                <c:pt idx="0">
                  <c:v>-3.7350115330109737</c:v>
                </c:pt>
                <c:pt idx="1">
                  <c:v>-4.0167346759968821</c:v>
                </c:pt>
                <c:pt idx="2">
                  <c:v>-3.9276292763341747</c:v>
                </c:pt>
                <c:pt idx="3">
                  <c:v>-4.4991723785981668</c:v>
                </c:pt>
              </c:numCache>
            </c:numRef>
          </c:yVal>
          <c:smooth val="0"/>
          <c:extLst>
            <c:ext xmlns:c16="http://schemas.microsoft.com/office/drawing/2014/chart" uri="{C3380CC4-5D6E-409C-BE32-E72D297353CC}">
              <c16:uniqueId val="{00000000-0BB9-4A01-B65B-519C86705487}"/>
            </c:ext>
          </c:extLst>
        </c:ser>
        <c:dLbls>
          <c:showLegendKey val="0"/>
          <c:showVal val="0"/>
          <c:showCatName val="0"/>
          <c:showSerName val="0"/>
          <c:showPercent val="0"/>
          <c:showBubbleSize val="0"/>
        </c:dLbls>
        <c:axId val="1801370927"/>
        <c:axId val="1801368847"/>
      </c:scatterChart>
      <c:valAx>
        <c:axId val="18013709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801368847"/>
        <c:crosses val="autoZero"/>
        <c:crossBetween val="midCat"/>
      </c:valAx>
      <c:valAx>
        <c:axId val="180136884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801370927"/>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8740157499999996" l="0.7" r="0.7" t="0.78740157499999996"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MilkSerumRatio!$G$47</c:f>
              <c:strCache>
                <c:ptCount val="1"/>
                <c:pt idx="0">
                  <c:v>total PFNS in milk</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MilkSerumRatio!$F$48:$F$74</c:f>
              <c:numCache>
                <c:formatCode>0.00</c:formatCode>
                <c:ptCount val="27"/>
                <c:pt idx="0">
                  <c:v>0</c:v>
                </c:pt>
                <c:pt idx="1">
                  <c:v>0</c:v>
                </c:pt>
                <c:pt idx="2">
                  <c:v>0</c:v>
                </c:pt>
                <c:pt idx="3">
                  <c:v>12.44</c:v>
                </c:pt>
                <c:pt idx="4">
                  <c:v>9.9</c:v>
                </c:pt>
                <c:pt idx="5">
                  <c:v>8.26</c:v>
                </c:pt>
                <c:pt idx="6">
                  <c:v>235</c:v>
                </c:pt>
                <c:pt idx="7">
                  <c:v>111.2</c:v>
                </c:pt>
                <c:pt idx="8">
                  <c:v>217.4</c:v>
                </c:pt>
                <c:pt idx="9">
                  <c:v>540</c:v>
                </c:pt>
                <c:pt idx="10">
                  <c:v>483</c:v>
                </c:pt>
                <c:pt idx="11">
                  <c:v>594</c:v>
                </c:pt>
                <c:pt idx="12">
                  <c:v>816</c:v>
                </c:pt>
                <c:pt idx="13">
                  <c:v>613</c:v>
                </c:pt>
                <c:pt idx="14">
                  <c:v>723</c:v>
                </c:pt>
                <c:pt idx="15">
                  <c:v>710</c:v>
                </c:pt>
                <c:pt idx="16">
                  <c:v>490</c:v>
                </c:pt>
                <c:pt idx="17">
                  <c:v>614</c:v>
                </c:pt>
                <c:pt idx="18">
                  <c:v>445.9</c:v>
                </c:pt>
                <c:pt idx="19">
                  <c:v>294.60000000000002</c:v>
                </c:pt>
                <c:pt idx="20">
                  <c:v>369.1</c:v>
                </c:pt>
                <c:pt idx="21">
                  <c:v>149.6</c:v>
                </c:pt>
                <c:pt idx="22">
                  <c:v>136.30000000000001</c:v>
                </c:pt>
                <c:pt idx="23">
                  <c:v>141.19999999999999</c:v>
                </c:pt>
                <c:pt idx="24">
                  <c:v>61.65</c:v>
                </c:pt>
                <c:pt idx="25">
                  <c:v>42.58</c:v>
                </c:pt>
                <c:pt idx="26">
                  <c:v>71.309999999999988</c:v>
                </c:pt>
              </c:numCache>
            </c:numRef>
          </c:xVal>
          <c:yVal>
            <c:numRef>
              <c:f>MilkSerumRatio!$G$48:$G$74</c:f>
              <c:numCache>
                <c:formatCode>General</c:formatCode>
                <c:ptCount val="27"/>
                <c:pt idx="0">
                  <c:v>0</c:v>
                </c:pt>
                <c:pt idx="1">
                  <c:v>0</c:v>
                </c:pt>
                <c:pt idx="2">
                  <c:v>0</c:v>
                </c:pt>
                <c:pt idx="3">
                  <c:v>3.474087791365525</c:v>
                </c:pt>
                <c:pt idx="4">
                  <c:v>0.88212007385429292</c:v>
                </c:pt>
                <c:pt idx="5">
                  <c:v>1.1559221287143528</c:v>
                </c:pt>
                <c:pt idx="6">
                  <c:v>21.274992010628605</c:v>
                </c:pt>
                <c:pt idx="7">
                  <c:v>8.4167933356222342</c:v>
                </c:pt>
                <c:pt idx="8">
                  <c:v>21.636120157019569</c:v>
                </c:pt>
                <c:pt idx="9">
                  <c:v>48.295714472871659</c:v>
                </c:pt>
                <c:pt idx="10">
                  <c:v>14.541434286779879</c:v>
                </c:pt>
                <c:pt idx="11">
                  <c:v>33.528872795897556</c:v>
                </c:pt>
                <c:pt idx="12">
                  <c:v>39.904299329996249</c:v>
                </c:pt>
                <c:pt idx="13">
                  <c:v>23.964673727759966</c:v>
                </c:pt>
                <c:pt idx="14">
                  <c:v>42.924434350362496</c:v>
                </c:pt>
                <c:pt idx="15">
                  <c:v>24.345902108514586</c:v>
                </c:pt>
                <c:pt idx="16">
                  <c:v>12.753960256332526</c:v>
                </c:pt>
                <c:pt idx="17">
                  <c:v>29.64572257720765</c:v>
                </c:pt>
                <c:pt idx="18">
                  <c:v>29.618667700601485</c:v>
                </c:pt>
                <c:pt idx="19">
                  <c:v>19.458799625417956</c:v>
                </c:pt>
                <c:pt idx="20">
                  <c:v>24.703069300468854</c:v>
                </c:pt>
                <c:pt idx="21">
                  <c:v>12.862739053377849</c:v>
                </c:pt>
                <c:pt idx="22">
                  <c:v>7.7700142876839697</c:v>
                </c:pt>
                <c:pt idx="23">
                  <c:v>7.8118492980317846</c:v>
                </c:pt>
                <c:pt idx="24">
                  <c:v>1.5637735151836485</c:v>
                </c:pt>
                <c:pt idx="25">
                  <c:v>0.87669026850507992</c:v>
                </c:pt>
                <c:pt idx="26">
                  <c:v>1.5092352567022165</c:v>
                </c:pt>
              </c:numCache>
            </c:numRef>
          </c:yVal>
          <c:smooth val="0"/>
          <c:extLst>
            <c:ext xmlns:c16="http://schemas.microsoft.com/office/drawing/2014/chart" uri="{C3380CC4-5D6E-409C-BE32-E72D297353CC}">
              <c16:uniqueId val="{00000000-B879-48EA-B504-264440B900EC}"/>
            </c:ext>
          </c:extLst>
        </c:ser>
        <c:dLbls>
          <c:showLegendKey val="0"/>
          <c:showVal val="0"/>
          <c:showCatName val="0"/>
          <c:showSerName val="0"/>
          <c:showPercent val="0"/>
          <c:showBubbleSize val="0"/>
        </c:dLbls>
        <c:axId val="656161327"/>
        <c:axId val="656164239"/>
      </c:scatterChart>
      <c:valAx>
        <c:axId val="65616132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PFNS in serum µg/kg</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6164239"/>
        <c:crosses val="autoZero"/>
        <c:crossBetween val="midCat"/>
      </c:valAx>
      <c:valAx>
        <c:axId val="6561642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PFNS in milk</a:t>
                </a:r>
                <a:r>
                  <a:rPr lang="en-US" baseline="0"/>
                  <a:t> µg/kg</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6161327"/>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8740157499999996" l="0.7" r="0.7" t="0.78740157499999996"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strRef>
              <c:f>MilkSerumRatio!$B$47:$B$74</c:f>
              <c:strCache>
                <c:ptCount val="28"/>
                <c:pt idx="0">
                  <c:v>br</c:v>
                </c:pt>
                <c:pt idx="4">
                  <c:v>10,0</c:v>
                </c:pt>
                <c:pt idx="5">
                  <c:v>7,61</c:v>
                </c:pt>
                <c:pt idx="6">
                  <c:v>6,48</c:v>
                </c:pt>
                <c:pt idx="7">
                  <c:v>181</c:v>
                </c:pt>
                <c:pt idx="8">
                  <c:v>88,5</c:v>
                </c:pt>
                <c:pt idx="9">
                  <c:v>171</c:v>
                </c:pt>
                <c:pt idx="10">
                  <c:v>405</c:v>
                </c:pt>
                <c:pt idx="11">
                  <c:v>378</c:v>
                </c:pt>
                <c:pt idx="12">
                  <c:v>455</c:v>
                </c:pt>
                <c:pt idx="13">
                  <c:v>614</c:v>
                </c:pt>
                <c:pt idx="14">
                  <c:v>463</c:v>
                </c:pt>
                <c:pt idx="15">
                  <c:v>549</c:v>
                </c:pt>
                <c:pt idx="16">
                  <c:v>526</c:v>
                </c:pt>
                <c:pt idx="17">
                  <c:v>372</c:v>
                </c:pt>
                <c:pt idx="18">
                  <c:v>472</c:v>
                </c:pt>
                <c:pt idx="19">
                  <c:v>348</c:v>
                </c:pt>
                <c:pt idx="20">
                  <c:v>229</c:v>
                </c:pt>
                <c:pt idx="21">
                  <c:v>290</c:v>
                </c:pt>
                <c:pt idx="22">
                  <c:v>122</c:v>
                </c:pt>
                <c:pt idx="23">
                  <c:v>113</c:v>
                </c:pt>
                <c:pt idx="24">
                  <c:v>119</c:v>
                </c:pt>
                <c:pt idx="25">
                  <c:v>55</c:v>
                </c:pt>
                <c:pt idx="26">
                  <c:v>38,3</c:v>
                </c:pt>
                <c:pt idx="27">
                  <c:v>66,1</c:v>
                </c:pt>
              </c:strCache>
            </c:strRef>
          </c:xVal>
          <c:yVal>
            <c:numRef>
              <c:f>MilkSerumRatio!$E$47:$E$74</c:f>
              <c:numCache>
                <c:formatCode>General</c:formatCode>
                <c:ptCount val="28"/>
                <c:pt idx="1">
                  <c:v>0</c:v>
                </c:pt>
                <c:pt idx="2">
                  <c:v>0</c:v>
                </c:pt>
                <c:pt idx="3">
                  <c:v>0</c:v>
                </c:pt>
                <c:pt idx="4">
                  <c:v>1.9363650390547249</c:v>
                </c:pt>
                <c:pt idx="5">
                  <c:v>0.51672229362191902</c:v>
                </c:pt>
                <c:pt idx="6">
                  <c:v>0.7176094132707479</c:v>
                </c:pt>
                <c:pt idx="7">
                  <c:v>15.305735766819165</c:v>
                </c:pt>
                <c:pt idx="8">
                  <c:v>5.5625440524280751</c:v>
                </c:pt>
                <c:pt idx="9">
                  <c:v>14.213042037467297</c:v>
                </c:pt>
                <c:pt idx="10">
                  <c:v>33.651710510482957</c:v>
                </c:pt>
                <c:pt idx="11">
                  <c:v>9.5342121756762701</c:v>
                </c:pt>
                <c:pt idx="12">
                  <c:v>22.284176851409452</c:v>
                </c:pt>
                <c:pt idx="13">
                  <c:v>27.188591933462348</c:v>
                </c:pt>
                <c:pt idx="14">
                  <c:v>16.292055578649645</c:v>
                </c:pt>
                <c:pt idx="15">
                  <c:v>29.309853383363198</c:v>
                </c:pt>
                <c:pt idx="16">
                  <c:v>15.281134002037867</c:v>
                </c:pt>
                <c:pt idx="17">
                  <c:v>7.9153806574561951</c:v>
                </c:pt>
                <c:pt idx="18">
                  <c:v>19.572238609274848</c:v>
                </c:pt>
                <c:pt idx="19">
                  <c:v>20.158448759353902</c:v>
                </c:pt>
                <c:pt idx="20">
                  <c:v>12.586343440270456</c:v>
                </c:pt>
                <c:pt idx="21">
                  <c:v>16.322715929944025</c:v>
                </c:pt>
                <c:pt idx="22">
                  <c:v>8.8558332393421288</c:v>
                </c:pt>
                <c:pt idx="23">
                  <c:v>5.4782715646642597</c:v>
                </c:pt>
                <c:pt idx="24">
                  <c:v>5.6124561946575851</c:v>
                </c:pt>
                <c:pt idx="25">
                  <c:v>1.1892258082976046</c:v>
                </c:pt>
                <c:pt idx="26">
                  <c:v>0.69050413101985186</c:v>
                </c:pt>
                <c:pt idx="27">
                  <c:v>1.2477246235215405</c:v>
                </c:pt>
              </c:numCache>
            </c:numRef>
          </c:yVal>
          <c:smooth val="0"/>
          <c:extLst>
            <c:ext xmlns:c16="http://schemas.microsoft.com/office/drawing/2014/chart" uri="{C3380CC4-5D6E-409C-BE32-E72D297353CC}">
              <c16:uniqueId val="{00000001-30AE-4B20-9BF8-FBCA738F3147}"/>
            </c:ext>
          </c:extLst>
        </c:ser>
        <c:dLbls>
          <c:showLegendKey val="0"/>
          <c:showVal val="0"/>
          <c:showCatName val="0"/>
          <c:showSerName val="0"/>
          <c:showPercent val="0"/>
          <c:showBubbleSize val="0"/>
        </c:dLbls>
        <c:axId val="656161327"/>
        <c:axId val="656164239"/>
      </c:scatterChart>
      <c:valAx>
        <c:axId val="65616132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PFNS in serum µg/kg</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6164239"/>
        <c:crosses val="autoZero"/>
        <c:crossBetween val="midCat"/>
      </c:valAx>
      <c:valAx>
        <c:axId val="6561642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PFNS in milk</a:t>
                </a:r>
                <a:r>
                  <a:rPr lang="en-US" baseline="0"/>
                  <a:t> µg/kg</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616132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8740157499999996" l="0.7" r="0.7" t="0.78740157499999996"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MilkSerumRatio!$D$47</c:f>
              <c:strCache>
                <c:ptCount val="1"/>
                <c:pt idx="0">
                  <c:v>n</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MilkSerumRatio!$C$48:$C$74</c:f>
              <c:numCache>
                <c:formatCode>0.00</c:formatCode>
                <c:ptCount val="27"/>
                <c:pt idx="3">
                  <c:v>2.44</c:v>
                </c:pt>
                <c:pt idx="4">
                  <c:v>2.29</c:v>
                </c:pt>
                <c:pt idx="5">
                  <c:v>1.78</c:v>
                </c:pt>
                <c:pt idx="6" formatCode="0.0">
                  <c:v>54</c:v>
                </c:pt>
                <c:pt idx="7" formatCode="0.0">
                  <c:v>22.7</c:v>
                </c:pt>
                <c:pt idx="8" formatCode="0.0">
                  <c:v>46.4</c:v>
                </c:pt>
                <c:pt idx="9" formatCode="0">
                  <c:v>135</c:v>
                </c:pt>
                <c:pt idx="10" formatCode="0">
                  <c:v>105</c:v>
                </c:pt>
                <c:pt idx="11" formatCode="0">
                  <c:v>139</c:v>
                </c:pt>
                <c:pt idx="12" formatCode="0">
                  <c:v>202</c:v>
                </c:pt>
                <c:pt idx="13" formatCode="0">
                  <c:v>150</c:v>
                </c:pt>
                <c:pt idx="14" formatCode="0">
                  <c:v>174</c:v>
                </c:pt>
                <c:pt idx="15" formatCode="0">
                  <c:v>184</c:v>
                </c:pt>
                <c:pt idx="16" formatCode="0">
                  <c:v>118</c:v>
                </c:pt>
                <c:pt idx="17" formatCode="0">
                  <c:v>142</c:v>
                </c:pt>
                <c:pt idx="18" formatCode="0.0">
                  <c:v>97.9</c:v>
                </c:pt>
                <c:pt idx="19" formatCode="0.0">
                  <c:v>65.599999999999994</c:v>
                </c:pt>
                <c:pt idx="20" formatCode="0.0">
                  <c:v>79.099999999999994</c:v>
                </c:pt>
                <c:pt idx="21" formatCode="0.0">
                  <c:v>27.6</c:v>
                </c:pt>
                <c:pt idx="22" formatCode="0.0">
                  <c:v>23.3</c:v>
                </c:pt>
                <c:pt idx="23" formatCode="0.0">
                  <c:v>22.2</c:v>
                </c:pt>
                <c:pt idx="24" formatCode="0.0">
                  <c:v>7.15</c:v>
                </c:pt>
                <c:pt idx="25">
                  <c:v>4.28</c:v>
                </c:pt>
                <c:pt idx="26">
                  <c:v>5.21</c:v>
                </c:pt>
              </c:numCache>
            </c:numRef>
          </c:xVal>
          <c:yVal>
            <c:numRef>
              <c:f>MilkSerumRatio!$D$48:$D$74</c:f>
              <c:numCache>
                <c:formatCode>General</c:formatCode>
                <c:ptCount val="27"/>
                <c:pt idx="0">
                  <c:v>0</c:v>
                </c:pt>
                <c:pt idx="1">
                  <c:v>0</c:v>
                </c:pt>
                <c:pt idx="2">
                  <c:v>0</c:v>
                </c:pt>
                <c:pt idx="3">
                  <c:v>1.5377227523107999</c:v>
                </c:pt>
                <c:pt idx="4">
                  <c:v>0.36539778023237396</c:v>
                </c:pt>
                <c:pt idx="5">
                  <c:v>0.43831271544360501</c:v>
                </c:pt>
                <c:pt idx="6">
                  <c:v>5.9692562438094399</c:v>
                </c:pt>
                <c:pt idx="7">
                  <c:v>2.8542492831941599</c:v>
                </c:pt>
                <c:pt idx="8">
                  <c:v>7.4230781195522706</c:v>
                </c:pt>
                <c:pt idx="9">
                  <c:v>14.6440039623887</c:v>
                </c:pt>
                <c:pt idx="10">
                  <c:v>5.0072221111036095</c:v>
                </c:pt>
                <c:pt idx="11">
                  <c:v>11.2446959444881</c:v>
                </c:pt>
                <c:pt idx="12">
                  <c:v>12.715707396533901</c:v>
                </c:pt>
                <c:pt idx="13">
                  <c:v>7.6726181491103196</c:v>
                </c:pt>
                <c:pt idx="14">
                  <c:v>13.6145809669993</c:v>
                </c:pt>
                <c:pt idx="15">
                  <c:v>9.0647681064767198</c:v>
                </c:pt>
                <c:pt idx="16">
                  <c:v>4.83857959887633</c:v>
                </c:pt>
                <c:pt idx="17">
                  <c:v>10.0734839679328</c:v>
                </c:pt>
                <c:pt idx="18">
                  <c:v>9.4602189412475806</c:v>
                </c:pt>
                <c:pt idx="19">
                  <c:v>6.8724561851474997</c:v>
                </c:pt>
                <c:pt idx="20">
                  <c:v>8.3803533705248299</c:v>
                </c:pt>
                <c:pt idx="21">
                  <c:v>4.0069058140357203</c:v>
                </c:pt>
                <c:pt idx="22">
                  <c:v>2.29174272301971</c:v>
                </c:pt>
                <c:pt idx="23">
                  <c:v>2.1993931033742</c:v>
                </c:pt>
                <c:pt idx="24">
                  <c:v>0.374547706886044</c:v>
                </c:pt>
                <c:pt idx="25">
                  <c:v>0.186186137485228</c:v>
                </c:pt>
                <c:pt idx="26">
                  <c:v>0.26151063318067602</c:v>
                </c:pt>
              </c:numCache>
            </c:numRef>
          </c:yVal>
          <c:smooth val="0"/>
          <c:extLst>
            <c:ext xmlns:c16="http://schemas.microsoft.com/office/drawing/2014/chart" uri="{C3380CC4-5D6E-409C-BE32-E72D297353CC}">
              <c16:uniqueId val="{00000001-A7C1-44C2-9A5B-48FF4F6753AC}"/>
            </c:ext>
          </c:extLst>
        </c:ser>
        <c:dLbls>
          <c:showLegendKey val="0"/>
          <c:showVal val="0"/>
          <c:showCatName val="0"/>
          <c:showSerName val="0"/>
          <c:showPercent val="0"/>
          <c:showBubbleSize val="0"/>
        </c:dLbls>
        <c:axId val="656161327"/>
        <c:axId val="656164239"/>
      </c:scatterChart>
      <c:valAx>
        <c:axId val="65616132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PFNS in serum µg/kg</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6164239"/>
        <c:crosses val="autoZero"/>
        <c:crossBetween val="midCat"/>
      </c:valAx>
      <c:valAx>
        <c:axId val="6561642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PFNS in milk</a:t>
                </a:r>
                <a:r>
                  <a:rPr lang="en-US" baseline="0"/>
                  <a:t> µg/kg</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616132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8740157499999996" l="0.7" r="0.7" t="0.78740157499999996"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Milk_Serum!$C$1</c:f>
              <c:strCache>
                <c:ptCount val="1"/>
                <c:pt idx="0">
                  <c:v>n-PFBA</c:v>
                </c:pt>
              </c:strCache>
            </c:strRef>
          </c:tx>
          <c:spPr>
            <a:ln w="28575" cap="rnd">
              <a:solidFill>
                <a:schemeClr val="accent1"/>
              </a:solidFill>
              <a:round/>
            </a:ln>
            <a:effectLst/>
          </c:spPr>
          <c:marker>
            <c:symbol val="none"/>
          </c:marker>
          <c:cat>
            <c:strRef>
              <c:f>Milk_Serum!$A$38:$B$46</c:f>
            </c:strRef>
          </c:cat>
          <c:val>
            <c:numRef>
              <c:f>Milk_Serum!$C$38:$C$46</c:f>
              <c:numCache>
                <c:formatCode>General</c:formatCode>
                <c:ptCount val="9"/>
              </c:numCache>
            </c:numRef>
          </c:val>
          <c:smooth val="0"/>
          <c:extLst>
            <c:ext xmlns:c16="http://schemas.microsoft.com/office/drawing/2014/chart" uri="{C3380CC4-5D6E-409C-BE32-E72D297353CC}">
              <c16:uniqueId val="{00000000-5F08-4FE9-9998-AEE2C8A8A26A}"/>
            </c:ext>
          </c:extLst>
        </c:ser>
        <c:ser>
          <c:idx val="1"/>
          <c:order val="1"/>
          <c:tx>
            <c:strRef>
              <c:f>Milk_Serum!$D$1</c:f>
              <c:strCache>
                <c:ptCount val="1"/>
                <c:pt idx="0">
                  <c:v>n-PFPeA </c:v>
                </c:pt>
              </c:strCache>
            </c:strRef>
          </c:tx>
          <c:spPr>
            <a:ln w="28575" cap="rnd">
              <a:solidFill>
                <a:schemeClr val="accent2"/>
              </a:solidFill>
              <a:round/>
            </a:ln>
            <a:effectLst/>
          </c:spPr>
          <c:marker>
            <c:symbol val="none"/>
          </c:marker>
          <c:cat>
            <c:strRef>
              <c:f>Milk_Serum!$A$38:$B$46</c:f>
            </c:strRef>
          </c:cat>
          <c:val>
            <c:numRef>
              <c:f>Milk_Serum!$D$38:$D$46</c:f>
              <c:numCache>
                <c:formatCode>General</c:formatCode>
                <c:ptCount val="9"/>
              </c:numCache>
            </c:numRef>
          </c:val>
          <c:smooth val="0"/>
          <c:extLst>
            <c:ext xmlns:c16="http://schemas.microsoft.com/office/drawing/2014/chart" uri="{C3380CC4-5D6E-409C-BE32-E72D297353CC}">
              <c16:uniqueId val="{00000001-5F08-4FE9-9998-AEE2C8A8A26A}"/>
            </c:ext>
          </c:extLst>
        </c:ser>
        <c:ser>
          <c:idx val="2"/>
          <c:order val="2"/>
          <c:tx>
            <c:strRef>
              <c:f>Milk_Serum!$E$1</c:f>
              <c:strCache>
                <c:ptCount val="1"/>
                <c:pt idx="0">
                  <c:v>n-PFHxA </c:v>
                </c:pt>
              </c:strCache>
            </c:strRef>
          </c:tx>
          <c:spPr>
            <a:ln w="28575" cap="rnd">
              <a:solidFill>
                <a:schemeClr val="accent3"/>
              </a:solidFill>
              <a:round/>
            </a:ln>
            <a:effectLst/>
          </c:spPr>
          <c:marker>
            <c:symbol val="none"/>
          </c:marker>
          <c:cat>
            <c:strRef>
              <c:f>Milk_Serum!$A$38:$B$46</c:f>
            </c:strRef>
          </c:cat>
          <c:val>
            <c:numRef>
              <c:f>Milk_Serum!$E$38:$E$46</c:f>
              <c:numCache>
                <c:formatCode>General</c:formatCode>
                <c:ptCount val="9"/>
              </c:numCache>
            </c:numRef>
          </c:val>
          <c:smooth val="0"/>
          <c:extLst>
            <c:ext xmlns:c16="http://schemas.microsoft.com/office/drawing/2014/chart" uri="{C3380CC4-5D6E-409C-BE32-E72D297353CC}">
              <c16:uniqueId val="{00000002-5F08-4FE9-9998-AEE2C8A8A26A}"/>
            </c:ext>
          </c:extLst>
        </c:ser>
        <c:ser>
          <c:idx val="3"/>
          <c:order val="3"/>
          <c:tx>
            <c:strRef>
              <c:f>Milk_Serum!$F$1</c:f>
              <c:strCache>
                <c:ptCount val="1"/>
                <c:pt idx="0">
                  <c:v>n-PFHpA </c:v>
                </c:pt>
              </c:strCache>
            </c:strRef>
          </c:tx>
          <c:spPr>
            <a:ln w="28575" cap="rnd">
              <a:solidFill>
                <a:schemeClr val="accent4"/>
              </a:solidFill>
              <a:round/>
            </a:ln>
            <a:effectLst/>
          </c:spPr>
          <c:marker>
            <c:symbol val="none"/>
          </c:marker>
          <c:cat>
            <c:strRef>
              <c:f>Milk_Serum!$A$38:$B$46</c:f>
            </c:strRef>
          </c:cat>
          <c:val>
            <c:numRef>
              <c:f>Milk_Serum!$F$38:$F$46</c:f>
              <c:numCache>
                <c:formatCode>General</c:formatCode>
                <c:ptCount val="9"/>
              </c:numCache>
            </c:numRef>
          </c:val>
          <c:smooth val="0"/>
          <c:extLst>
            <c:ext xmlns:c16="http://schemas.microsoft.com/office/drawing/2014/chart" uri="{C3380CC4-5D6E-409C-BE32-E72D297353CC}">
              <c16:uniqueId val="{00000003-5F08-4FE9-9998-AEE2C8A8A26A}"/>
            </c:ext>
          </c:extLst>
        </c:ser>
        <c:ser>
          <c:idx val="4"/>
          <c:order val="4"/>
          <c:tx>
            <c:strRef>
              <c:f>Milk_Serum!$G$1</c:f>
              <c:strCache>
                <c:ptCount val="1"/>
                <c:pt idx="0">
                  <c:v>n-PFOA </c:v>
                </c:pt>
              </c:strCache>
            </c:strRef>
          </c:tx>
          <c:spPr>
            <a:ln w="28575" cap="rnd">
              <a:solidFill>
                <a:schemeClr val="accent5"/>
              </a:solidFill>
              <a:round/>
            </a:ln>
            <a:effectLst/>
          </c:spPr>
          <c:marker>
            <c:symbol val="none"/>
          </c:marker>
          <c:cat>
            <c:strRef>
              <c:f>Milk_Serum!$A$38:$B$46</c:f>
            </c:strRef>
          </c:cat>
          <c:val>
            <c:numRef>
              <c:f>Milk_Serum!$G$38:$G$46</c:f>
              <c:numCache>
                <c:formatCode>General</c:formatCode>
                <c:ptCount val="9"/>
              </c:numCache>
            </c:numRef>
          </c:val>
          <c:smooth val="0"/>
          <c:extLst>
            <c:ext xmlns:c16="http://schemas.microsoft.com/office/drawing/2014/chart" uri="{C3380CC4-5D6E-409C-BE32-E72D297353CC}">
              <c16:uniqueId val="{00000004-5F08-4FE9-9998-AEE2C8A8A26A}"/>
            </c:ext>
          </c:extLst>
        </c:ser>
        <c:ser>
          <c:idx val="5"/>
          <c:order val="5"/>
          <c:tx>
            <c:strRef>
              <c:f>Milk_Serum!$H$1</c:f>
              <c:strCache>
                <c:ptCount val="1"/>
                <c:pt idx="0">
                  <c:v>n-PFNA </c:v>
                </c:pt>
              </c:strCache>
            </c:strRef>
          </c:tx>
          <c:spPr>
            <a:ln w="28575" cap="rnd">
              <a:solidFill>
                <a:schemeClr val="accent6"/>
              </a:solidFill>
              <a:round/>
            </a:ln>
            <a:effectLst/>
          </c:spPr>
          <c:marker>
            <c:symbol val="none"/>
          </c:marker>
          <c:cat>
            <c:strRef>
              <c:f>Milk_Serum!$A$38:$B$46</c:f>
            </c:strRef>
          </c:cat>
          <c:val>
            <c:numRef>
              <c:f>Milk_Serum!$H$38:$H$46</c:f>
              <c:numCache>
                <c:formatCode>General</c:formatCode>
                <c:ptCount val="9"/>
              </c:numCache>
            </c:numRef>
          </c:val>
          <c:smooth val="0"/>
          <c:extLst>
            <c:ext xmlns:c16="http://schemas.microsoft.com/office/drawing/2014/chart" uri="{C3380CC4-5D6E-409C-BE32-E72D297353CC}">
              <c16:uniqueId val="{00000005-5F08-4FE9-9998-AEE2C8A8A26A}"/>
            </c:ext>
          </c:extLst>
        </c:ser>
        <c:ser>
          <c:idx val="6"/>
          <c:order val="6"/>
          <c:tx>
            <c:strRef>
              <c:f>Milk_Serum!$I$1</c:f>
              <c:strCache>
                <c:ptCount val="1"/>
                <c:pt idx="0">
                  <c:v>n-PFDA </c:v>
                </c:pt>
              </c:strCache>
            </c:strRef>
          </c:tx>
          <c:spPr>
            <a:ln w="28575" cap="rnd">
              <a:solidFill>
                <a:schemeClr val="accent1">
                  <a:lumMod val="60000"/>
                </a:schemeClr>
              </a:solidFill>
              <a:round/>
            </a:ln>
            <a:effectLst/>
          </c:spPr>
          <c:marker>
            <c:symbol val="none"/>
          </c:marker>
          <c:cat>
            <c:strRef>
              <c:f>Milk_Serum!$A$38:$B$46</c:f>
            </c:strRef>
          </c:cat>
          <c:val>
            <c:numRef>
              <c:f>Milk_Serum!$I$38:$I$46</c:f>
              <c:numCache>
                <c:formatCode>General</c:formatCode>
                <c:ptCount val="9"/>
              </c:numCache>
            </c:numRef>
          </c:val>
          <c:smooth val="0"/>
          <c:extLst>
            <c:ext xmlns:c16="http://schemas.microsoft.com/office/drawing/2014/chart" uri="{C3380CC4-5D6E-409C-BE32-E72D297353CC}">
              <c16:uniqueId val="{00000006-5F08-4FE9-9998-AEE2C8A8A26A}"/>
            </c:ext>
          </c:extLst>
        </c:ser>
        <c:ser>
          <c:idx val="7"/>
          <c:order val="7"/>
          <c:tx>
            <c:strRef>
              <c:f>Milk_Serum!$J$1</c:f>
              <c:strCache>
                <c:ptCount val="1"/>
                <c:pt idx="0">
                  <c:v>n-PFUnDA </c:v>
                </c:pt>
              </c:strCache>
            </c:strRef>
          </c:tx>
          <c:spPr>
            <a:ln w="28575" cap="rnd">
              <a:solidFill>
                <a:schemeClr val="accent2">
                  <a:lumMod val="60000"/>
                </a:schemeClr>
              </a:solidFill>
              <a:round/>
            </a:ln>
            <a:effectLst/>
          </c:spPr>
          <c:marker>
            <c:symbol val="none"/>
          </c:marker>
          <c:cat>
            <c:strRef>
              <c:f>Milk_Serum!$A$38:$B$46</c:f>
            </c:strRef>
          </c:cat>
          <c:val>
            <c:numRef>
              <c:f>Milk_Serum!$J$38:$J$46</c:f>
              <c:numCache>
                <c:formatCode>General</c:formatCode>
                <c:ptCount val="9"/>
              </c:numCache>
            </c:numRef>
          </c:val>
          <c:smooth val="0"/>
          <c:extLst>
            <c:ext xmlns:c16="http://schemas.microsoft.com/office/drawing/2014/chart" uri="{C3380CC4-5D6E-409C-BE32-E72D297353CC}">
              <c16:uniqueId val="{00000007-5F08-4FE9-9998-AEE2C8A8A26A}"/>
            </c:ext>
          </c:extLst>
        </c:ser>
        <c:ser>
          <c:idx val="8"/>
          <c:order val="8"/>
          <c:tx>
            <c:strRef>
              <c:f>Milk_Serum!$K$1</c:f>
              <c:strCache>
                <c:ptCount val="1"/>
                <c:pt idx="0">
                  <c:v>n-PFDoDA </c:v>
                </c:pt>
              </c:strCache>
            </c:strRef>
          </c:tx>
          <c:spPr>
            <a:ln w="28575" cap="rnd">
              <a:solidFill>
                <a:schemeClr val="accent3">
                  <a:lumMod val="60000"/>
                </a:schemeClr>
              </a:solidFill>
              <a:round/>
            </a:ln>
            <a:effectLst/>
          </c:spPr>
          <c:marker>
            <c:symbol val="none"/>
          </c:marker>
          <c:cat>
            <c:strRef>
              <c:f>Milk_Serum!$A$38:$B$46</c:f>
            </c:strRef>
          </c:cat>
          <c:val>
            <c:numRef>
              <c:f>Milk_Serum!$K$38:$K$46</c:f>
              <c:numCache>
                <c:formatCode>General</c:formatCode>
                <c:ptCount val="9"/>
              </c:numCache>
            </c:numRef>
          </c:val>
          <c:smooth val="0"/>
          <c:extLst>
            <c:ext xmlns:c16="http://schemas.microsoft.com/office/drawing/2014/chart" uri="{C3380CC4-5D6E-409C-BE32-E72D297353CC}">
              <c16:uniqueId val="{00000008-5F08-4FE9-9998-AEE2C8A8A26A}"/>
            </c:ext>
          </c:extLst>
        </c:ser>
        <c:ser>
          <c:idx val="9"/>
          <c:order val="9"/>
          <c:tx>
            <c:strRef>
              <c:f>Milk_Serum!$L$1</c:f>
              <c:strCache>
                <c:ptCount val="1"/>
                <c:pt idx="0">
                  <c:v>n-PFTrDA </c:v>
                </c:pt>
              </c:strCache>
            </c:strRef>
          </c:tx>
          <c:spPr>
            <a:ln w="28575" cap="rnd">
              <a:solidFill>
                <a:schemeClr val="accent4">
                  <a:lumMod val="60000"/>
                </a:schemeClr>
              </a:solidFill>
              <a:round/>
            </a:ln>
            <a:effectLst/>
          </c:spPr>
          <c:marker>
            <c:symbol val="none"/>
          </c:marker>
          <c:cat>
            <c:strRef>
              <c:f>Milk_Serum!$A$38:$B$46</c:f>
            </c:strRef>
          </c:cat>
          <c:val>
            <c:numRef>
              <c:f>Milk_Serum!$L$38:$L$46</c:f>
              <c:numCache>
                <c:formatCode>General</c:formatCode>
                <c:ptCount val="9"/>
              </c:numCache>
            </c:numRef>
          </c:val>
          <c:smooth val="0"/>
          <c:extLst>
            <c:ext xmlns:c16="http://schemas.microsoft.com/office/drawing/2014/chart" uri="{C3380CC4-5D6E-409C-BE32-E72D297353CC}">
              <c16:uniqueId val="{00000009-5F08-4FE9-9998-AEE2C8A8A26A}"/>
            </c:ext>
          </c:extLst>
        </c:ser>
        <c:ser>
          <c:idx val="10"/>
          <c:order val="10"/>
          <c:tx>
            <c:strRef>
              <c:f>Milk_Serum!$M$1</c:f>
              <c:strCache>
                <c:ptCount val="1"/>
                <c:pt idx="0">
                  <c:v>n-PFTeDA </c:v>
                </c:pt>
              </c:strCache>
            </c:strRef>
          </c:tx>
          <c:spPr>
            <a:ln w="28575" cap="rnd">
              <a:solidFill>
                <a:schemeClr val="accent5">
                  <a:lumMod val="60000"/>
                </a:schemeClr>
              </a:solidFill>
              <a:round/>
            </a:ln>
            <a:effectLst/>
          </c:spPr>
          <c:marker>
            <c:symbol val="none"/>
          </c:marker>
          <c:cat>
            <c:strRef>
              <c:f>Milk_Serum!$A$38:$B$46</c:f>
            </c:strRef>
          </c:cat>
          <c:val>
            <c:numRef>
              <c:f>Milk_Serum!$M$38:$M$46</c:f>
              <c:numCache>
                <c:formatCode>General</c:formatCode>
                <c:ptCount val="9"/>
              </c:numCache>
            </c:numRef>
          </c:val>
          <c:smooth val="0"/>
          <c:extLst>
            <c:ext xmlns:c16="http://schemas.microsoft.com/office/drawing/2014/chart" uri="{C3380CC4-5D6E-409C-BE32-E72D297353CC}">
              <c16:uniqueId val="{0000000A-5F08-4FE9-9998-AEE2C8A8A26A}"/>
            </c:ext>
          </c:extLst>
        </c:ser>
        <c:ser>
          <c:idx val="11"/>
          <c:order val="11"/>
          <c:tx>
            <c:strRef>
              <c:f>Milk_Serum!$N$1</c:f>
              <c:strCache>
                <c:ptCount val="1"/>
                <c:pt idx="0">
                  <c:v>n-PFBS </c:v>
                </c:pt>
              </c:strCache>
            </c:strRef>
          </c:tx>
          <c:spPr>
            <a:ln w="28575" cap="rnd">
              <a:solidFill>
                <a:schemeClr val="accent6">
                  <a:lumMod val="60000"/>
                </a:schemeClr>
              </a:solidFill>
              <a:round/>
            </a:ln>
            <a:effectLst/>
          </c:spPr>
          <c:marker>
            <c:symbol val="none"/>
          </c:marker>
          <c:cat>
            <c:strRef>
              <c:f>Milk_Serum!$A$38:$B$46</c:f>
            </c:strRef>
          </c:cat>
          <c:val>
            <c:numRef>
              <c:f>Milk_Serum!$N$38:$N$46</c:f>
              <c:numCache>
                <c:formatCode>General</c:formatCode>
                <c:ptCount val="9"/>
              </c:numCache>
            </c:numRef>
          </c:val>
          <c:smooth val="0"/>
          <c:extLst>
            <c:ext xmlns:c16="http://schemas.microsoft.com/office/drawing/2014/chart" uri="{C3380CC4-5D6E-409C-BE32-E72D297353CC}">
              <c16:uniqueId val="{0000000B-5F08-4FE9-9998-AEE2C8A8A26A}"/>
            </c:ext>
          </c:extLst>
        </c:ser>
        <c:ser>
          <c:idx val="12"/>
          <c:order val="12"/>
          <c:tx>
            <c:strRef>
              <c:f>Milk_Serum!$O$1</c:f>
              <c:strCache>
                <c:ptCount val="1"/>
                <c:pt idx="0">
                  <c:v>n-PFPeS </c:v>
                </c:pt>
              </c:strCache>
            </c:strRef>
          </c:tx>
          <c:spPr>
            <a:ln w="28575" cap="rnd">
              <a:solidFill>
                <a:schemeClr val="accent1">
                  <a:lumMod val="80000"/>
                  <a:lumOff val="20000"/>
                </a:schemeClr>
              </a:solidFill>
              <a:round/>
            </a:ln>
            <a:effectLst/>
          </c:spPr>
          <c:marker>
            <c:symbol val="none"/>
          </c:marker>
          <c:cat>
            <c:strRef>
              <c:f>Milk_Serum!$A$38:$B$46</c:f>
            </c:strRef>
          </c:cat>
          <c:val>
            <c:numRef>
              <c:f>Milk_Serum!$O$38:$O$46</c:f>
              <c:numCache>
                <c:formatCode>General</c:formatCode>
                <c:ptCount val="9"/>
              </c:numCache>
            </c:numRef>
          </c:val>
          <c:smooth val="0"/>
          <c:extLst>
            <c:ext xmlns:c16="http://schemas.microsoft.com/office/drawing/2014/chart" uri="{C3380CC4-5D6E-409C-BE32-E72D297353CC}">
              <c16:uniqueId val="{0000000C-5F08-4FE9-9998-AEE2C8A8A26A}"/>
            </c:ext>
          </c:extLst>
        </c:ser>
        <c:ser>
          <c:idx val="13"/>
          <c:order val="13"/>
          <c:tx>
            <c:strRef>
              <c:f>Milk_Serum!$P$1</c:f>
              <c:strCache>
                <c:ptCount val="1"/>
                <c:pt idx="0">
                  <c:v>n-PFHxS </c:v>
                </c:pt>
              </c:strCache>
            </c:strRef>
          </c:tx>
          <c:spPr>
            <a:ln w="28575" cap="rnd">
              <a:solidFill>
                <a:schemeClr val="accent2">
                  <a:lumMod val="80000"/>
                  <a:lumOff val="20000"/>
                </a:schemeClr>
              </a:solidFill>
              <a:round/>
            </a:ln>
            <a:effectLst/>
          </c:spPr>
          <c:marker>
            <c:symbol val="none"/>
          </c:marker>
          <c:cat>
            <c:strRef>
              <c:f>Milk_Serum!$A$38:$B$46</c:f>
            </c:strRef>
          </c:cat>
          <c:val>
            <c:numRef>
              <c:f>Milk_Serum!$P$38:$P$46</c:f>
              <c:numCache>
                <c:formatCode>General</c:formatCode>
                <c:ptCount val="9"/>
              </c:numCache>
            </c:numRef>
          </c:val>
          <c:smooth val="0"/>
          <c:extLst>
            <c:ext xmlns:c16="http://schemas.microsoft.com/office/drawing/2014/chart" uri="{C3380CC4-5D6E-409C-BE32-E72D297353CC}">
              <c16:uniqueId val="{0000000D-5F08-4FE9-9998-AEE2C8A8A26A}"/>
            </c:ext>
          </c:extLst>
        </c:ser>
        <c:ser>
          <c:idx val="14"/>
          <c:order val="14"/>
          <c:tx>
            <c:strRef>
              <c:f>Milk_Serum!$Q$1</c:f>
              <c:strCache>
                <c:ptCount val="1"/>
                <c:pt idx="0">
                  <c:v>n-PFHpS </c:v>
                </c:pt>
              </c:strCache>
            </c:strRef>
          </c:tx>
          <c:spPr>
            <a:ln w="28575" cap="rnd">
              <a:solidFill>
                <a:schemeClr val="accent3">
                  <a:lumMod val="80000"/>
                  <a:lumOff val="20000"/>
                </a:schemeClr>
              </a:solidFill>
              <a:round/>
            </a:ln>
            <a:effectLst/>
          </c:spPr>
          <c:marker>
            <c:symbol val="none"/>
          </c:marker>
          <c:cat>
            <c:strRef>
              <c:f>Milk_Serum!$A$38:$B$46</c:f>
            </c:strRef>
          </c:cat>
          <c:val>
            <c:numRef>
              <c:f>Milk_Serum!$Q$38:$Q$46</c:f>
              <c:numCache>
                <c:formatCode>General</c:formatCode>
                <c:ptCount val="9"/>
              </c:numCache>
            </c:numRef>
          </c:val>
          <c:smooth val="0"/>
          <c:extLst>
            <c:ext xmlns:c16="http://schemas.microsoft.com/office/drawing/2014/chart" uri="{C3380CC4-5D6E-409C-BE32-E72D297353CC}">
              <c16:uniqueId val="{0000000E-5F08-4FE9-9998-AEE2C8A8A26A}"/>
            </c:ext>
          </c:extLst>
        </c:ser>
        <c:ser>
          <c:idx val="15"/>
          <c:order val="15"/>
          <c:tx>
            <c:strRef>
              <c:f>Milk_Serum!$R$1</c:f>
              <c:strCache>
                <c:ptCount val="1"/>
                <c:pt idx="0">
                  <c:v>n-PFOS </c:v>
                </c:pt>
              </c:strCache>
            </c:strRef>
          </c:tx>
          <c:spPr>
            <a:ln w="28575" cap="rnd">
              <a:solidFill>
                <a:schemeClr val="accent4">
                  <a:lumMod val="80000"/>
                  <a:lumOff val="20000"/>
                </a:schemeClr>
              </a:solidFill>
              <a:round/>
            </a:ln>
            <a:effectLst/>
          </c:spPr>
          <c:marker>
            <c:symbol val="none"/>
          </c:marker>
          <c:cat>
            <c:strRef>
              <c:f>Milk_Serum!$A$38:$B$46</c:f>
            </c:strRef>
          </c:cat>
          <c:val>
            <c:numRef>
              <c:f>Milk_Serum!$R$38:$R$46</c:f>
              <c:numCache>
                <c:formatCode>General</c:formatCode>
                <c:ptCount val="9"/>
              </c:numCache>
            </c:numRef>
          </c:val>
          <c:smooth val="0"/>
          <c:extLst>
            <c:ext xmlns:c16="http://schemas.microsoft.com/office/drawing/2014/chart" uri="{C3380CC4-5D6E-409C-BE32-E72D297353CC}">
              <c16:uniqueId val="{0000000F-5F08-4FE9-9998-AEE2C8A8A26A}"/>
            </c:ext>
          </c:extLst>
        </c:ser>
        <c:ser>
          <c:idx val="16"/>
          <c:order val="16"/>
          <c:tx>
            <c:strRef>
              <c:f>Milk_Serum!$S$1</c:f>
              <c:strCache>
                <c:ptCount val="1"/>
                <c:pt idx="0">
                  <c:v>n-PFNS </c:v>
                </c:pt>
              </c:strCache>
            </c:strRef>
          </c:tx>
          <c:spPr>
            <a:ln w="28575" cap="rnd">
              <a:solidFill>
                <a:schemeClr val="accent5">
                  <a:lumMod val="80000"/>
                  <a:lumOff val="20000"/>
                </a:schemeClr>
              </a:solidFill>
              <a:round/>
            </a:ln>
            <a:effectLst/>
          </c:spPr>
          <c:marker>
            <c:symbol val="none"/>
          </c:marker>
          <c:cat>
            <c:strRef>
              <c:f>Milk_Serum!$A$38:$B$46</c:f>
            </c:strRef>
          </c:cat>
          <c:val>
            <c:numRef>
              <c:f>Milk_Serum!$S$38:$S$46</c:f>
              <c:numCache>
                <c:formatCode>General</c:formatCode>
                <c:ptCount val="9"/>
              </c:numCache>
            </c:numRef>
          </c:val>
          <c:smooth val="0"/>
          <c:extLst>
            <c:ext xmlns:c16="http://schemas.microsoft.com/office/drawing/2014/chart" uri="{C3380CC4-5D6E-409C-BE32-E72D297353CC}">
              <c16:uniqueId val="{00000010-5F08-4FE9-9998-AEE2C8A8A26A}"/>
            </c:ext>
          </c:extLst>
        </c:ser>
        <c:ser>
          <c:idx val="17"/>
          <c:order val="17"/>
          <c:tx>
            <c:strRef>
              <c:f>Milk_Serum!$T$1</c:f>
              <c:strCache>
                <c:ptCount val="1"/>
                <c:pt idx="0">
                  <c:v>n-PFDS </c:v>
                </c:pt>
              </c:strCache>
            </c:strRef>
          </c:tx>
          <c:spPr>
            <a:ln w="28575" cap="rnd">
              <a:solidFill>
                <a:schemeClr val="accent6">
                  <a:lumMod val="80000"/>
                  <a:lumOff val="20000"/>
                </a:schemeClr>
              </a:solidFill>
              <a:round/>
            </a:ln>
            <a:effectLst/>
          </c:spPr>
          <c:marker>
            <c:symbol val="none"/>
          </c:marker>
          <c:cat>
            <c:strRef>
              <c:f>Milk_Serum!$A$38:$B$46</c:f>
            </c:strRef>
          </c:cat>
          <c:val>
            <c:numRef>
              <c:f>Milk_Serum!$T$38:$T$46</c:f>
              <c:numCache>
                <c:formatCode>General</c:formatCode>
                <c:ptCount val="9"/>
              </c:numCache>
            </c:numRef>
          </c:val>
          <c:smooth val="0"/>
          <c:extLst>
            <c:ext xmlns:c16="http://schemas.microsoft.com/office/drawing/2014/chart" uri="{C3380CC4-5D6E-409C-BE32-E72D297353CC}">
              <c16:uniqueId val="{00000011-5F08-4FE9-9998-AEE2C8A8A26A}"/>
            </c:ext>
          </c:extLst>
        </c:ser>
        <c:ser>
          <c:idx val="18"/>
          <c:order val="18"/>
          <c:tx>
            <c:strRef>
              <c:f>Milk_Serum!$U$1</c:f>
              <c:strCache>
                <c:ptCount val="1"/>
                <c:pt idx="0">
                  <c:v>n-PFUnDS </c:v>
                </c:pt>
              </c:strCache>
            </c:strRef>
          </c:tx>
          <c:spPr>
            <a:ln w="28575" cap="rnd">
              <a:solidFill>
                <a:schemeClr val="accent1">
                  <a:lumMod val="80000"/>
                </a:schemeClr>
              </a:solidFill>
              <a:round/>
            </a:ln>
            <a:effectLst/>
          </c:spPr>
          <c:marker>
            <c:symbol val="none"/>
          </c:marker>
          <c:cat>
            <c:strRef>
              <c:f>Milk_Serum!$A$38:$B$46</c:f>
            </c:strRef>
          </c:cat>
          <c:val>
            <c:numRef>
              <c:f>Milk_Serum!$U$38:$U$46</c:f>
              <c:numCache>
                <c:formatCode>General</c:formatCode>
                <c:ptCount val="9"/>
              </c:numCache>
            </c:numRef>
          </c:val>
          <c:smooth val="0"/>
          <c:extLst>
            <c:ext xmlns:c16="http://schemas.microsoft.com/office/drawing/2014/chart" uri="{C3380CC4-5D6E-409C-BE32-E72D297353CC}">
              <c16:uniqueId val="{00000012-5F08-4FE9-9998-AEE2C8A8A26A}"/>
            </c:ext>
          </c:extLst>
        </c:ser>
        <c:ser>
          <c:idx val="19"/>
          <c:order val="19"/>
          <c:tx>
            <c:strRef>
              <c:f>Milk_Serum!$V$1</c:f>
              <c:strCache>
                <c:ptCount val="1"/>
                <c:pt idx="0">
                  <c:v>n-PFDoDS </c:v>
                </c:pt>
              </c:strCache>
            </c:strRef>
          </c:tx>
          <c:spPr>
            <a:ln w="28575" cap="rnd">
              <a:solidFill>
                <a:schemeClr val="accent2">
                  <a:lumMod val="80000"/>
                </a:schemeClr>
              </a:solidFill>
              <a:round/>
            </a:ln>
            <a:effectLst/>
          </c:spPr>
          <c:marker>
            <c:symbol val="none"/>
          </c:marker>
          <c:cat>
            <c:strRef>
              <c:f>Milk_Serum!$A$38:$B$46</c:f>
            </c:strRef>
          </c:cat>
          <c:val>
            <c:numRef>
              <c:f>Milk_Serum!$V$38:$V$46</c:f>
              <c:numCache>
                <c:formatCode>General</c:formatCode>
                <c:ptCount val="9"/>
              </c:numCache>
            </c:numRef>
          </c:val>
          <c:smooth val="0"/>
          <c:extLst>
            <c:ext xmlns:c16="http://schemas.microsoft.com/office/drawing/2014/chart" uri="{C3380CC4-5D6E-409C-BE32-E72D297353CC}">
              <c16:uniqueId val="{00000013-5F08-4FE9-9998-AEE2C8A8A26A}"/>
            </c:ext>
          </c:extLst>
        </c:ser>
        <c:ser>
          <c:idx val="20"/>
          <c:order val="20"/>
          <c:tx>
            <c:strRef>
              <c:f>Milk_Serum!$W$1</c:f>
              <c:strCache>
                <c:ptCount val="1"/>
                <c:pt idx="0">
                  <c:v>n-PFTrDS </c:v>
                </c:pt>
              </c:strCache>
            </c:strRef>
          </c:tx>
          <c:spPr>
            <a:ln w="28575" cap="rnd">
              <a:solidFill>
                <a:schemeClr val="accent3">
                  <a:lumMod val="80000"/>
                </a:schemeClr>
              </a:solidFill>
              <a:round/>
            </a:ln>
            <a:effectLst/>
          </c:spPr>
          <c:marker>
            <c:symbol val="none"/>
          </c:marker>
          <c:cat>
            <c:strRef>
              <c:f>Milk_Serum!$A$38:$B$46</c:f>
            </c:strRef>
          </c:cat>
          <c:val>
            <c:numRef>
              <c:f>Milk_Serum!$W$38:$W$46</c:f>
              <c:numCache>
                <c:formatCode>General</c:formatCode>
                <c:ptCount val="9"/>
              </c:numCache>
            </c:numRef>
          </c:val>
          <c:smooth val="0"/>
          <c:extLst>
            <c:ext xmlns:c16="http://schemas.microsoft.com/office/drawing/2014/chart" uri="{C3380CC4-5D6E-409C-BE32-E72D297353CC}">
              <c16:uniqueId val="{00000014-5F08-4FE9-9998-AEE2C8A8A26A}"/>
            </c:ext>
          </c:extLst>
        </c:ser>
        <c:ser>
          <c:idx val="21"/>
          <c:order val="21"/>
          <c:tx>
            <c:strRef>
              <c:f>Milk_Serum!$X$1</c:f>
              <c:strCache>
                <c:ptCount val="1"/>
                <c:pt idx="0">
                  <c:v>br-PFHxA </c:v>
                </c:pt>
              </c:strCache>
            </c:strRef>
          </c:tx>
          <c:spPr>
            <a:ln w="28575" cap="rnd">
              <a:solidFill>
                <a:schemeClr val="accent4">
                  <a:lumMod val="80000"/>
                </a:schemeClr>
              </a:solidFill>
              <a:round/>
            </a:ln>
            <a:effectLst/>
          </c:spPr>
          <c:marker>
            <c:symbol val="none"/>
          </c:marker>
          <c:cat>
            <c:strRef>
              <c:f>Milk_Serum!$A$38:$B$46</c:f>
            </c:strRef>
          </c:cat>
          <c:val>
            <c:numRef>
              <c:f>Milk_Serum!$X$38:$X$46</c:f>
              <c:numCache>
                <c:formatCode>General</c:formatCode>
                <c:ptCount val="9"/>
              </c:numCache>
            </c:numRef>
          </c:val>
          <c:smooth val="0"/>
          <c:extLst>
            <c:ext xmlns:c16="http://schemas.microsoft.com/office/drawing/2014/chart" uri="{C3380CC4-5D6E-409C-BE32-E72D297353CC}">
              <c16:uniqueId val="{00000015-5F08-4FE9-9998-AEE2C8A8A26A}"/>
            </c:ext>
          </c:extLst>
        </c:ser>
        <c:ser>
          <c:idx val="22"/>
          <c:order val="22"/>
          <c:tx>
            <c:strRef>
              <c:f>Milk_Serum!$Y$1</c:f>
              <c:strCache>
                <c:ptCount val="1"/>
                <c:pt idx="0">
                  <c:v>br-PFHpA </c:v>
                </c:pt>
              </c:strCache>
            </c:strRef>
          </c:tx>
          <c:spPr>
            <a:ln w="28575" cap="rnd">
              <a:solidFill>
                <a:schemeClr val="accent5">
                  <a:lumMod val="80000"/>
                </a:schemeClr>
              </a:solidFill>
              <a:round/>
            </a:ln>
            <a:effectLst/>
          </c:spPr>
          <c:marker>
            <c:symbol val="none"/>
          </c:marker>
          <c:cat>
            <c:strRef>
              <c:f>Milk_Serum!$A$38:$B$46</c:f>
            </c:strRef>
          </c:cat>
          <c:val>
            <c:numRef>
              <c:f>Milk_Serum!$Y$38:$Y$46</c:f>
              <c:numCache>
                <c:formatCode>General</c:formatCode>
                <c:ptCount val="9"/>
              </c:numCache>
            </c:numRef>
          </c:val>
          <c:smooth val="0"/>
          <c:extLst>
            <c:ext xmlns:c16="http://schemas.microsoft.com/office/drawing/2014/chart" uri="{C3380CC4-5D6E-409C-BE32-E72D297353CC}">
              <c16:uniqueId val="{00000016-5F08-4FE9-9998-AEE2C8A8A26A}"/>
            </c:ext>
          </c:extLst>
        </c:ser>
        <c:ser>
          <c:idx val="23"/>
          <c:order val="23"/>
          <c:tx>
            <c:strRef>
              <c:f>Milk_Serum!$Z$1</c:f>
              <c:strCache>
                <c:ptCount val="1"/>
                <c:pt idx="0">
                  <c:v>br-PFOA </c:v>
                </c:pt>
              </c:strCache>
            </c:strRef>
          </c:tx>
          <c:spPr>
            <a:ln w="28575" cap="rnd">
              <a:solidFill>
                <a:schemeClr val="accent6">
                  <a:lumMod val="80000"/>
                </a:schemeClr>
              </a:solidFill>
              <a:round/>
            </a:ln>
            <a:effectLst/>
          </c:spPr>
          <c:marker>
            <c:symbol val="none"/>
          </c:marker>
          <c:cat>
            <c:strRef>
              <c:f>Milk_Serum!$A$38:$B$46</c:f>
            </c:strRef>
          </c:cat>
          <c:val>
            <c:numRef>
              <c:f>Milk_Serum!$Z$38:$Z$46</c:f>
              <c:numCache>
                <c:formatCode>General</c:formatCode>
                <c:ptCount val="9"/>
              </c:numCache>
            </c:numRef>
          </c:val>
          <c:smooth val="0"/>
          <c:extLst>
            <c:ext xmlns:c16="http://schemas.microsoft.com/office/drawing/2014/chart" uri="{C3380CC4-5D6E-409C-BE32-E72D297353CC}">
              <c16:uniqueId val="{00000017-5F08-4FE9-9998-AEE2C8A8A26A}"/>
            </c:ext>
          </c:extLst>
        </c:ser>
        <c:ser>
          <c:idx val="24"/>
          <c:order val="24"/>
          <c:tx>
            <c:strRef>
              <c:f>Milk_Serum!$AA$1</c:f>
              <c:strCache>
                <c:ptCount val="1"/>
                <c:pt idx="0">
                  <c:v>br-PFNA </c:v>
                </c:pt>
              </c:strCache>
            </c:strRef>
          </c:tx>
          <c:spPr>
            <a:ln w="28575" cap="rnd">
              <a:solidFill>
                <a:schemeClr val="accent1">
                  <a:lumMod val="60000"/>
                  <a:lumOff val="40000"/>
                </a:schemeClr>
              </a:solidFill>
              <a:round/>
            </a:ln>
            <a:effectLst/>
          </c:spPr>
          <c:marker>
            <c:symbol val="none"/>
          </c:marker>
          <c:cat>
            <c:strRef>
              <c:f>Milk_Serum!$A$38:$B$46</c:f>
            </c:strRef>
          </c:cat>
          <c:val>
            <c:numRef>
              <c:f>Milk_Serum!$AA$38:$AA$46</c:f>
              <c:numCache>
                <c:formatCode>General</c:formatCode>
                <c:ptCount val="9"/>
              </c:numCache>
            </c:numRef>
          </c:val>
          <c:smooth val="0"/>
          <c:extLst>
            <c:ext xmlns:c16="http://schemas.microsoft.com/office/drawing/2014/chart" uri="{C3380CC4-5D6E-409C-BE32-E72D297353CC}">
              <c16:uniqueId val="{00000018-5F08-4FE9-9998-AEE2C8A8A26A}"/>
            </c:ext>
          </c:extLst>
        </c:ser>
        <c:ser>
          <c:idx val="25"/>
          <c:order val="25"/>
          <c:tx>
            <c:strRef>
              <c:f>Milk_Serum!$AB$1</c:f>
              <c:strCache>
                <c:ptCount val="1"/>
                <c:pt idx="0">
                  <c:v>br-PFDA </c:v>
                </c:pt>
              </c:strCache>
            </c:strRef>
          </c:tx>
          <c:spPr>
            <a:ln w="28575" cap="rnd">
              <a:solidFill>
                <a:schemeClr val="accent2">
                  <a:lumMod val="60000"/>
                  <a:lumOff val="40000"/>
                </a:schemeClr>
              </a:solidFill>
              <a:round/>
            </a:ln>
            <a:effectLst/>
          </c:spPr>
          <c:marker>
            <c:symbol val="none"/>
          </c:marker>
          <c:cat>
            <c:strRef>
              <c:f>Milk_Serum!$A$38:$B$46</c:f>
            </c:strRef>
          </c:cat>
          <c:val>
            <c:numRef>
              <c:f>Milk_Serum!$AB$38:$AB$46</c:f>
              <c:numCache>
                <c:formatCode>General</c:formatCode>
                <c:ptCount val="9"/>
              </c:numCache>
            </c:numRef>
          </c:val>
          <c:smooth val="0"/>
          <c:extLst>
            <c:ext xmlns:c16="http://schemas.microsoft.com/office/drawing/2014/chart" uri="{C3380CC4-5D6E-409C-BE32-E72D297353CC}">
              <c16:uniqueId val="{00000019-5F08-4FE9-9998-AEE2C8A8A26A}"/>
            </c:ext>
          </c:extLst>
        </c:ser>
        <c:ser>
          <c:idx val="26"/>
          <c:order val="26"/>
          <c:tx>
            <c:strRef>
              <c:f>Milk_Serum!$AC$1</c:f>
              <c:strCache>
                <c:ptCount val="1"/>
                <c:pt idx="0">
                  <c:v>br-PFUnDA </c:v>
                </c:pt>
              </c:strCache>
            </c:strRef>
          </c:tx>
          <c:spPr>
            <a:ln w="28575" cap="rnd">
              <a:solidFill>
                <a:schemeClr val="accent3">
                  <a:lumMod val="60000"/>
                  <a:lumOff val="40000"/>
                </a:schemeClr>
              </a:solidFill>
              <a:round/>
            </a:ln>
            <a:effectLst/>
          </c:spPr>
          <c:marker>
            <c:symbol val="none"/>
          </c:marker>
          <c:cat>
            <c:strRef>
              <c:f>Milk_Serum!$A$38:$B$46</c:f>
            </c:strRef>
          </c:cat>
          <c:val>
            <c:numRef>
              <c:f>Milk_Serum!$AC$38:$AC$46</c:f>
              <c:numCache>
                <c:formatCode>General</c:formatCode>
                <c:ptCount val="9"/>
              </c:numCache>
            </c:numRef>
          </c:val>
          <c:smooth val="0"/>
          <c:extLst>
            <c:ext xmlns:c16="http://schemas.microsoft.com/office/drawing/2014/chart" uri="{C3380CC4-5D6E-409C-BE32-E72D297353CC}">
              <c16:uniqueId val="{0000001A-5F08-4FE9-9998-AEE2C8A8A26A}"/>
            </c:ext>
          </c:extLst>
        </c:ser>
        <c:ser>
          <c:idx val="27"/>
          <c:order val="27"/>
          <c:tx>
            <c:strRef>
              <c:f>Milk_Serum!$AD$1</c:f>
              <c:strCache>
                <c:ptCount val="1"/>
                <c:pt idx="0">
                  <c:v>br-PFDoDA </c:v>
                </c:pt>
              </c:strCache>
            </c:strRef>
          </c:tx>
          <c:spPr>
            <a:ln w="28575" cap="rnd">
              <a:solidFill>
                <a:schemeClr val="accent4">
                  <a:lumMod val="60000"/>
                  <a:lumOff val="40000"/>
                </a:schemeClr>
              </a:solidFill>
              <a:round/>
            </a:ln>
            <a:effectLst/>
          </c:spPr>
          <c:marker>
            <c:symbol val="none"/>
          </c:marker>
          <c:cat>
            <c:strRef>
              <c:f>Milk_Serum!$A$38:$B$46</c:f>
            </c:strRef>
          </c:cat>
          <c:val>
            <c:numRef>
              <c:f>Milk_Serum!$AD$38:$AD$46</c:f>
              <c:numCache>
                <c:formatCode>General</c:formatCode>
                <c:ptCount val="9"/>
              </c:numCache>
            </c:numRef>
          </c:val>
          <c:smooth val="0"/>
          <c:extLst>
            <c:ext xmlns:c16="http://schemas.microsoft.com/office/drawing/2014/chart" uri="{C3380CC4-5D6E-409C-BE32-E72D297353CC}">
              <c16:uniqueId val="{0000001B-5F08-4FE9-9998-AEE2C8A8A26A}"/>
            </c:ext>
          </c:extLst>
        </c:ser>
        <c:ser>
          <c:idx val="28"/>
          <c:order val="28"/>
          <c:tx>
            <c:strRef>
              <c:f>Milk_Serum!$AE$1</c:f>
              <c:strCache>
                <c:ptCount val="1"/>
                <c:pt idx="0">
                  <c:v>br-PFTrDA </c:v>
                </c:pt>
              </c:strCache>
            </c:strRef>
          </c:tx>
          <c:spPr>
            <a:ln w="28575" cap="rnd">
              <a:solidFill>
                <a:schemeClr val="accent5">
                  <a:lumMod val="60000"/>
                  <a:lumOff val="40000"/>
                </a:schemeClr>
              </a:solidFill>
              <a:round/>
            </a:ln>
            <a:effectLst/>
          </c:spPr>
          <c:marker>
            <c:symbol val="none"/>
          </c:marker>
          <c:cat>
            <c:strRef>
              <c:f>Milk_Serum!$A$38:$B$46</c:f>
            </c:strRef>
          </c:cat>
          <c:val>
            <c:numRef>
              <c:f>Milk_Serum!$AE$38:$AE$46</c:f>
              <c:numCache>
                <c:formatCode>General</c:formatCode>
                <c:ptCount val="9"/>
              </c:numCache>
            </c:numRef>
          </c:val>
          <c:smooth val="0"/>
          <c:extLst>
            <c:ext xmlns:c16="http://schemas.microsoft.com/office/drawing/2014/chart" uri="{C3380CC4-5D6E-409C-BE32-E72D297353CC}">
              <c16:uniqueId val="{0000001C-5F08-4FE9-9998-AEE2C8A8A26A}"/>
            </c:ext>
          </c:extLst>
        </c:ser>
        <c:ser>
          <c:idx val="29"/>
          <c:order val="29"/>
          <c:tx>
            <c:strRef>
              <c:f>Milk_Serum!$AF$1</c:f>
              <c:strCache>
                <c:ptCount val="1"/>
                <c:pt idx="0">
                  <c:v>br-PFTeDA </c:v>
                </c:pt>
              </c:strCache>
            </c:strRef>
          </c:tx>
          <c:spPr>
            <a:ln w="28575" cap="rnd">
              <a:solidFill>
                <a:schemeClr val="accent6">
                  <a:lumMod val="60000"/>
                  <a:lumOff val="40000"/>
                </a:schemeClr>
              </a:solidFill>
              <a:round/>
            </a:ln>
            <a:effectLst/>
          </c:spPr>
          <c:marker>
            <c:symbol val="none"/>
          </c:marker>
          <c:cat>
            <c:strRef>
              <c:f>Milk_Serum!$A$38:$B$46</c:f>
            </c:strRef>
          </c:cat>
          <c:val>
            <c:numRef>
              <c:f>Milk_Serum!$AF$38:$AF$46</c:f>
              <c:numCache>
                <c:formatCode>General</c:formatCode>
                <c:ptCount val="9"/>
              </c:numCache>
            </c:numRef>
          </c:val>
          <c:smooth val="0"/>
          <c:extLst>
            <c:ext xmlns:c16="http://schemas.microsoft.com/office/drawing/2014/chart" uri="{C3380CC4-5D6E-409C-BE32-E72D297353CC}">
              <c16:uniqueId val="{0000001D-5F08-4FE9-9998-AEE2C8A8A26A}"/>
            </c:ext>
          </c:extLst>
        </c:ser>
        <c:ser>
          <c:idx val="30"/>
          <c:order val="30"/>
          <c:tx>
            <c:strRef>
              <c:f>Milk_Serum!$AG$1</c:f>
              <c:strCache>
                <c:ptCount val="1"/>
                <c:pt idx="0">
                  <c:v>br-PFHxS</c:v>
                </c:pt>
              </c:strCache>
            </c:strRef>
          </c:tx>
          <c:spPr>
            <a:ln w="28575" cap="rnd">
              <a:solidFill>
                <a:schemeClr val="accent1">
                  <a:lumMod val="50000"/>
                </a:schemeClr>
              </a:solidFill>
              <a:round/>
            </a:ln>
            <a:effectLst/>
          </c:spPr>
          <c:marker>
            <c:symbol val="none"/>
          </c:marker>
          <c:cat>
            <c:strRef>
              <c:f>Milk_Serum!$A$38:$B$46</c:f>
            </c:strRef>
          </c:cat>
          <c:val>
            <c:numRef>
              <c:f>Milk_Serum!$AG$38:$AG$46</c:f>
              <c:numCache>
                <c:formatCode>General</c:formatCode>
                <c:ptCount val="9"/>
              </c:numCache>
            </c:numRef>
          </c:val>
          <c:smooth val="0"/>
          <c:extLst>
            <c:ext xmlns:c16="http://schemas.microsoft.com/office/drawing/2014/chart" uri="{C3380CC4-5D6E-409C-BE32-E72D297353CC}">
              <c16:uniqueId val="{0000001E-5F08-4FE9-9998-AEE2C8A8A26A}"/>
            </c:ext>
          </c:extLst>
        </c:ser>
        <c:ser>
          <c:idx val="31"/>
          <c:order val="31"/>
          <c:tx>
            <c:strRef>
              <c:f>Milk_Serum!$AH$1</c:f>
              <c:strCache>
                <c:ptCount val="1"/>
                <c:pt idx="0">
                  <c:v>br-PFHpS</c:v>
                </c:pt>
              </c:strCache>
            </c:strRef>
          </c:tx>
          <c:spPr>
            <a:ln w="28575" cap="rnd">
              <a:solidFill>
                <a:schemeClr val="accent2">
                  <a:lumMod val="50000"/>
                </a:schemeClr>
              </a:solidFill>
              <a:round/>
            </a:ln>
            <a:effectLst/>
          </c:spPr>
          <c:marker>
            <c:symbol val="none"/>
          </c:marker>
          <c:cat>
            <c:strRef>
              <c:f>Milk_Serum!$A$38:$B$46</c:f>
            </c:strRef>
          </c:cat>
          <c:val>
            <c:numRef>
              <c:f>Milk_Serum!$AH$38:$AH$46</c:f>
              <c:numCache>
                <c:formatCode>General</c:formatCode>
                <c:ptCount val="9"/>
              </c:numCache>
            </c:numRef>
          </c:val>
          <c:smooth val="0"/>
          <c:extLst>
            <c:ext xmlns:c16="http://schemas.microsoft.com/office/drawing/2014/chart" uri="{C3380CC4-5D6E-409C-BE32-E72D297353CC}">
              <c16:uniqueId val="{0000001F-5F08-4FE9-9998-AEE2C8A8A26A}"/>
            </c:ext>
          </c:extLst>
        </c:ser>
        <c:ser>
          <c:idx val="32"/>
          <c:order val="32"/>
          <c:tx>
            <c:strRef>
              <c:f>Milk_Serum!$AI$1</c:f>
              <c:strCache>
                <c:ptCount val="1"/>
                <c:pt idx="0">
                  <c:v>br-PFOS </c:v>
                </c:pt>
              </c:strCache>
            </c:strRef>
          </c:tx>
          <c:spPr>
            <a:ln w="28575" cap="rnd">
              <a:solidFill>
                <a:schemeClr val="accent3">
                  <a:lumMod val="50000"/>
                </a:schemeClr>
              </a:solidFill>
              <a:round/>
            </a:ln>
            <a:effectLst/>
          </c:spPr>
          <c:marker>
            <c:symbol val="none"/>
          </c:marker>
          <c:cat>
            <c:strRef>
              <c:f>Milk_Serum!$A$38:$B$46</c:f>
            </c:strRef>
          </c:cat>
          <c:val>
            <c:numRef>
              <c:f>Milk_Serum!$AI$38:$AI$46</c:f>
              <c:numCache>
                <c:formatCode>General</c:formatCode>
                <c:ptCount val="9"/>
              </c:numCache>
            </c:numRef>
          </c:val>
          <c:smooth val="0"/>
          <c:extLst>
            <c:ext xmlns:c16="http://schemas.microsoft.com/office/drawing/2014/chart" uri="{C3380CC4-5D6E-409C-BE32-E72D297353CC}">
              <c16:uniqueId val="{00000020-5F08-4FE9-9998-AEE2C8A8A26A}"/>
            </c:ext>
          </c:extLst>
        </c:ser>
        <c:ser>
          <c:idx val="33"/>
          <c:order val="33"/>
          <c:tx>
            <c:strRef>
              <c:f>Milk_Serum!$AJ$1</c:f>
              <c:strCache>
                <c:ptCount val="1"/>
                <c:pt idx="0">
                  <c:v>br-PFNS </c:v>
                </c:pt>
              </c:strCache>
            </c:strRef>
          </c:tx>
          <c:spPr>
            <a:ln w="28575" cap="rnd">
              <a:solidFill>
                <a:schemeClr val="accent4">
                  <a:lumMod val="50000"/>
                </a:schemeClr>
              </a:solidFill>
              <a:round/>
            </a:ln>
            <a:effectLst/>
          </c:spPr>
          <c:marker>
            <c:symbol val="none"/>
          </c:marker>
          <c:cat>
            <c:strRef>
              <c:f>Milk_Serum!$A$38:$B$46</c:f>
            </c:strRef>
          </c:cat>
          <c:val>
            <c:numRef>
              <c:f>Milk_Serum!$AJ$38:$AJ$46</c:f>
              <c:numCache>
                <c:formatCode>General</c:formatCode>
                <c:ptCount val="9"/>
              </c:numCache>
            </c:numRef>
          </c:val>
          <c:smooth val="0"/>
          <c:extLst>
            <c:ext xmlns:c16="http://schemas.microsoft.com/office/drawing/2014/chart" uri="{C3380CC4-5D6E-409C-BE32-E72D297353CC}">
              <c16:uniqueId val="{00000021-5F08-4FE9-9998-AEE2C8A8A26A}"/>
            </c:ext>
          </c:extLst>
        </c:ser>
        <c:ser>
          <c:idx val="34"/>
          <c:order val="34"/>
          <c:tx>
            <c:strRef>
              <c:f>Milk_Serum!$AK$1</c:f>
              <c:strCache>
                <c:ptCount val="1"/>
                <c:pt idx="0">
                  <c:v>br-PFDS </c:v>
                </c:pt>
              </c:strCache>
            </c:strRef>
          </c:tx>
          <c:spPr>
            <a:ln w="28575" cap="rnd">
              <a:solidFill>
                <a:schemeClr val="accent5">
                  <a:lumMod val="50000"/>
                </a:schemeClr>
              </a:solidFill>
              <a:round/>
            </a:ln>
            <a:effectLst/>
          </c:spPr>
          <c:marker>
            <c:symbol val="none"/>
          </c:marker>
          <c:cat>
            <c:strRef>
              <c:f>Milk_Serum!$A$38:$B$46</c:f>
            </c:strRef>
          </c:cat>
          <c:val>
            <c:numRef>
              <c:f>Milk_Serum!$AK$38:$AK$46</c:f>
              <c:numCache>
                <c:formatCode>General</c:formatCode>
                <c:ptCount val="9"/>
              </c:numCache>
            </c:numRef>
          </c:val>
          <c:smooth val="0"/>
          <c:extLst>
            <c:ext xmlns:c16="http://schemas.microsoft.com/office/drawing/2014/chart" uri="{C3380CC4-5D6E-409C-BE32-E72D297353CC}">
              <c16:uniqueId val="{00000022-5F08-4FE9-9998-AEE2C8A8A26A}"/>
            </c:ext>
          </c:extLst>
        </c:ser>
        <c:ser>
          <c:idx val="35"/>
          <c:order val="35"/>
          <c:tx>
            <c:strRef>
              <c:f>Milk_Serum!$AL$1</c:f>
              <c:strCache>
                <c:ptCount val="1"/>
                <c:pt idx="0">
                  <c:v>br-PFUnDS </c:v>
                </c:pt>
              </c:strCache>
            </c:strRef>
          </c:tx>
          <c:spPr>
            <a:ln w="28575" cap="rnd">
              <a:solidFill>
                <a:schemeClr val="accent6">
                  <a:lumMod val="50000"/>
                </a:schemeClr>
              </a:solidFill>
              <a:round/>
            </a:ln>
            <a:effectLst/>
          </c:spPr>
          <c:marker>
            <c:symbol val="none"/>
          </c:marker>
          <c:cat>
            <c:strRef>
              <c:f>Milk_Serum!$A$38:$B$46</c:f>
            </c:strRef>
          </c:cat>
          <c:val>
            <c:numRef>
              <c:f>Milk_Serum!$AL$38:$AL$46</c:f>
              <c:numCache>
                <c:formatCode>General</c:formatCode>
                <c:ptCount val="9"/>
              </c:numCache>
            </c:numRef>
          </c:val>
          <c:smooth val="0"/>
          <c:extLst>
            <c:ext xmlns:c16="http://schemas.microsoft.com/office/drawing/2014/chart" uri="{C3380CC4-5D6E-409C-BE32-E72D297353CC}">
              <c16:uniqueId val="{00000023-5F08-4FE9-9998-AEE2C8A8A26A}"/>
            </c:ext>
          </c:extLst>
        </c:ser>
        <c:ser>
          <c:idx val="36"/>
          <c:order val="36"/>
          <c:tx>
            <c:strRef>
              <c:f>Milk_Serum!$AM$1</c:f>
              <c:strCache>
                <c:ptCount val="1"/>
                <c:pt idx="0">
                  <c:v>br-PFDoDS </c:v>
                </c:pt>
              </c:strCache>
            </c:strRef>
          </c:tx>
          <c:spPr>
            <a:ln w="28575" cap="rnd">
              <a:solidFill>
                <a:schemeClr val="accent1">
                  <a:lumMod val="70000"/>
                  <a:lumOff val="30000"/>
                </a:schemeClr>
              </a:solidFill>
              <a:round/>
            </a:ln>
            <a:effectLst/>
          </c:spPr>
          <c:marker>
            <c:symbol val="none"/>
          </c:marker>
          <c:cat>
            <c:strRef>
              <c:f>Milk_Serum!$A$38:$B$46</c:f>
            </c:strRef>
          </c:cat>
          <c:val>
            <c:numRef>
              <c:f>Milk_Serum!$AM$38:$AM$46</c:f>
              <c:numCache>
                <c:formatCode>General</c:formatCode>
                <c:ptCount val="9"/>
              </c:numCache>
            </c:numRef>
          </c:val>
          <c:smooth val="0"/>
          <c:extLst>
            <c:ext xmlns:c16="http://schemas.microsoft.com/office/drawing/2014/chart" uri="{C3380CC4-5D6E-409C-BE32-E72D297353CC}">
              <c16:uniqueId val="{00000024-5F08-4FE9-9998-AEE2C8A8A26A}"/>
            </c:ext>
          </c:extLst>
        </c:ser>
        <c:ser>
          <c:idx val="37"/>
          <c:order val="37"/>
          <c:tx>
            <c:strRef>
              <c:f>Milk_Serum!$AN$1</c:f>
              <c:strCache>
                <c:ptCount val="1"/>
                <c:pt idx="0">
                  <c:v>br-PFTrDS </c:v>
                </c:pt>
              </c:strCache>
            </c:strRef>
          </c:tx>
          <c:spPr>
            <a:ln w="28575" cap="rnd">
              <a:solidFill>
                <a:schemeClr val="accent2">
                  <a:lumMod val="70000"/>
                  <a:lumOff val="30000"/>
                </a:schemeClr>
              </a:solidFill>
              <a:round/>
            </a:ln>
            <a:effectLst/>
          </c:spPr>
          <c:marker>
            <c:symbol val="none"/>
          </c:marker>
          <c:cat>
            <c:strRef>
              <c:f>Milk_Serum!$A$38:$B$46</c:f>
            </c:strRef>
          </c:cat>
          <c:val>
            <c:numRef>
              <c:f>Milk_Serum!$AN$38:$AN$46</c:f>
              <c:numCache>
                <c:formatCode>General</c:formatCode>
                <c:ptCount val="9"/>
              </c:numCache>
            </c:numRef>
          </c:val>
          <c:smooth val="0"/>
          <c:extLst>
            <c:ext xmlns:c16="http://schemas.microsoft.com/office/drawing/2014/chart" uri="{C3380CC4-5D6E-409C-BE32-E72D297353CC}">
              <c16:uniqueId val="{00000025-5F08-4FE9-9998-AEE2C8A8A26A}"/>
            </c:ext>
          </c:extLst>
        </c:ser>
        <c:dLbls>
          <c:showLegendKey val="0"/>
          <c:showVal val="0"/>
          <c:showCatName val="0"/>
          <c:showSerName val="0"/>
          <c:showPercent val="0"/>
          <c:showBubbleSize val="0"/>
        </c:dLbls>
        <c:smooth val="0"/>
        <c:axId val="379304015"/>
        <c:axId val="379282383"/>
      </c:lineChart>
      <c:catAx>
        <c:axId val="379304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282383"/>
        <c:crosses val="autoZero"/>
        <c:auto val="1"/>
        <c:lblAlgn val="ctr"/>
        <c:lblOffset val="100"/>
        <c:noMultiLvlLbl val="0"/>
      </c:catAx>
      <c:valAx>
        <c:axId val="3792823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30401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8740157499999996" l="0.7" r="0.7" t="0.78740157499999996"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Milk_Serum!$C$1</c:f>
              <c:strCache>
                <c:ptCount val="1"/>
                <c:pt idx="0">
                  <c:v>n-PFBA</c:v>
                </c:pt>
              </c:strCache>
            </c:strRef>
          </c:tx>
          <c:spPr>
            <a:ln w="28575" cap="rnd">
              <a:solidFill>
                <a:schemeClr val="accent1"/>
              </a:solidFill>
              <a:round/>
            </a:ln>
            <a:effectLst/>
          </c:spPr>
          <c:marker>
            <c:symbol val="none"/>
          </c:marker>
          <c:cat>
            <c:multiLvlStrRef>
              <c:f>Milk_Serum!$A$29:$B$37</c:f>
              <c:multiLvlStrCache>
                <c:ptCount val="9"/>
                <c:lvl>
                  <c:pt idx="0">
                    <c:v>1</c:v>
                  </c:pt>
                  <c:pt idx="1">
                    <c:v>5</c:v>
                  </c:pt>
                  <c:pt idx="2">
                    <c:v>17</c:v>
                  </c:pt>
                  <c:pt idx="3">
                    <c:v>38</c:v>
                  </c:pt>
                  <c:pt idx="4">
                    <c:v>57</c:v>
                  </c:pt>
                  <c:pt idx="5">
                    <c:v>61</c:v>
                  </c:pt>
                  <c:pt idx="6">
                    <c:v>73</c:v>
                  </c:pt>
                  <c:pt idx="7">
                    <c:v>101</c:v>
                  </c:pt>
                  <c:pt idx="8">
                    <c:v>136</c:v>
                  </c:pt>
                </c:lvl>
                <c:lvl>
                  <c:pt idx="0">
                    <c:v>MW</c:v>
                  </c:pt>
                </c:lvl>
              </c:multiLvlStrCache>
            </c:multiLvlStrRef>
          </c:cat>
          <c:val>
            <c:numRef>
              <c:f>Milk_Serum!$C$29:$C$37</c:f>
              <c:numCache>
                <c:formatCode>General</c:formatCode>
                <c:ptCount val="9"/>
                <c:pt idx="0">
                  <c:v>0</c:v>
                </c:pt>
                <c:pt idx="1">
                  <c:v>0.33061103230005479</c:v>
                </c:pt>
                <c:pt idx="2">
                  <c:v>0.23465875021232011</c:v>
                </c:pt>
                <c:pt idx="3">
                  <c:v>0.2075185113322485</c:v>
                </c:pt>
                <c:pt idx="4">
                  <c:v>0.21915554990570996</c:v>
                </c:pt>
                <c:pt idx="5">
                  <c:v>0</c:v>
                </c:pt>
                <c:pt idx="6">
                  <c:v>0</c:v>
                </c:pt>
                <c:pt idx="7">
                  <c:v>0</c:v>
                </c:pt>
                <c:pt idx="8">
                  <c:v>0</c:v>
                </c:pt>
              </c:numCache>
            </c:numRef>
          </c:val>
          <c:smooth val="0"/>
          <c:extLst>
            <c:ext xmlns:c16="http://schemas.microsoft.com/office/drawing/2014/chart" uri="{C3380CC4-5D6E-409C-BE32-E72D297353CC}">
              <c16:uniqueId val="{00000000-EC16-48B4-9F5F-884DD816B3CE}"/>
            </c:ext>
          </c:extLst>
        </c:ser>
        <c:ser>
          <c:idx val="1"/>
          <c:order val="1"/>
          <c:tx>
            <c:strRef>
              <c:f>Milk_Serum!$D$1</c:f>
              <c:strCache>
                <c:ptCount val="1"/>
                <c:pt idx="0">
                  <c:v>n-PFPeA </c:v>
                </c:pt>
              </c:strCache>
            </c:strRef>
          </c:tx>
          <c:spPr>
            <a:ln w="28575" cap="rnd">
              <a:solidFill>
                <a:schemeClr val="accent2"/>
              </a:solidFill>
              <a:round/>
            </a:ln>
            <a:effectLst/>
          </c:spPr>
          <c:marker>
            <c:symbol val="none"/>
          </c:marker>
          <c:cat>
            <c:multiLvlStrRef>
              <c:f>Milk_Serum!$A$29:$B$37</c:f>
              <c:multiLvlStrCache>
                <c:ptCount val="9"/>
                <c:lvl>
                  <c:pt idx="0">
                    <c:v>1</c:v>
                  </c:pt>
                  <c:pt idx="1">
                    <c:v>5</c:v>
                  </c:pt>
                  <c:pt idx="2">
                    <c:v>17</c:v>
                  </c:pt>
                  <c:pt idx="3">
                    <c:v>38</c:v>
                  </c:pt>
                  <c:pt idx="4">
                    <c:v>57</c:v>
                  </c:pt>
                  <c:pt idx="5">
                    <c:v>61</c:v>
                  </c:pt>
                  <c:pt idx="6">
                    <c:v>73</c:v>
                  </c:pt>
                  <c:pt idx="7">
                    <c:v>101</c:v>
                  </c:pt>
                  <c:pt idx="8">
                    <c:v>136</c:v>
                  </c:pt>
                </c:lvl>
                <c:lvl>
                  <c:pt idx="0">
                    <c:v>MW</c:v>
                  </c:pt>
                </c:lvl>
              </c:multiLvlStrCache>
            </c:multiLvlStrRef>
          </c:cat>
          <c:val>
            <c:numRef>
              <c:f>Milk_Serum!$D$29:$D$37</c:f>
              <c:numCache>
                <c:formatCode>General</c:formatCode>
                <c:ptCount val="9"/>
                <c:pt idx="0">
                  <c:v>0</c:v>
                </c:pt>
                <c:pt idx="1">
                  <c:v>0</c:v>
                </c:pt>
                <c:pt idx="2">
                  <c:v>0</c:v>
                </c:pt>
                <c:pt idx="3">
                  <c:v>0</c:v>
                </c:pt>
                <c:pt idx="4">
                  <c:v>0</c:v>
                </c:pt>
                <c:pt idx="5">
                  <c:v>0</c:v>
                </c:pt>
                <c:pt idx="6">
                  <c:v>0</c:v>
                </c:pt>
                <c:pt idx="7">
                  <c:v>0</c:v>
                </c:pt>
                <c:pt idx="8">
                  <c:v>0</c:v>
                </c:pt>
              </c:numCache>
            </c:numRef>
          </c:val>
          <c:smooth val="0"/>
          <c:extLst>
            <c:ext xmlns:c16="http://schemas.microsoft.com/office/drawing/2014/chart" uri="{C3380CC4-5D6E-409C-BE32-E72D297353CC}">
              <c16:uniqueId val="{00000001-EC16-48B4-9F5F-884DD816B3CE}"/>
            </c:ext>
          </c:extLst>
        </c:ser>
        <c:ser>
          <c:idx val="2"/>
          <c:order val="2"/>
          <c:tx>
            <c:strRef>
              <c:f>Milk_Serum!$E$1</c:f>
              <c:strCache>
                <c:ptCount val="1"/>
                <c:pt idx="0">
                  <c:v>n-PFHxA </c:v>
                </c:pt>
              </c:strCache>
            </c:strRef>
          </c:tx>
          <c:spPr>
            <a:ln w="28575" cap="rnd">
              <a:solidFill>
                <a:schemeClr val="accent3"/>
              </a:solidFill>
              <a:round/>
            </a:ln>
            <a:effectLst/>
          </c:spPr>
          <c:marker>
            <c:symbol val="none"/>
          </c:marker>
          <c:cat>
            <c:multiLvlStrRef>
              <c:f>Milk_Serum!$A$29:$B$37</c:f>
              <c:multiLvlStrCache>
                <c:ptCount val="9"/>
                <c:lvl>
                  <c:pt idx="0">
                    <c:v>1</c:v>
                  </c:pt>
                  <c:pt idx="1">
                    <c:v>5</c:v>
                  </c:pt>
                  <c:pt idx="2">
                    <c:v>17</c:v>
                  </c:pt>
                  <c:pt idx="3">
                    <c:v>38</c:v>
                  </c:pt>
                  <c:pt idx="4">
                    <c:v>57</c:v>
                  </c:pt>
                  <c:pt idx="5">
                    <c:v>61</c:v>
                  </c:pt>
                  <c:pt idx="6">
                    <c:v>73</c:v>
                  </c:pt>
                  <c:pt idx="7">
                    <c:v>101</c:v>
                  </c:pt>
                  <c:pt idx="8">
                    <c:v>136</c:v>
                  </c:pt>
                </c:lvl>
                <c:lvl>
                  <c:pt idx="0">
                    <c:v>MW</c:v>
                  </c:pt>
                </c:lvl>
              </c:multiLvlStrCache>
            </c:multiLvlStrRef>
          </c:cat>
          <c:val>
            <c:numRef>
              <c:f>Milk_Serum!$E$29:$E$37</c:f>
              <c:numCache>
                <c:formatCode>General</c:formatCode>
                <c:ptCount val="9"/>
                <c:pt idx="0">
                  <c:v>0</c:v>
                </c:pt>
                <c:pt idx="1">
                  <c:v>0</c:v>
                </c:pt>
                <c:pt idx="2">
                  <c:v>0</c:v>
                </c:pt>
                <c:pt idx="3">
                  <c:v>0</c:v>
                </c:pt>
                <c:pt idx="4">
                  <c:v>0</c:v>
                </c:pt>
                <c:pt idx="5">
                  <c:v>0</c:v>
                </c:pt>
                <c:pt idx="6">
                  <c:v>0</c:v>
                </c:pt>
                <c:pt idx="7">
                  <c:v>0</c:v>
                </c:pt>
                <c:pt idx="8">
                  <c:v>0</c:v>
                </c:pt>
              </c:numCache>
            </c:numRef>
          </c:val>
          <c:smooth val="0"/>
          <c:extLst>
            <c:ext xmlns:c16="http://schemas.microsoft.com/office/drawing/2014/chart" uri="{C3380CC4-5D6E-409C-BE32-E72D297353CC}">
              <c16:uniqueId val="{00000002-EC16-48B4-9F5F-884DD816B3CE}"/>
            </c:ext>
          </c:extLst>
        </c:ser>
        <c:ser>
          <c:idx val="3"/>
          <c:order val="3"/>
          <c:tx>
            <c:strRef>
              <c:f>Milk_Serum!$F$1</c:f>
              <c:strCache>
                <c:ptCount val="1"/>
                <c:pt idx="0">
                  <c:v>n-PFHpA </c:v>
                </c:pt>
              </c:strCache>
            </c:strRef>
          </c:tx>
          <c:spPr>
            <a:ln w="28575" cap="rnd">
              <a:solidFill>
                <a:schemeClr val="accent4"/>
              </a:solidFill>
              <a:round/>
            </a:ln>
            <a:effectLst/>
          </c:spPr>
          <c:marker>
            <c:symbol val="none"/>
          </c:marker>
          <c:cat>
            <c:multiLvlStrRef>
              <c:f>Milk_Serum!$A$29:$B$37</c:f>
              <c:multiLvlStrCache>
                <c:ptCount val="9"/>
                <c:lvl>
                  <c:pt idx="0">
                    <c:v>1</c:v>
                  </c:pt>
                  <c:pt idx="1">
                    <c:v>5</c:v>
                  </c:pt>
                  <c:pt idx="2">
                    <c:v>17</c:v>
                  </c:pt>
                  <c:pt idx="3">
                    <c:v>38</c:v>
                  </c:pt>
                  <c:pt idx="4">
                    <c:v>57</c:v>
                  </c:pt>
                  <c:pt idx="5">
                    <c:v>61</c:v>
                  </c:pt>
                  <c:pt idx="6">
                    <c:v>73</c:v>
                  </c:pt>
                  <c:pt idx="7">
                    <c:v>101</c:v>
                  </c:pt>
                  <c:pt idx="8">
                    <c:v>136</c:v>
                  </c:pt>
                </c:lvl>
                <c:lvl>
                  <c:pt idx="0">
                    <c:v>MW</c:v>
                  </c:pt>
                </c:lvl>
              </c:multiLvlStrCache>
            </c:multiLvlStrRef>
          </c:cat>
          <c:val>
            <c:numRef>
              <c:f>Milk_Serum!$F$29:$F$37</c:f>
              <c:numCache>
                <c:formatCode>General</c:formatCode>
                <c:ptCount val="9"/>
                <c:pt idx="0">
                  <c:v>0</c:v>
                </c:pt>
                <c:pt idx="1">
                  <c:v>0</c:v>
                </c:pt>
                <c:pt idx="2">
                  <c:v>0</c:v>
                </c:pt>
                <c:pt idx="3">
                  <c:v>0</c:v>
                </c:pt>
                <c:pt idx="4">
                  <c:v>0</c:v>
                </c:pt>
                <c:pt idx="5">
                  <c:v>0</c:v>
                </c:pt>
                <c:pt idx="6">
                  <c:v>0</c:v>
                </c:pt>
                <c:pt idx="7">
                  <c:v>0</c:v>
                </c:pt>
                <c:pt idx="8">
                  <c:v>0</c:v>
                </c:pt>
              </c:numCache>
            </c:numRef>
          </c:val>
          <c:smooth val="0"/>
          <c:extLst>
            <c:ext xmlns:c16="http://schemas.microsoft.com/office/drawing/2014/chart" uri="{C3380CC4-5D6E-409C-BE32-E72D297353CC}">
              <c16:uniqueId val="{00000003-EC16-48B4-9F5F-884DD816B3CE}"/>
            </c:ext>
          </c:extLst>
        </c:ser>
        <c:ser>
          <c:idx val="4"/>
          <c:order val="4"/>
          <c:tx>
            <c:strRef>
              <c:f>Milk_Serum!$G$1</c:f>
              <c:strCache>
                <c:ptCount val="1"/>
                <c:pt idx="0">
                  <c:v>n-PFOA </c:v>
                </c:pt>
              </c:strCache>
            </c:strRef>
          </c:tx>
          <c:spPr>
            <a:ln w="28575" cap="rnd">
              <a:solidFill>
                <a:schemeClr val="accent5"/>
              </a:solidFill>
              <a:round/>
            </a:ln>
            <a:effectLst/>
          </c:spPr>
          <c:marker>
            <c:symbol val="none"/>
          </c:marker>
          <c:cat>
            <c:multiLvlStrRef>
              <c:f>Milk_Serum!$A$29:$B$37</c:f>
              <c:multiLvlStrCache>
                <c:ptCount val="9"/>
                <c:lvl>
                  <c:pt idx="0">
                    <c:v>1</c:v>
                  </c:pt>
                  <c:pt idx="1">
                    <c:v>5</c:v>
                  </c:pt>
                  <c:pt idx="2">
                    <c:v>17</c:v>
                  </c:pt>
                  <c:pt idx="3">
                    <c:v>38</c:v>
                  </c:pt>
                  <c:pt idx="4">
                    <c:v>57</c:v>
                  </c:pt>
                  <c:pt idx="5">
                    <c:v>61</c:v>
                  </c:pt>
                  <c:pt idx="6">
                    <c:v>73</c:v>
                  </c:pt>
                  <c:pt idx="7">
                    <c:v>101</c:v>
                  </c:pt>
                  <c:pt idx="8">
                    <c:v>136</c:v>
                  </c:pt>
                </c:lvl>
                <c:lvl>
                  <c:pt idx="0">
                    <c:v>MW</c:v>
                  </c:pt>
                </c:lvl>
              </c:multiLvlStrCache>
            </c:multiLvlStrRef>
          </c:cat>
          <c:val>
            <c:numRef>
              <c:f>Milk_Serum!$G$29:$G$37</c:f>
              <c:numCache>
                <c:formatCode>General</c:formatCode>
                <c:ptCount val="9"/>
                <c:pt idx="0">
                  <c:v>0</c:v>
                </c:pt>
                <c:pt idx="1">
                  <c:v>3.220226190961193E-2</c:v>
                </c:pt>
                <c:pt idx="2">
                  <c:v>1.5831185909789606E-2</c:v>
                </c:pt>
                <c:pt idx="3">
                  <c:v>1.4935768178452847E-2</c:v>
                </c:pt>
                <c:pt idx="4">
                  <c:v>0</c:v>
                </c:pt>
                <c:pt idx="5">
                  <c:v>0</c:v>
                </c:pt>
                <c:pt idx="6">
                  <c:v>0</c:v>
                </c:pt>
                <c:pt idx="7">
                  <c:v>0</c:v>
                </c:pt>
                <c:pt idx="8">
                  <c:v>0</c:v>
                </c:pt>
              </c:numCache>
            </c:numRef>
          </c:val>
          <c:smooth val="0"/>
          <c:extLst>
            <c:ext xmlns:c16="http://schemas.microsoft.com/office/drawing/2014/chart" uri="{C3380CC4-5D6E-409C-BE32-E72D297353CC}">
              <c16:uniqueId val="{00000004-EC16-48B4-9F5F-884DD816B3CE}"/>
            </c:ext>
          </c:extLst>
        </c:ser>
        <c:ser>
          <c:idx val="5"/>
          <c:order val="5"/>
          <c:tx>
            <c:strRef>
              <c:f>Milk_Serum!$H$1</c:f>
              <c:strCache>
                <c:ptCount val="1"/>
                <c:pt idx="0">
                  <c:v>n-PFNA </c:v>
                </c:pt>
              </c:strCache>
            </c:strRef>
          </c:tx>
          <c:spPr>
            <a:ln w="28575" cap="rnd">
              <a:solidFill>
                <a:schemeClr val="accent6"/>
              </a:solidFill>
              <a:round/>
            </a:ln>
            <a:effectLst/>
          </c:spPr>
          <c:marker>
            <c:symbol val="none"/>
          </c:marker>
          <c:cat>
            <c:multiLvlStrRef>
              <c:f>Milk_Serum!$A$29:$B$37</c:f>
              <c:multiLvlStrCache>
                <c:ptCount val="9"/>
                <c:lvl>
                  <c:pt idx="0">
                    <c:v>1</c:v>
                  </c:pt>
                  <c:pt idx="1">
                    <c:v>5</c:v>
                  </c:pt>
                  <c:pt idx="2">
                    <c:v>17</c:v>
                  </c:pt>
                  <c:pt idx="3">
                    <c:v>38</c:v>
                  </c:pt>
                  <c:pt idx="4">
                    <c:v>57</c:v>
                  </c:pt>
                  <c:pt idx="5">
                    <c:v>61</c:v>
                  </c:pt>
                  <c:pt idx="6">
                    <c:v>73</c:v>
                  </c:pt>
                  <c:pt idx="7">
                    <c:v>101</c:v>
                  </c:pt>
                  <c:pt idx="8">
                    <c:v>136</c:v>
                  </c:pt>
                </c:lvl>
                <c:lvl>
                  <c:pt idx="0">
                    <c:v>MW</c:v>
                  </c:pt>
                </c:lvl>
              </c:multiLvlStrCache>
            </c:multiLvlStrRef>
          </c:cat>
          <c:val>
            <c:numRef>
              <c:f>Milk_Serum!$H$29:$H$37</c:f>
              <c:numCache>
                <c:formatCode>General</c:formatCode>
                <c:ptCount val="9"/>
                <c:pt idx="0">
                  <c:v>0</c:v>
                </c:pt>
                <c:pt idx="1">
                  <c:v>0</c:v>
                </c:pt>
                <c:pt idx="2">
                  <c:v>0</c:v>
                </c:pt>
                <c:pt idx="3">
                  <c:v>0</c:v>
                </c:pt>
                <c:pt idx="4">
                  <c:v>0</c:v>
                </c:pt>
                <c:pt idx="5">
                  <c:v>0</c:v>
                </c:pt>
                <c:pt idx="6">
                  <c:v>0</c:v>
                </c:pt>
                <c:pt idx="7">
                  <c:v>0</c:v>
                </c:pt>
                <c:pt idx="8">
                  <c:v>0</c:v>
                </c:pt>
              </c:numCache>
            </c:numRef>
          </c:val>
          <c:smooth val="0"/>
          <c:extLst>
            <c:ext xmlns:c16="http://schemas.microsoft.com/office/drawing/2014/chart" uri="{C3380CC4-5D6E-409C-BE32-E72D297353CC}">
              <c16:uniqueId val="{00000005-EC16-48B4-9F5F-884DD816B3CE}"/>
            </c:ext>
          </c:extLst>
        </c:ser>
        <c:ser>
          <c:idx val="6"/>
          <c:order val="6"/>
          <c:tx>
            <c:strRef>
              <c:f>Milk_Serum!$I$1</c:f>
              <c:strCache>
                <c:ptCount val="1"/>
                <c:pt idx="0">
                  <c:v>n-PFDA </c:v>
                </c:pt>
              </c:strCache>
            </c:strRef>
          </c:tx>
          <c:spPr>
            <a:ln w="28575" cap="rnd">
              <a:solidFill>
                <a:schemeClr val="accent1">
                  <a:lumMod val="60000"/>
                </a:schemeClr>
              </a:solidFill>
              <a:round/>
            </a:ln>
            <a:effectLst/>
          </c:spPr>
          <c:marker>
            <c:symbol val="none"/>
          </c:marker>
          <c:cat>
            <c:multiLvlStrRef>
              <c:f>Milk_Serum!$A$29:$B$37</c:f>
              <c:multiLvlStrCache>
                <c:ptCount val="9"/>
                <c:lvl>
                  <c:pt idx="0">
                    <c:v>1</c:v>
                  </c:pt>
                  <c:pt idx="1">
                    <c:v>5</c:v>
                  </c:pt>
                  <c:pt idx="2">
                    <c:v>17</c:v>
                  </c:pt>
                  <c:pt idx="3">
                    <c:v>38</c:v>
                  </c:pt>
                  <c:pt idx="4">
                    <c:v>57</c:v>
                  </c:pt>
                  <c:pt idx="5">
                    <c:v>61</c:v>
                  </c:pt>
                  <c:pt idx="6">
                    <c:v>73</c:v>
                  </c:pt>
                  <c:pt idx="7">
                    <c:v>101</c:v>
                  </c:pt>
                  <c:pt idx="8">
                    <c:v>136</c:v>
                  </c:pt>
                </c:lvl>
                <c:lvl>
                  <c:pt idx="0">
                    <c:v>MW</c:v>
                  </c:pt>
                </c:lvl>
              </c:multiLvlStrCache>
            </c:multiLvlStrRef>
          </c:cat>
          <c:val>
            <c:numRef>
              <c:f>Milk_Serum!$I$29:$I$37</c:f>
              <c:numCache>
                <c:formatCode>General</c:formatCode>
                <c:ptCount val="9"/>
                <c:pt idx="0">
                  <c:v>0</c:v>
                </c:pt>
                <c:pt idx="1">
                  <c:v>0</c:v>
                </c:pt>
                <c:pt idx="2">
                  <c:v>6.413601303187029E-2</c:v>
                </c:pt>
                <c:pt idx="3">
                  <c:v>3.5663533800182431E-2</c:v>
                </c:pt>
                <c:pt idx="4">
                  <c:v>3.1268497637633244E-2</c:v>
                </c:pt>
                <c:pt idx="5">
                  <c:v>2.810979518540371E-2</c:v>
                </c:pt>
                <c:pt idx="6">
                  <c:v>5.3204774182461827E-2</c:v>
                </c:pt>
                <c:pt idx="7">
                  <c:v>6.3992371149165436E-2</c:v>
                </c:pt>
                <c:pt idx="8">
                  <c:v>0</c:v>
                </c:pt>
              </c:numCache>
            </c:numRef>
          </c:val>
          <c:smooth val="0"/>
          <c:extLst>
            <c:ext xmlns:c16="http://schemas.microsoft.com/office/drawing/2014/chart" uri="{C3380CC4-5D6E-409C-BE32-E72D297353CC}">
              <c16:uniqueId val="{00000006-EC16-48B4-9F5F-884DD816B3CE}"/>
            </c:ext>
          </c:extLst>
        </c:ser>
        <c:ser>
          <c:idx val="7"/>
          <c:order val="7"/>
          <c:tx>
            <c:strRef>
              <c:f>Milk_Serum!$J$1</c:f>
              <c:strCache>
                <c:ptCount val="1"/>
                <c:pt idx="0">
                  <c:v>n-PFUnDA </c:v>
                </c:pt>
              </c:strCache>
            </c:strRef>
          </c:tx>
          <c:spPr>
            <a:ln w="28575" cap="rnd">
              <a:solidFill>
                <a:schemeClr val="accent2">
                  <a:lumMod val="60000"/>
                </a:schemeClr>
              </a:solidFill>
              <a:round/>
            </a:ln>
            <a:effectLst/>
          </c:spPr>
          <c:marker>
            <c:symbol val="none"/>
          </c:marker>
          <c:cat>
            <c:multiLvlStrRef>
              <c:f>Milk_Serum!$A$29:$B$37</c:f>
              <c:multiLvlStrCache>
                <c:ptCount val="9"/>
                <c:lvl>
                  <c:pt idx="0">
                    <c:v>1</c:v>
                  </c:pt>
                  <c:pt idx="1">
                    <c:v>5</c:v>
                  </c:pt>
                  <c:pt idx="2">
                    <c:v>17</c:v>
                  </c:pt>
                  <c:pt idx="3">
                    <c:v>38</c:v>
                  </c:pt>
                  <c:pt idx="4">
                    <c:v>57</c:v>
                  </c:pt>
                  <c:pt idx="5">
                    <c:v>61</c:v>
                  </c:pt>
                  <c:pt idx="6">
                    <c:v>73</c:v>
                  </c:pt>
                  <c:pt idx="7">
                    <c:v>101</c:v>
                  </c:pt>
                  <c:pt idx="8">
                    <c:v>136</c:v>
                  </c:pt>
                </c:lvl>
                <c:lvl>
                  <c:pt idx="0">
                    <c:v>MW</c:v>
                  </c:pt>
                </c:lvl>
              </c:multiLvlStrCache>
            </c:multiLvlStrRef>
          </c:cat>
          <c:val>
            <c:numRef>
              <c:f>Milk_Serum!$J$29:$J$37</c:f>
              <c:numCache>
                <c:formatCode>General</c:formatCode>
                <c:ptCount val="9"/>
                <c:pt idx="0">
                  <c:v>0</c:v>
                </c:pt>
                <c:pt idx="1">
                  <c:v>0</c:v>
                </c:pt>
                <c:pt idx="2">
                  <c:v>0</c:v>
                </c:pt>
                <c:pt idx="3">
                  <c:v>2.8166386968046232E-2</c:v>
                </c:pt>
                <c:pt idx="4">
                  <c:v>2.3661466390972542E-2</c:v>
                </c:pt>
                <c:pt idx="5">
                  <c:v>2.2579750553821536E-2</c:v>
                </c:pt>
                <c:pt idx="6">
                  <c:v>3.8302913022300732E-2</c:v>
                </c:pt>
                <c:pt idx="7">
                  <c:v>0</c:v>
                </c:pt>
                <c:pt idx="8">
                  <c:v>0</c:v>
                </c:pt>
              </c:numCache>
            </c:numRef>
          </c:val>
          <c:smooth val="0"/>
          <c:extLst>
            <c:ext xmlns:c16="http://schemas.microsoft.com/office/drawing/2014/chart" uri="{C3380CC4-5D6E-409C-BE32-E72D297353CC}">
              <c16:uniqueId val="{00000007-EC16-48B4-9F5F-884DD816B3CE}"/>
            </c:ext>
          </c:extLst>
        </c:ser>
        <c:ser>
          <c:idx val="8"/>
          <c:order val="8"/>
          <c:tx>
            <c:strRef>
              <c:f>Milk_Serum!$K$1</c:f>
              <c:strCache>
                <c:ptCount val="1"/>
                <c:pt idx="0">
                  <c:v>n-PFDoDA </c:v>
                </c:pt>
              </c:strCache>
            </c:strRef>
          </c:tx>
          <c:spPr>
            <a:ln w="28575" cap="rnd">
              <a:solidFill>
                <a:schemeClr val="accent3">
                  <a:lumMod val="60000"/>
                </a:schemeClr>
              </a:solidFill>
              <a:round/>
            </a:ln>
            <a:effectLst/>
          </c:spPr>
          <c:marker>
            <c:symbol val="none"/>
          </c:marker>
          <c:cat>
            <c:multiLvlStrRef>
              <c:f>Milk_Serum!$A$29:$B$37</c:f>
              <c:multiLvlStrCache>
                <c:ptCount val="9"/>
                <c:lvl>
                  <c:pt idx="0">
                    <c:v>1</c:v>
                  </c:pt>
                  <c:pt idx="1">
                    <c:v>5</c:v>
                  </c:pt>
                  <c:pt idx="2">
                    <c:v>17</c:v>
                  </c:pt>
                  <c:pt idx="3">
                    <c:v>38</c:v>
                  </c:pt>
                  <c:pt idx="4">
                    <c:v>57</c:v>
                  </c:pt>
                  <c:pt idx="5">
                    <c:v>61</c:v>
                  </c:pt>
                  <c:pt idx="6">
                    <c:v>73</c:v>
                  </c:pt>
                  <c:pt idx="7">
                    <c:v>101</c:v>
                  </c:pt>
                  <c:pt idx="8">
                    <c:v>136</c:v>
                  </c:pt>
                </c:lvl>
                <c:lvl>
                  <c:pt idx="0">
                    <c:v>MW</c:v>
                  </c:pt>
                </c:lvl>
              </c:multiLvlStrCache>
            </c:multiLvlStrRef>
          </c:cat>
          <c:val>
            <c:numRef>
              <c:f>Milk_Serum!$K$29:$K$37</c:f>
              <c:numCache>
                <c:formatCode>General</c:formatCode>
                <c:ptCount val="9"/>
                <c:pt idx="0">
                  <c:v>0</c:v>
                </c:pt>
                <c:pt idx="1">
                  <c:v>0</c:v>
                </c:pt>
                <c:pt idx="2">
                  <c:v>2.5352306343035449E-2</c:v>
                </c:pt>
                <c:pt idx="3">
                  <c:v>1.4327136630106499E-2</c:v>
                </c:pt>
                <c:pt idx="4">
                  <c:v>1.5016642843568165E-2</c:v>
                </c:pt>
                <c:pt idx="5">
                  <c:v>1.3031957340441857E-2</c:v>
                </c:pt>
                <c:pt idx="6">
                  <c:v>2.0128917712224109E-2</c:v>
                </c:pt>
                <c:pt idx="7">
                  <c:v>0</c:v>
                </c:pt>
                <c:pt idx="8">
                  <c:v>0</c:v>
                </c:pt>
              </c:numCache>
            </c:numRef>
          </c:val>
          <c:smooth val="0"/>
          <c:extLst>
            <c:ext xmlns:c16="http://schemas.microsoft.com/office/drawing/2014/chart" uri="{C3380CC4-5D6E-409C-BE32-E72D297353CC}">
              <c16:uniqueId val="{00000008-EC16-48B4-9F5F-884DD816B3CE}"/>
            </c:ext>
          </c:extLst>
        </c:ser>
        <c:ser>
          <c:idx val="9"/>
          <c:order val="9"/>
          <c:tx>
            <c:strRef>
              <c:f>Milk_Serum!$L$1</c:f>
              <c:strCache>
                <c:ptCount val="1"/>
                <c:pt idx="0">
                  <c:v>n-PFTrDA </c:v>
                </c:pt>
              </c:strCache>
            </c:strRef>
          </c:tx>
          <c:spPr>
            <a:ln w="28575" cap="rnd">
              <a:solidFill>
                <a:schemeClr val="accent4">
                  <a:lumMod val="60000"/>
                </a:schemeClr>
              </a:solidFill>
              <a:round/>
            </a:ln>
            <a:effectLst/>
          </c:spPr>
          <c:marker>
            <c:symbol val="none"/>
          </c:marker>
          <c:cat>
            <c:multiLvlStrRef>
              <c:f>Milk_Serum!$A$29:$B$37</c:f>
              <c:multiLvlStrCache>
                <c:ptCount val="9"/>
                <c:lvl>
                  <c:pt idx="0">
                    <c:v>1</c:v>
                  </c:pt>
                  <c:pt idx="1">
                    <c:v>5</c:v>
                  </c:pt>
                  <c:pt idx="2">
                    <c:v>17</c:v>
                  </c:pt>
                  <c:pt idx="3">
                    <c:v>38</c:v>
                  </c:pt>
                  <c:pt idx="4">
                    <c:v>57</c:v>
                  </c:pt>
                  <c:pt idx="5">
                    <c:v>61</c:v>
                  </c:pt>
                  <c:pt idx="6">
                    <c:v>73</c:v>
                  </c:pt>
                  <c:pt idx="7">
                    <c:v>101</c:v>
                  </c:pt>
                  <c:pt idx="8">
                    <c:v>136</c:v>
                  </c:pt>
                </c:lvl>
                <c:lvl>
                  <c:pt idx="0">
                    <c:v>MW</c:v>
                  </c:pt>
                </c:lvl>
              </c:multiLvlStrCache>
            </c:multiLvlStrRef>
          </c:cat>
          <c:val>
            <c:numRef>
              <c:f>Milk_Serum!$L$29:$L$37</c:f>
              <c:numCache>
                <c:formatCode>General</c:formatCode>
                <c:ptCount val="9"/>
                <c:pt idx="0">
                  <c:v>0</c:v>
                </c:pt>
                <c:pt idx="1">
                  <c:v>0</c:v>
                </c:pt>
                <c:pt idx="2">
                  <c:v>7.8767249387845951E-3</c:v>
                </c:pt>
                <c:pt idx="3">
                  <c:v>7.2864444877765193E-3</c:v>
                </c:pt>
                <c:pt idx="4">
                  <c:v>7.4126772315448695E-3</c:v>
                </c:pt>
                <c:pt idx="5">
                  <c:v>8.8642253415528467E-3</c:v>
                </c:pt>
                <c:pt idx="6">
                  <c:v>0</c:v>
                </c:pt>
                <c:pt idx="7">
                  <c:v>0</c:v>
                </c:pt>
                <c:pt idx="8">
                  <c:v>0</c:v>
                </c:pt>
              </c:numCache>
            </c:numRef>
          </c:val>
          <c:smooth val="0"/>
          <c:extLst>
            <c:ext xmlns:c16="http://schemas.microsoft.com/office/drawing/2014/chart" uri="{C3380CC4-5D6E-409C-BE32-E72D297353CC}">
              <c16:uniqueId val="{00000025-EC16-48B4-9F5F-884DD816B3CE}"/>
            </c:ext>
          </c:extLst>
        </c:ser>
        <c:ser>
          <c:idx val="10"/>
          <c:order val="10"/>
          <c:tx>
            <c:strRef>
              <c:f>Milk_Serum!$M$1</c:f>
              <c:strCache>
                <c:ptCount val="1"/>
                <c:pt idx="0">
                  <c:v>n-PFTeDA </c:v>
                </c:pt>
              </c:strCache>
            </c:strRef>
          </c:tx>
          <c:spPr>
            <a:ln w="28575" cap="rnd">
              <a:solidFill>
                <a:schemeClr val="accent5">
                  <a:lumMod val="60000"/>
                </a:schemeClr>
              </a:solidFill>
              <a:round/>
            </a:ln>
            <a:effectLst/>
          </c:spPr>
          <c:marker>
            <c:symbol val="none"/>
          </c:marker>
          <c:cat>
            <c:multiLvlStrRef>
              <c:f>Milk_Serum!$A$29:$B$37</c:f>
              <c:multiLvlStrCache>
                <c:ptCount val="9"/>
                <c:lvl>
                  <c:pt idx="0">
                    <c:v>1</c:v>
                  </c:pt>
                  <c:pt idx="1">
                    <c:v>5</c:v>
                  </c:pt>
                  <c:pt idx="2">
                    <c:v>17</c:v>
                  </c:pt>
                  <c:pt idx="3">
                    <c:v>38</c:v>
                  </c:pt>
                  <c:pt idx="4">
                    <c:v>57</c:v>
                  </c:pt>
                  <c:pt idx="5">
                    <c:v>61</c:v>
                  </c:pt>
                  <c:pt idx="6">
                    <c:v>73</c:v>
                  </c:pt>
                  <c:pt idx="7">
                    <c:v>101</c:v>
                  </c:pt>
                  <c:pt idx="8">
                    <c:v>136</c:v>
                  </c:pt>
                </c:lvl>
                <c:lvl>
                  <c:pt idx="0">
                    <c:v>MW</c:v>
                  </c:pt>
                </c:lvl>
              </c:multiLvlStrCache>
            </c:multiLvlStrRef>
          </c:cat>
          <c:val>
            <c:numRef>
              <c:f>Milk_Serum!$M$29:$M$37</c:f>
              <c:numCache>
                <c:formatCode>General</c:formatCode>
                <c:ptCount val="9"/>
                <c:pt idx="0">
                  <c:v>0</c:v>
                </c:pt>
                <c:pt idx="1">
                  <c:v>0</c:v>
                </c:pt>
                <c:pt idx="2">
                  <c:v>0</c:v>
                </c:pt>
                <c:pt idx="3">
                  <c:v>0</c:v>
                </c:pt>
                <c:pt idx="4">
                  <c:v>0</c:v>
                </c:pt>
                <c:pt idx="5">
                  <c:v>0</c:v>
                </c:pt>
                <c:pt idx="6">
                  <c:v>0</c:v>
                </c:pt>
                <c:pt idx="7">
                  <c:v>0</c:v>
                </c:pt>
                <c:pt idx="8">
                  <c:v>0</c:v>
                </c:pt>
              </c:numCache>
            </c:numRef>
          </c:val>
          <c:smooth val="0"/>
          <c:extLst>
            <c:ext xmlns:c16="http://schemas.microsoft.com/office/drawing/2014/chart" uri="{C3380CC4-5D6E-409C-BE32-E72D297353CC}">
              <c16:uniqueId val="{00000026-EC16-48B4-9F5F-884DD816B3CE}"/>
            </c:ext>
          </c:extLst>
        </c:ser>
        <c:ser>
          <c:idx val="11"/>
          <c:order val="11"/>
          <c:tx>
            <c:strRef>
              <c:f>Milk_Serum!$N$1</c:f>
              <c:strCache>
                <c:ptCount val="1"/>
                <c:pt idx="0">
                  <c:v>n-PFBS </c:v>
                </c:pt>
              </c:strCache>
            </c:strRef>
          </c:tx>
          <c:spPr>
            <a:ln w="28575" cap="rnd">
              <a:solidFill>
                <a:schemeClr val="accent6">
                  <a:lumMod val="60000"/>
                </a:schemeClr>
              </a:solidFill>
              <a:round/>
            </a:ln>
            <a:effectLst/>
          </c:spPr>
          <c:marker>
            <c:symbol val="none"/>
          </c:marker>
          <c:cat>
            <c:multiLvlStrRef>
              <c:f>Milk_Serum!$A$29:$B$37</c:f>
              <c:multiLvlStrCache>
                <c:ptCount val="9"/>
                <c:lvl>
                  <c:pt idx="0">
                    <c:v>1</c:v>
                  </c:pt>
                  <c:pt idx="1">
                    <c:v>5</c:v>
                  </c:pt>
                  <c:pt idx="2">
                    <c:v>17</c:v>
                  </c:pt>
                  <c:pt idx="3">
                    <c:v>38</c:v>
                  </c:pt>
                  <c:pt idx="4">
                    <c:v>57</c:v>
                  </c:pt>
                  <c:pt idx="5">
                    <c:v>61</c:v>
                  </c:pt>
                  <c:pt idx="6">
                    <c:v>73</c:v>
                  </c:pt>
                  <c:pt idx="7">
                    <c:v>101</c:v>
                  </c:pt>
                  <c:pt idx="8">
                    <c:v>136</c:v>
                  </c:pt>
                </c:lvl>
                <c:lvl>
                  <c:pt idx="0">
                    <c:v>MW</c:v>
                  </c:pt>
                </c:lvl>
              </c:multiLvlStrCache>
            </c:multiLvlStrRef>
          </c:cat>
          <c:val>
            <c:numRef>
              <c:f>Milk_Serum!$N$29:$N$37</c:f>
              <c:numCache>
                <c:formatCode>General</c:formatCode>
                <c:ptCount val="9"/>
                <c:pt idx="0">
                  <c:v>0</c:v>
                </c:pt>
                <c:pt idx="1">
                  <c:v>0</c:v>
                </c:pt>
                <c:pt idx="2">
                  <c:v>0</c:v>
                </c:pt>
                <c:pt idx="3">
                  <c:v>0</c:v>
                </c:pt>
                <c:pt idx="4">
                  <c:v>0</c:v>
                </c:pt>
                <c:pt idx="5">
                  <c:v>0</c:v>
                </c:pt>
                <c:pt idx="6">
                  <c:v>0</c:v>
                </c:pt>
                <c:pt idx="7">
                  <c:v>0</c:v>
                </c:pt>
                <c:pt idx="8">
                  <c:v>0</c:v>
                </c:pt>
              </c:numCache>
            </c:numRef>
          </c:val>
          <c:smooth val="0"/>
          <c:extLst>
            <c:ext xmlns:c16="http://schemas.microsoft.com/office/drawing/2014/chart" uri="{C3380CC4-5D6E-409C-BE32-E72D297353CC}">
              <c16:uniqueId val="{00000027-EC16-48B4-9F5F-884DD816B3CE}"/>
            </c:ext>
          </c:extLst>
        </c:ser>
        <c:ser>
          <c:idx val="12"/>
          <c:order val="12"/>
          <c:tx>
            <c:strRef>
              <c:f>Milk_Serum!$O$1</c:f>
              <c:strCache>
                <c:ptCount val="1"/>
                <c:pt idx="0">
                  <c:v>n-PFPeS </c:v>
                </c:pt>
              </c:strCache>
            </c:strRef>
          </c:tx>
          <c:spPr>
            <a:ln w="28575" cap="rnd">
              <a:solidFill>
                <a:schemeClr val="accent1">
                  <a:lumMod val="80000"/>
                  <a:lumOff val="20000"/>
                </a:schemeClr>
              </a:solidFill>
              <a:round/>
            </a:ln>
            <a:effectLst/>
          </c:spPr>
          <c:marker>
            <c:symbol val="none"/>
          </c:marker>
          <c:cat>
            <c:multiLvlStrRef>
              <c:f>Milk_Serum!$A$29:$B$37</c:f>
              <c:multiLvlStrCache>
                <c:ptCount val="9"/>
                <c:lvl>
                  <c:pt idx="0">
                    <c:v>1</c:v>
                  </c:pt>
                  <c:pt idx="1">
                    <c:v>5</c:v>
                  </c:pt>
                  <c:pt idx="2">
                    <c:v>17</c:v>
                  </c:pt>
                  <c:pt idx="3">
                    <c:v>38</c:v>
                  </c:pt>
                  <c:pt idx="4">
                    <c:v>57</c:v>
                  </c:pt>
                  <c:pt idx="5">
                    <c:v>61</c:v>
                  </c:pt>
                  <c:pt idx="6">
                    <c:v>73</c:v>
                  </c:pt>
                  <c:pt idx="7">
                    <c:v>101</c:v>
                  </c:pt>
                  <c:pt idx="8">
                    <c:v>136</c:v>
                  </c:pt>
                </c:lvl>
                <c:lvl>
                  <c:pt idx="0">
                    <c:v>MW</c:v>
                  </c:pt>
                </c:lvl>
              </c:multiLvlStrCache>
            </c:multiLvlStrRef>
          </c:cat>
          <c:val>
            <c:numRef>
              <c:f>Milk_Serum!$O$29:$O$37</c:f>
              <c:numCache>
                <c:formatCode>General</c:formatCode>
                <c:ptCount val="9"/>
                <c:pt idx="0">
                  <c:v>0</c:v>
                </c:pt>
                <c:pt idx="1">
                  <c:v>0</c:v>
                </c:pt>
                <c:pt idx="2">
                  <c:v>0</c:v>
                </c:pt>
                <c:pt idx="3">
                  <c:v>0</c:v>
                </c:pt>
                <c:pt idx="4">
                  <c:v>0</c:v>
                </c:pt>
                <c:pt idx="5">
                  <c:v>0</c:v>
                </c:pt>
                <c:pt idx="6">
                  <c:v>0</c:v>
                </c:pt>
                <c:pt idx="7">
                  <c:v>0</c:v>
                </c:pt>
                <c:pt idx="8">
                  <c:v>0</c:v>
                </c:pt>
              </c:numCache>
            </c:numRef>
          </c:val>
          <c:smooth val="0"/>
          <c:extLst>
            <c:ext xmlns:c16="http://schemas.microsoft.com/office/drawing/2014/chart" uri="{C3380CC4-5D6E-409C-BE32-E72D297353CC}">
              <c16:uniqueId val="{00000028-EC16-48B4-9F5F-884DD816B3CE}"/>
            </c:ext>
          </c:extLst>
        </c:ser>
        <c:ser>
          <c:idx val="13"/>
          <c:order val="13"/>
          <c:tx>
            <c:strRef>
              <c:f>Milk_Serum!$P$1</c:f>
              <c:strCache>
                <c:ptCount val="1"/>
                <c:pt idx="0">
                  <c:v>n-PFHxS </c:v>
                </c:pt>
              </c:strCache>
            </c:strRef>
          </c:tx>
          <c:spPr>
            <a:ln w="28575" cap="rnd">
              <a:solidFill>
                <a:schemeClr val="accent2">
                  <a:lumMod val="80000"/>
                  <a:lumOff val="20000"/>
                </a:schemeClr>
              </a:solidFill>
              <a:round/>
            </a:ln>
            <a:effectLst/>
          </c:spPr>
          <c:marker>
            <c:symbol val="none"/>
          </c:marker>
          <c:cat>
            <c:multiLvlStrRef>
              <c:f>Milk_Serum!$A$29:$B$37</c:f>
              <c:multiLvlStrCache>
                <c:ptCount val="9"/>
                <c:lvl>
                  <c:pt idx="0">
                    <c:v>1</c:v>
                  </c:pt>
                  <c:pt idx="1">
                    <c:v>5</c:v>
                  </c:pt>
                  <c:pt idx="2">
                    <c:v>17</c:v>
                  </c:pt>
                  <c:pt idx="3">
                    <c:v>38</c:v>
                  </c:pt>
                  <c:pt idx="4">
                    <c:v>57</c:v>
                  </c:pt>
                  <c:pt idx="5">
                    <c:v>61</c:v>
                  </c:pt>
                  <c:pt idx="6">
                    <c:v>73</c:v>
                  </c:pt>
                  <c:pt idx="7">
                    <c:v>101</c:v>
                  </c:pt>
                  <c:pt idx="8">
                    <c:v>136</c:v>
                  </c:pt>
                </c:lvl>
                <c:lvl>
                  <c:pt idx="0">
                    <c:v>MW</c:v>
                  </c:pt>
                </c:lvl>
              </c:multiLvlStrCache>
            </c:multiLvlStrRef>
          </c:cat>
          <c:val>
            <c:numRef>
              <c:f>Milk_Serum!$P$29:$P$37</c:f>
              <c:numCache>
                <c:formatCode>General</c:formatCode>
                <c:ptCount val="9"/>
                <c:pt idx="0">
                  <c:v>0</c:v>
                </c:pt>
                <c:pt idx="1">
                  <c:v>0</c:v>
                </c:pt>
                <c:pt idx="2">
                  <c:v>5.5355466557344647E-3</c:v>
                </c:pt>
                <c:pt idx="3">
                  <c:v>4.2355945518571213E-3</c:v>
                </c:pt>
                <c:pt idx="4">
                  <c:v>3.8660477072577234E-3</c:v>
                </c:pt>
                <c:pt idx="5">
                  <c:v>3.0548223772607235E-3</c:v>
                </c:pt>
                <c:pt idx="6">
                  <c:v>0</c:v>
                </c:pt>
                <c:pt idx="7">
                  <c:v>0</c:v>
                </c:pt>
                <c:pt idx="8">
                  <c:v>0</c:v>
                </c:pt>
              </c:numCache>
            </c:numRef>
          </c:val>
          <c:smooth val="0"/>
          <c:extLst>
            <c:ext xmlns:c16="http://schemas.microsoft.com/office/drawing/2014/chart" uri="{C3380CC4-5D6E-409C-BE32-E72D297353CC}">
              <c16:uniqueId val="{00000029-EC16-48B4-9F5F-884DD816B3CE}"/>
            </c:ext>
          </c:extLst>
        </c:ser>
        <c:ser>
          <c:idx val="14"/>
          <c:order val="14"/>
          <c:tx>
            <c:strRef>
              <c:f>Milk_Serum!$Q$1</c:f>
              <c:strCache>
                <c:ptCount val="1"/>
                <c:pt idx="0">
                  <c:v>n-PFHpS </c:v>
                </c:pt>
              </c:strCache>
            </c:strRef>
          </c:tx>
          <c:spPr>
            <a:ln w="28575" cap="rnd">
              <a:solidFill>
                <a:schemeClr val="accent3">
                  <a:lumMod val="80000"/>
                  <a:lumOff val="20000"/>
                </a:schemeClr>
              </a:solidFill>
              <a:round/>
            </a:ln>
            <a:effectLst/>
          </c:spPr>
          <c:marker>
            <c:symbol val="none"/>
          </c:marker>
          <c:cat>
            <c:multiLvlStrRef>
              <c:f>Milk_Serum!$A$29:$B$37</c:f>
              <c:multiLvlStrCache>
                <c:ptCount val="9"/>
                <c:lvl>
                  <c:pt idx="0">
                    <c:v>1</c:v>
                  </c:pt>
                  <c:pt idx="1">
                    <c:v>5</c:v>
                  </c:pt>
                  <c:pt idx="2">
                    <c:v>17</c:v>
                  </c:pt>
                  <c:pt idx="3">
                    <c:v>38</c:v>
                  </c:pt>
                  <c:pt idx="4">
                    <c:v>57</c:v>
                  </c:pt>
                  <c:pt idx="5">
                    <c:v>61</c:v>
                  </c:pt>
                  <c:pt idx="6">
                    <c:v>73</c:v>
                  </c:pt>
                  <c:pt idx="7">
                    <c:v>101</c:v>
                  </c:pt>
                  <c:pt idx="8">
                    <c:v>136</c:v>
                  </c:pt>
                </c:lvl>
                <c:lvl>
                  <c:pt idx="0">
                    <c:v>MW</c:v>
                  </c:pt>
                </c:lvl>
              </c:multiLvlStrCache>
            </c:multiLvlStrRef>
          </c:cat>
          <c:val>
            <c:numRef>
              <c:f>Milk_Serum!$Q$29:$Q$37</c:f>
              <c:numCache>
                <c:formatCode>General</c:formatCode>
                <c:ptCount val="9"/>
                <c:pt idx="0">
                  <c:v>0</c:v>
                </c:pt>
                <c:pt idx="1">
                  <c:v>0</c:v>
                </c:pt>
                <c:pt idx="2">
                  <c:v>8.2886294819652529E-3</c:v>
                </c:pt>
                <c:pt idx="3">
                  <c:v>3.6034648233929842E-3</c:v>
                </c:pt>
                <c:pt idx="4">
                  <c:v>2.8379394301005362E-3</c:v>
                </c:pt>
                <c:pt idx="5">
                  <c:v>2.5257163956571658E-3</c:v>
                </c:pt>
                <c:pt idx="6">
                  <c:v>4.8108777159092883E-3</c:v>
                </c:pt>
                <c:pt idx="7">
                  <c:v>0</c:v>
                </c:pt>
                <c:pt idx="8">
                  <c:v>0</c:v>
                </c:pt>
              </c:numCache>
            </c:numRef>
          </c:val>
          <c:smooth val="0"/>
          <c:extLst>
            <c:ext xmlns:c16="http://schemas.microsoft.com/office/drawing/2014/chart" uri="{C3380CC4-5D6E-409C-BE32-E72D297353CC}">
              <c16:uniqueId val="{0000002A-EC16-48B4-9F5F-884DD816B3CE}"/>
            </c:ext>
          </c:extLst>
        </c:ser>
        <c:ser>
          <c:idx val="15"/>
          <c:order val="15"/>
          <c:tx>
            <c:strRef>
              <c:f>Milk_Serum!$R$1</c:f>
              <c:strCache>
                <c:ptCount val="1"/>
                <c:pt idx="0">
                  <c:v>n-PFOS </c:v>
                </c:pt>
              </c:strCache>
            </c:strRef>
          </c:tx>
          <c:spPr>
            <a:ln w="28575" cap="rnd">
              <a:solidFill>
                <a:schemeClr val="accent4">
                  <a:lumMod val="80000"/>
                  <a:lumOff val="20000"/>
                </a:schemeClr>
              </a:solidFill>
              <a:round/>
            </a:ln>
            <a:effectLst/>
          </c:spPr>
          <c:marker>
            <c:symbol val="none"/>
          </c:marker>
          <c:cat>
            <c:multiLvlStrRef>
              <c:f>Milk_Serum!$A$29:$B$37</c:f>
              <c:multiLvlStrCache>
                <c:ptCount val="9"/>
                <c:lvl>
                  <c:pt idx="0">
                    <c:v>1</c:v>
                  </c:pt>
                  <c:pt idx="1">
                    <c:v>5</c:v>
                  </c:pt>
                  <c:pt idx="2">
                    <c:v>17</c:v>
                  </c:pt>
                  <c:pt idx="3">
                    <c:v>38</c:v>
                  </c:pt>
                  <c:pt idx="4">
                    <c:v>57</c:v>
                  </c:pt>
                  <c:pt idx="5">
                    <c:v>61</c:v>
                  </c:pt>
                  <c:pt idx="6">
                    <c:v>73</c:v>
                  </c:pt>
                  <c:pt idx="7">
                    <c:v>101</c:v>
                  </c:pt>
                  <c:pt idx="8">
                    <c:v>136</c:v>
                  </c:pt>
                </c:lvl>
                <c:lvl>
                  <c:pt idx="0">
                    <c:v>MW</c:v>
                  </c:pt>
                </c:lvl>
              </c:multiLvlStrCache>
            </c:multiLvlStrRef>
          </c:cat>
          <c:val>
            <c:numRef>
              <c:f>Milk_Serum!$R$29:$R$37</c:f>
              <c:numCache>
                <c:formatCode>General</c:formatCode>
                <c:ptCount val="9"/>
                <c:pt idx="0">
                  <c:v>0</c:v>
                </c:pt>
                <c:pt idx="1">
                  <c:v>0.17681341165231337</c:v>
                </c:pt>
                <c:pt idx="2">
                  <c:v>8.096856958081558E-2</c:v>
                </c:pt>
                <c:pt idx="3">
                  <c:v>4.6192605456384962E-2</c:v>
                </c:pt>
                <c:pt idx="4">
                  <c:v>3.7605673566668836E-2</c:v>
                </c:pt>
                <c:pt idx="5">
                  <c:v>3.2764397602090774E-2</c:v>
                </c:pt>
                <c:pt idx="6">
                  <c:v>5.681693106697696E-2</c:v>
                </c:pt>
                <c:pt idx="7">
                  <c:v>7.1467000472196993E-2</c:v>
                </c:pt>
                <c:pt idx="8">
                  <c:v>3.7646497167587584E-2</c:v>
                </c:pt>
              </c:numCache>
            </c:numRef>
          </c:val>
          <c:smooth val="0"/>
          <c:extLst>
            <c:ext xmlns:c16="http://schemas.microsoft.com/office/drawing/2014/chart" uri="{C3380CC4-5D6E-409C-BE32-E72D297353CC}">
              <c16:uniqueId val="{0000002B-EC16-48B4-9F5F-884DD816B3CE}"/>
            </c:ext>
          </c:extLst>
        </c:ser>
        <c:ser>
          <c:idx val="16"/>
          <c:order val="16"/>
          <c:tx>
            <c:strRef>
              <c:f>Milk_Serum!$S$1</c:f>
              <c:strCache>
                <c:ptCount val="1"/>
                <c:pt idx="0">
                  <c:v>n-PFNS </c:v>
                </c:pt>
              </c:strCache>
            </c:strRef>
          </c:tx>
          <c:spPr>
            <a:ln w="28575" cap="rnd">
              <a:solidFill>
                <a:schemeClr val="accent5">
                  <a:lumMod val="80000"/>
                  <a:lumOff val="20000"/>
                </a:schemeClr>
              </a:solidFill>
              <a:round/>
            </a:ln>
            <a:effectLst/>
          </c:spPr>
          <c:marker>
            <c:symbol val="none"/>
          </c:marker>
          <c:cat>
            <c:multiLvlStrRef>
              <c:f>Milk_Serum!$A$29:$B$37</c:f>
              <c:multiLvlStrCache>
                <c:ptCount val="9"/>
                <c:lvl>
                  <c:pt idx="0">
                    <c:v>1</c:v>
                  </c:pt>
                  <c:pt idx="1">
                    <c:v>5</c:v>
                  </c:pt>
                  <c:pt idx="2">
                    <c:v>17</c:v>
                  </c:pt>
                  <c:pt idx="3">
                    <c:v>38</c:v>
                  </c:pt>
                  <c:pt idx="4">
                    <c:v>57</c:v>
                  </c:pt>
                  <c:pt idx="5">
                    <c:v>61</c:v>
                  </c:pt>
                  <c:pt idx="6">
                    <c:v>73</c:v>
                  </c:pt>
                  <c:pt idx="7">
                    <c:v>101</c:v>
                  </c:pt>
                  <c:pt idx="8">
                    <c:v>136</c:v>
                  </c:pt>
                </c:lvl>
                <c:lvl>
                  <c:pt idx="0">
                    <c:v>MW</c:v>
                  </c:pt>
                </c:lvl>
              </c:multiLvlStrCache>
            </c:multiLvlStrRef>
          </c:cat>
          <c:val>
            <c:numRef>
              <c:f>Milk_Serum!$S$29:$S$37</c:f>
              <c:numCache>
                <c:formatCode>General</c:formatCode>
                <c:ptCount val="9"/>
                <c:pt idx="0">
                  <c:v>0</c:v>
                </c:pt>
                <c:pt idx="1">
                  <c:v>0.27922644376723355</c:v>
                </c:pt>
                <c:pt idx="2">
                  <c:v>0.13208658935495834</c:v>
                </c:pt>
                <c:pt idx="3">
                  <c:v>7.9019675393491112E-2</c:v>
                </c:pt>
                <c:pt idx="4">
                  <c:v>6.4114850793125136E-2</c:v>
                </c:pt>
                <c:pt idx="5">
                  <c:v>5.3736661285003866E-2</c:v>
                </c:pt>
                <c:pt idx="6">
                  <c:v>0.10244693820564438</c:v>
                </c:pt>
                <c:pt idx="7">
                  <c:v>0.11420252169352207</c:v>
                </c:pt>
                <c:pt idx="8">
                  <c:v>4.8693236052834384E-2</c:v>
                </c:pt>
              </c:numCache>
            </c:numRef>
          </c:val>
          <c:smooth val="0"/>
          <c:extLst>
            <c:ext xmlns:c16="http://schemas.microsoft.com/office/drawing/2014/chart" uri="{C3380CC4-5D6E-409C-BE32-E72D297353CC}">
              <c16:uniqueId val="{0000002C-EC16-48B4-9F5F-884DD816B3CE}"/>
            </c:ext>
          </c:extLst>
        </c:ser>
        <c:ser>
          <c:idx val="17"/>
          <c:order val="17"/>
          <c:tx>
            <c:strRef>
              <c:f>Milk_Serum!$T$1</c:f>
              <c:strCache>
                <c:ptCount val="1"/>
                <c:pt idx="0">
                  <c:v>n-PFDS </c:v>
                </c:pt>
              </c:strCache>
            </c:strRef>
          </c:tx>
          <c:spPr>
            <a:ln w="28575" cap="rnd">
              <a:solidFill>
                <a:schemeClr val="accent6">
                  <a:lumMod val="80000"/>
                  <a:lumOff val="20000"/>
                </a:schemeClr>
              </a:solidFill>
              <a:round/>
            </a:ln>
            <a:effectLst/>
          </c:spPr>
          <c:marker>
            <c:symbol val="none"/>
          </c:marker>
          <c:cat>
            <c:multiLvlStrRef>
              <c:f>Milk_Serum!$A$29:$B$37</c:f>
              <c:multiLvlStrCache>
                <c:ptCount val="9"/>
                <c:lvl>
                  <c:pt idx="0">
                    <c:v>1</c:v>
                  </c:pt>
                  <c:pt idx="1">
                    <c:v>5</c:v>
                  </c:pt>
                  <c:pt idx="2">
                    <c:v>17</c:v>
                  </c:pt>
                  <c:pt idx="3">
                    <c:v>38</c:v>
                  </c:pt>
                  <c:pt idx="4">
                    <c:v>57</c:v>
                  </c:pt>
                  <c:pt idx="5">
                    <c:v>61</c:v>
                  </c:pt>
                  <c:pt idx="6">
                    <c:v>73</c:v>
                  </c:pt>
                  <c:pt idx="7">
                    <c:v>101</c:v>
                  </c:pt>
                  <c:pt idx="8">
                    <c:v>136</c:v>
                  </c:pt>
                </c:lvl>
                <c:lvl>
                  <c:pt idx="0">
                    <c:v>MW</c:v>
                  </c:pt>
                </c:lvl>
              </c:multiLvlStrCache>
            </c:multiLvlStrRef>
          </c:cat>
          <c:val>
            <c:numRef>
              <c:f>Milk_Serum!$T$29:$T$37</c:f>
              <c:numCache>
                <c:formatCode>General</c:formatCode>
                <c:ptCount val="9"/>
                <c:pt idx="0">
                  <c:v>0</c:v>
                </c:pt>
                <c:pt idx="1">
                  <c:v>0.20432633191974578</c:v>
                </c:pt>
                <c:pt idx="2">
                  <c:v>8.7494611221091034E-2</c:v>
                </c:pt>
                <c:pt idx="3">
                  <c:v>4.0820275476455448E-2</c:v>
                </c:pt>
                <c:pt idx="4">
                  <c:v>3.7435109393992853E-2</c:v>
                </c:pt>
                <c:pt idx="5">
                  <c:v>2.7858084957414053E-2</c:v>
                </c:pt>
                <c:pt idx="6">
                  <c:v>4.4631757270881291E-2</c:v>
                </c:pt>
                <c:pt idx="7">
                  <c:v>5.9159942444253232E-2</c:v>
                </c:pt>
                <c:pt idx="8">
                  <c:v>0</c:v>
                </c:pt>
              </c:numCache>
            </c:numRef>
          </c:val>
          <c:smooth val="0"/>
          <c:extLst>
            <c:ext xmlns:c16="http://schemas.microsoft.com/office/drawing/2014/chart" uri="{C3380CC4-5D6E-409C-BE32-E72D297353CC}">
              <c16:uniqueId val="{0000002D-EC16-48B4-9F5F-884DD816B3CE}"/>
            </c:ext>
          </c:extLst>
        </c:ser>
        <c:ser>
          <c:idx val="18"/>
          <c:order val="18"/>
          <c:tx>
            <c:strRef>
              <c:f>Milk_Serum!$U$1</c:f>
              <c:strCache>
                <c:ptCount val="1"/>
                <c:pt idx="0">
                  <c:v>n-PFUnDS </c:v>
                </c:pt>
              </c:strCache>
            </c:strRef>
          </c:tx>
          <c:spPr>
            <a:ln w="28575" cap="rnd">
              <a:solidFill>
                <a:schemeClr val="accent1">
                  <a:lumMod val="80000"/>
                </a:schemeClr>
              </a:solidFill>
              <a:round/>
            </a:ln>
            <a:effectLst/>
          </c:spPr>
          <c:marker>
            <c:symbol val="none"/>
          </c:marker>
          <c:cat>
            <c:multiLvlStrRef>
              <c:f>Milk_Serum!$A$29:$B$37</c:f>
              <c:multiLvlStrCache>
                <c:ptCount val="9"/>
                <c:lvl>
                  <c:pt idx="0">
                    <c:v>1</c:v>
                  </c:pt>
                  <c:pt idx="1">
                    <c:v>5</c:v>
                  </c:pt>
                  <c:pt idx="2">
                    <c:v>17</c:v>
                  </c:pt>
                  <c:pt idx="3">
                    <c:v>38</c:v>
                  </c:pt>
                  <c:pt idx="4">
                    <c:v>57</c:v>
                  </c:pt>
                  <c:pt idx="5">
                    <c:v>61</c:v>
                  </c:pt>
                  <c:pt idx="6">
                    <c:v>73</c:v>
                  </c:pt>
                  <c:pt idx="7">
                    <c:v>101</c:v>
                  </c:pt>
                  <c:pt idx="8">
                    <c:v>136</c:v>
                  </c:pt>
                </c:lvl>
                <c:lvl>
                  <c:pt idx="0">
                    <c:v>MW</c:v>
                  </c:pt>
                </c:lvl>
              </c:multiLvlStrCache>
            </c:multiLvlStrRef>
          </c:cat>
          <c:val>
            <c:numRef>
              <c:f>Milk_Serum!$U$29:$U$37</c:f>
              <c:numCache>
                <c:formatCode>General</c:formatCode>
                <c:ptCount val="9"/>
                <c:pt idx="0">
                  <c:v>0</c:v>
                </c:pt>
                <c:pt idx="1">
                  <c:v>0</c:v>
                </c:pt>
                <c:pt idx="2">
                  <c:v>0.17396046456941519</c:v>
                </c:pt>
                <c:pt idx="3">
                  <c:v>0.12444420640726354</c:v>
                </c:pt>
                <c:pt idx="4">
                  <c:v>0.1325915657136558</c:v>
                </c:pt>
                <c:pt idx="5">
                  <c:v>0.10778149388142681</c:v>
                </c:pt>
                <c:pt idx="6">
                  <c:v>0</c:v>
                </c:pt>
                <c:pt idx="7">
                  <c:v>0</c:v>
                </c:pt>
                <c:pt idx="8">
                  <c:v>0</c:v>
                </c:pt>
              </c:numCache>
            </c:numRef>
          </c:val>
          <c:smooth val="0"/>
          <c:extLst>
            <c:ext xmlns:c16="http://schemas.microsoft.com/office/drawing/2014/chart" uri="{C3380CC4-5D6E-409C-BE32-E72D297353CC}">
              <c16:uniqueId val="{0000002E-EC16-48B4-9F5F-884DD816B3CE}"/>
            </c:ext>
          </c:extLst>
        </c:ser>
        <c:ser>
          <c:idx val="19"/>
          <c:order val="19"/>
          <c:tx>
            <c:strRef>
              <c:f>Milk_Serum!$V$1</c:f>
              <c:strCache>
                <c:ptCount val="1"/>
                <c:pt idx="0">
                  <c:v>n-PFDoDS </c:v>
                </c:pt>
              </c:strCache>
            </c:strRef>
          </c:tx>
          <c:spPr>
            <a:ln w="28575" cap="rnd">
              <a:solidFill>
                <a:schemeClr val="accent2">
                  <a:lumMod val="80000"/>
                </a:schemeClr>
              </a:solidFill>
              <a:round/>
            </a:ln>
            <a:effectLst/>
          </c:spPr>
          <c:marker>
            <c:symbol val="none"/>
          </c:marker>
          <c:cat>
            <c:multiLvlStrRef>
              <c:f>Milk_Serum!$A$29:$B$37</c:f>
              <c:multiLvlStrCache>
                <c:ptCount val="9"/>
                <c:lvl>
                  <c:pt idx="0">
                    <c:v>1</c:v>
                  </c:pt>
                  <c:pt idx="1">
                    <c:v>5</c:v>
                  </c:pt>
                  <c:pt idx="2">
                    <c:v>17</c:v>
                  </c:pt>
                  <c:pt idx="3">
                    <c:v>38</c:v>
                  </c:pt>
                  <c:pt idx="4">
                    <c:v>57</c:v>
                  </c:pt>
                  <c:pt idx="5">
                    <c:v>61</c:v>
                  </c:pt>
                  <c:pt idx="6">
                    <c:v>73</c:v>
                  </c:pt>
                  <c:pt idx="7">
                    <c:v>101</c:v>
                  </c:pt>
                  <c:pt idx="8">
                    <c:v>136</c:v>
                  </c:pt>
                </c:lvl>
                <c:lvl>
                  <c:pt idx="0">
                    <c:v>MW</c:v>
                  </c:pt>
                </c:lvl>
              </c:multiLvlStrCache>
            </c:multiLvlStrRef>
          </c:cat>
          <c:val>
            <c:numRef>
              <c:f>Milk_Serum!$V$29:$V$37</c:f>
              <c:numCache>
                <c:formatCode>General</c:formatCode>
                <c:ptCount val="9"/>
                <c:pt idx="0">
                  <c:v>0</c:v>
                </c:pt>
                <c:pt idx="1">
                  <c:v>0</c:v>
                </c:pt>
                <c:pt idx="2">
                  <c:v>0.15832113425291436</c:v>
                </c:pt>
                <c:pt idx="3">
                  <c:v>0.12187796436991775</c:v>
                </c:pt>
                <c:pt idx="4">
                  <c:v>0.13264869033977908</c:v>
                </c:pt>
                <c:pt idx="5">
                  <c:v>0.11527790026957319</c:v>
                </c:pt>
                <c:pt idx="6">
                  <c:v>0</c:v>
                </c:pt>
                <c:pt idx="7">
                  <c:v>0</c:v>
                </c:pt>
                <c:pt idx="8">
                  <c:v>0</c:v>
                </c:pt>
              </c:numCache>
            </c:numRef>
          </c:val>
          <c:smooth val="0"/>
          <c:extLst>
            <c:ext xmlns:c16="http://schemas.microsoft.com/office/drawing/2014/chart" uri="{C3380CC4-5D6E-409C-BE32-E72D297353CC}">
              <c16:uniqueId val="{0000002F-EC16-48B4-9F5F-884DD816B3CE}"/>
            </c:ext>
          </c:extLst>
        </c:ser>
        <c:ser>
          <c:idx val="20"/>
          <c:order val="20"/>
          <c:tx>
            <c:strRef>
              <c:f>Milk_Serum!$W$1</c:f>
              <c:strCache>
                <c:ptCount val="1"/>
                <c:pt idx="0">
                  <c:v>n-PFTrDS </c:v>
                </c:pt>
              </c:strCache>
            </c:strRef>
          </c:tx>
          <c:spPr>
            <a:ln w="28575" cap="rnd">
              <a:solidFill>
                <a:schemeClr val="accent3">
                  <a:lumMod val="80000"/>
                </a:schemeClr>
              </a:solidFill>
              <a:round/>
            </a:ln>
            <a:effectLst/>
          </c:spPr>
          <c:marker>
            <c:symbol val="none"/>
          </c:marker>
          <c:cat>
            <c:multiLvlStrRef>
              <c:f>Milk_Serum!$A$29:$B$37</c:f>
              <c:multiLvlStrCache>
                <c:ptCount val="9"/>
                <c:lvl>
                  <c:pt idx="0">
                    <c:v>1</c:v>
                  </c:pt>
                  <c:pt idx="1">
                    <c:v>5</c:v>
                  </c:pt>
                  <c:pt idx="2">
                    <c:v>17</c:v>
                  </c:pt>
                  <c:pt idx="3">
                    <c:v>38</c:v>
                  </c:pt>
                  <c:pt idx="4">
                    <c:v>57</c:v>
                  </c:pt>
                  <c:pt idx="5">
                    <c:v>61</c:v>
                  </c:pt>
                  <c:pt idx="6">
                    <c:v>73</c:v>
                  </c:pt>
                  <c:pt idx="7">
                    <c:v>101</c:v>
                  </c:pt>
                  <c:pt idx="8">
                    <c:v>136</c:v>
                  </c:pt>
                </c:lvl>
                <c:lvl>
                  <c:pt idx="0">
                    <c:v>MW</c:v>
                  </c:pt>
                </c:lvl>
              </c:multiLvlStrCache>
            </c:multiLvlStrRef>
          </c:cat>
          <c:val>
            <c:numRef>
              <c:f>Milk_Serum!$W$29:$W$37</c:f>
              <c:numCache>
                <c:formatCode>General</c:formatCode>
                <c:ptCount val="9"/>
                <c:pt idx="0">
                  <c:v>0</c:v>
                </c:pt>
                <c:pt idx="1">
                  <c:v>0</c:v>
                </c:pt>
                <c:pt idx="2">
                  <c:v>0</c:v>
                </c:pt>
                <c:pt idx="3">
                  <c:v>0</c:v>
                </c:pt>
                <c:pt idx="4">
                  <c:v>0</c:v>
                </c:pt>
                <c:pt idx="5">
                  <c:v>0</c:v>
                </c:pt>
                <c:pt idx="6">
                  <c:v>0</c:v>
                </c:pt>
                <c:pt idx="7">
                  <c:v>0</c:v>
                </c:pt>
                <c:pt idx="8">
                  <c:v>0</c:v>
                </c:pt>
              </c:numCache>
            </c:numRef>
          </c:val>
          <c:smooth val="0"/>
          <c:extLst>
            <c:ext xmlns:c16="http://schemas.microsoft.com/office/drawing/2014/chart" uri="{C3380CC4-5D6E-409C-BE32-E72D297353CC}">
              <c16:uniqueId val="{00000030-EC16-48B4-9F5F-884DD816B3CE}"/>
            </c:ext>
          </c:extLst>
        </c:ser>
        <c:ser>
          <c:idx val="21"/>
          <c:order val="21"/>
          <c:tx>
            <c:strRef>
              <c:f>Milk_Serum!$X$1</c:f>
              <c:strCache>
                <c:ptCount val="1"/>
                <c:pt idx="0">
                  <c:v>br-PFHxA </c:v>
                </c:pt>
              </c:strCache>
            </c:strRef>
          </c:tx>
          <c:spPr>
            <a:ln w="28575" cap="rnd">
              <a:solidFill>
                <a:schemeClr val="accent4">
                  <a:lumMod val="80000"/>
                </a:schemeClr>
              </a:solidFill>
              <a:round/>
            </a:ln>
            <a:effectLst/>
          </c:spPr>
          <c:marker>
            <c:symbol val="none"/>
          </c:marker>
          <c:cat>
            <c:multiLvlStrRef>
              <c:f>Milk_Serum!$A$29:$B$37</c:f>
              <c:multiLvlStrCache>
                <c:ptCount val="9"/>
                <c:lvl>
                  <c:pt idx="0">
                    <c:v>1</c:v>
                  </c:pt>
                  <c:pt idx="1">
                    <c:v>5</c:v>
                  </c:pt>
                  <c:pt idx="2">
                    <c:v>17</c:v>
                  </c:pt>
                  <c:pt idx="3">
                    <c:v>38</c:v>
                  </c:pt>
                  <c:pt idx="4">
                    <c:v>57</c:v>
                  </c:pt>
                  <c:pt idx="5">
                    <c:v>61</c:v>
                  </c:pt>
                  <c:pt idx="6">
                    <c:v>73</c:v>
                  </c:pt>
                  <c:pt idx="7">
                    <c:v>101</c:v>
                  </c:pt>
                  <c:pt idx="8">
                    <c:v>136</c:v>
                  </c:pt>
                </c:lvl>
                <c:lvl>
                  <c:pt idx="0">
                    <c:v>MW</c:v>
                  </c:pt>
                </c:lvl>
              </c:multiLvlStrCache>
            </c:multiLvlStrRef>
          </c:cat>
          <c:val>
            <c:numRef>
              <c:f>Milk_Serum!$X$29:$X$37</c:f>
              <c:numCache>
                <c:formatCode>General</c:formatCode>
                <c:ptCount val="9"/>
                <c:pt idx="0">
                  <c:v>0</c:v>
                </c:pt>
                <c:pt idx="1">
                  <c:v>0</c:v>
                </c:pt>
                <c:pt idx="2">
                  <c:v>0</c:v>
                </c:pt>
                <c:pt idx="3">
                  <c:v>0</c:v>
                </c:pt>
                <c:pt idx="4">
                  <c:v>0</c:v>
                </c:pt>
                <c:pt idx="5">
                  <c:v>0</c:v>
                </c:pt>
                <c:pt idx="6">
                  <c:v>0</c:v>
                </c:pt>
                <c:pt idx="7">
                  <c:v>0</c:v>
                </c:pt>
                <c:pt idx="8">
                  <c:v>0</c:v>
                </c:pt>
              </c:numCache>
            </c:numRef>
          </c:val>
          <c:smooth val="0"/>
          <c:extLst>
            <c:ext xmlns:c16="http://schemas.microsoft.com/office/drawing/2014/chart" uri="{C3380CC4-5D6E-409C-BE32-E72D297353CC}">
              <c16:uniqueId val="{00000031-EC16-48B4-9F5F-884DD816B3CE}"/>
            </c:ext>
          </c:extLst>
        </c:ser>
        <c:ser>
          <c:idx val="22"/>
          <c:order val="22"/>
          <c:tx>
            <c:strRef>
              <c:f>Milk_Serum!$Y$1</c:f>
              <c:strCache>
                <c:ptCount val="1"/>
                <c:pt idx="0">
                  <c:v>br-PFHpA </c:v>
                </c:pt>
              </c:strCache>
            </c:strRef>
          </c:tx>
          <c:spPr>
            <a:ln w="28575" cap="rnd">
              <a:solidFill>
                <a:schemeClr val="accent5">
                  <a:lumMod val="80000"/>
                </a:schemeClr>
              </a:solidFill>
              <a:round/>
            </a:ln>
            <a:effectLst/>
          </c:spPr>
          <c:marker>
            <c:symbol val="none"/>
          </c:marker>
          <c:cat>
            <c:multiLvlStrRef>
              <c:f>Milk_Serum!$A$29:$B$37</c:f>
              <c:multiLvlStrCache>
                <c:ptCount val="9"/>
                <c:lvl>
                  <c:pt idx="0">
                    <c:v>1</c:v>
                  </c:pt>
                  <c:pt idx="1">
                    <c:v>5</c:v>
                  </c:pt>
                  <c:pt idx="2">
                    <c:v>17</c:v>
                  </c:pt>
                  <c:pt idx="3">
                    <c:v>38</c:v>
                  </c:pt>
                  <c:pt idx="4">
                    <c:v>57</c:v>
                  </c:pt>
                  <c:pt idx="5">
                    <c:v>61</c:v>
                  </c:pt>
                  <c:pt idx="6">
                    <c:v>73</c:v>
                  </c:pt>
                  <c:pt idx="7">
                    <c:v>101</c:v>
                  </c:pt>
                  <c:pt idx="8">
                    <c:v>136</c:v>
                  </c:pt>
                </c:lvl>
                <c:lvl>
                  <c:pt idx="0">
                    <c:v>MW</c:v>
                  </c:pt>
                </c:lvl>
              </c:multiLvlStrCache>
            </c:multiLvlStrRef>
          </c:cat>
          <c:val>
            <c:numRef>
              <c:f>Milk_Serum!$Y$29:$Y$37</c:f>
              <c:numCache>
                <c:formatCode>General</c:formatCode>
                <c:ptCount val="9"/>
                <c:pt idx="0">
                  <c:v>0</c:v>
                </c:pt>
                <c:pt idx="1">
                  <c:v>0</c:v>
                </c:pt>
                <c:pt idx="2">
                  <c:v>0</c:v>
                </c:pt>
                <c:pt idx="3">
                  <c:v>0</c:v>
                </c:pt>
                <c:pt idx="4">
                  <c:v>0</c:v>
                </c:pt>
                <c:pt idx="5">
                  <c:v>0</c:v>
                </c:pt>
                <c:pt idx="6">
                  <c:v>0</c:v>
                </c:pt>
                <c:pt idx="7">
                  <c:v>0</c:v>
                </c:pt>
                <c:pt idx="8">
                  <c:v>0</c:v>
                </c:pt>
              </c:numCache>
            </c:numRef>
          </c:val>
          <c:smooth val="0"/>
          <c:extLst>
            <c:ext xmlns:c16="http://schemas.microsoft.com/office/drawing/2014/chart" uri="{C3380CC4-5D6E-409C-BE32-E72D297353CC}">
              <c16:uniqueId val="{00000032-EC16-48B4-9F5F-884DD816B3CE}"/>
            </c:ext>
          </c:extLst>
        </c:ser>
        <c:ser>
          <c:idx val="23"/>
          <c:order val="23"/>
          <c:tx>
            <c:strRef>
              <c:f>Milk_Serum!$Z$1</c:f>
              <c:strCache>
                <c:ptCount val="1"/>
                <c:pt idx="0">
                  <c:v>br-PFOA </c:v>
                </c:pt>
              </c:strCache>
            </c:strRef>
          </c:tx>
          <c:spPr>
            <a:ln w="28575" cap="rnd">
              <a:solidFill>
                <a:schemeClr val="accent6">
                  <a:lumMod val="80000"/>
                </a:schemeClr>
              </a:solidFill>
              <a:round/>
            </a:ln>
            <a:effectLst/>
          </c:spPr>
          <c:marker>
            <c:symbol val="none"/>
          </c:marker>
          <c:cat>
            <c:multiLvlStrRef>
              <c:f>Milk_Serum!$A$29:$B$37</c:f>
              <c:multiLvlStrCache>
                <c:ptCount val="9"/>
                <c:lvl>
                  <c:pt idx="0">
                    <c:v>1</c:v>
                  </c:pt>
                  <c:pt idx="1">
                    <c:v>5</c:v>
                  </c:pt>
                  <c:pt idx="2">
                    <c:v>17</c:v>
                  </c:pt>
                  <c:pt idx="3">
                    <c:v>38</c:v>
                  </c:pt>
                  <c:pt idx="4">
                    <c:v>57</c:v>
                  </c:pt>
                  <c:pt idx="5">
                    <c:v>61</c:v>
                  </c:pt>
                  <c:pt idx="6">
                    <c:v>73</c:v>
                  </c:pt>
                  <c:pt idx="7">
                    <c:v>101</c:v>
                  </c:pt>
                  <c:pt idx="8">
                    <c:v>136</c:v>
                  </c:pt>
                </c:lvl>
                <c:lvl>
                  <c:pt idx="0">
                    <c:v>MW</c:v>
                  </c:pt>
                </c:lvl>
              </c:multiLvlStrCache>
            </c:multiLvlStrRef>
          </c:cat>
          <c:val>
            <c:numRef>
              <c:f>Milk_Serum!$Z$29:$Z$37</c:f>
              <c:numCache>
                <c:formatCode>General</c:formatCode>
                <c:ptCount val="9"/>
                <c:pt idx="0">
                  <c:v>0</c:v>
                </c:pt>
                <c:pt idx="1">
                  <c:v>0</c:v>
                </c:pt>
                <c:pt idx="2">
                  <c:v>2.7932462305645708E-2</c:v>
                </c:pt>
                <c:pt idx="3">
                  <c:v>0</c:v>
                </c:pt>
                <c:pt idx="4">
                  <c:v>0</c:v>
                </c:pt>
                <c:pt idx="5">
                  <c:v>0</c:v>
                </c:pt>
                <c:pt idx="6">
                  <c:v>0</c:v>
                </c:pt>
                <c:pt idx="7">
                  <c:v>0</c:v>
                </c:pt>
                <c:pt idx="8">
                  <c:v>0</c:v>
                </c:pt>
              </c:numCache>
            </c:numRef>
          </c:val>
          <c:smooth val="0"/>
          <c:extLst>
            <c:ext xmlns:c16="http://schemas.microsoft.com/office/drawing/2014/chart" uri="{C3380CC4-5D6E-409C-BE32-E72D297353CC}">
              <c16:uniqueId val="{00000033-EC16-48B4-9F5F-884DD816B3CE}"/>
            </c:ext>
          </c:extLst>
        </c:ser>
        <c:ser>
          <c:idx val="24"/>
          <c:order val="24"/>
          <c:tx>
            <c:strRef>
              <c:f>Milk_Serum!$AA$1</c:f>
              <c:strCache>
                <c:ptCount val="1"/>
                <c:pt idx="0">
                  <c:v>br-PFNA </c:v>
                </c:pt>
              </c:strCache>
            </c:strRef>
          </c:tx>
          <c:spPr>
            <a:ln w="28575" cap="rnd">
              <a:solidFill>
                <a:schemeClr val="accent1">
                  <a:lumMod val="60000"/>
                  <a:lumOff val="40000"/>
                </a:schemeClr>
              </a:solidFill>
              <a:round/>
            </a:ln>
            <a:effectLst/>
          </c:spPr>
          <c:marker>
            <c:symbol val="none"/>
          </c:marker>
          <c:cat>
            <c:multiLvlStrRef>
              <c:f>Milk_Serum!$A$29:$B$37</c:f>
              <c:multiLvlStrCache>
                <c:ptCount val="9"/>
                <c:lvl>
                  <c:pt idx="0">
                    <c:v>1</c:v>
                  </c:pt>
                  <c:pt idx="1">
                    <c:v>5</c:v>
                  </c:pt>
                  <c:pt idx="2">
                    <c:v>17</c:v>
                  </c:pt>
                  <c:pt idx="3">
                    <c:v>38</c:v>
                  </c:pt>
                  <c:pt idx="4">
                    <c:v>57</c:v>
                  </c:pt>
                  <c:pt idx="5">
                    <c:v>61</c:v>
                  </c:pt>
                  <c:pt idx="6">
                    <c:v>73</c:v>
                  </c:pt>
                  <c:pt idx="7">
                    <c:v>101</c:v>
                  </c:pt>
                  <c:pt idx="8">
                    <c:v>136</c:v>
                  </c:pt>
                </c:lvl>
                <c:lvl>
                  <c:pt idx="0">
                    <c:v>MW</c:v>
                  </c:pt>
                </c:lvl>
              </c:multiLvlStrCache>
            </c:multiLvlStrRef>
          </c:cat>
          <c:val>
            <c:numRef>
              <c:f>Milk_Serum!$AA$29:$AA$37</c:f>
              <c:numCache>
                <c:formatCode>General</c:formatCode>
                <c:ptCount val="9"/>
                <c:pt idx="0">
                  <c:v>0</c:v>
                </c:pt>
                <c:pt idx="1">
                  <c:v>0</c:v>
                </c:pt>
                <c:pt idx="2">
                  <c:v>0</c:v>
                </c:pt>
                <c:pt idx="3">
                  <c:v>0</c:v>
                </c:pt>
                <c:pt idx="4">
                  <c:v>0</c:v>
                </c:pt>
                <c:pt idx="5">
                  <c:v>0</c:v>
                </c:pt>
                <c:pt idx="6">
                  <c:v>0</c:v>
                </c:pt>
                <c:pt idx="7">
                  <c:v>0</c:v>
                </c:pt>
                <c:pt idx="8">
                  <c:v>0</c:v>
                </c:pt>
              </c:numCache>
            </c:numRef>
          </c:val>
          <c:smooth val="0"/>
          <c:extLst>
            <c:ext xmlns:c16="http://schemas.microsoft.com/office/drawing/2014/chart" uri="{C3380CC4-5D6E-409C-BE32-E72D297353CC}">
              <c16:uniqueId val="{00000034-EC16-48B4-9F5F-884DD816B3CE}"/>
            </c:ext>
          </c:extLst>
        </c:ser>
        <c:ser>
          <c:idx val="25"/>
          <c:order val="25"/>
          <c:tx>
            <c:strRef>
              <c:f>Milk_Serum!$AB$1</c:f>
              <c:strCache>
                <c:ptCount val="1"/>
                <c:pt idx="0">
                  <c:v>br-PFDA </c:v>
                </c:pt>
              </c:strCache>
            </c:strRef>
          </c:tx>
          <c:spPr>
            <a:ln w="28575" cap="rnd">
              <a:solidFill>
                <a:schemeClr val="accent2">
                  <a:lumMod val="60000"/>
                  <a:lumOff val="40000"/>
                </a:schemeClr>
              </a:solidFill>
              <a:round/>
            </a:ln>
            <a:effectLst/>
          </c:spPr>
          <c:marker>
            <c:symbol val="none"/>
          </c:marker>
          <c:cat>
            <c:multiLvlStrRef>
              <c:f>Milk_Serum!$A$29:$B$37</c:f>
              <c:multiLvlStrCache>
                <c:ptCount val="9"/>
                <c:lvl>
                  <c:pt idx="0">
                    <c:v>1</c:v>
                  </c:pt>
                  <c:pt idx="1">
                    <c:v>5</c:v>
                  </c:pt>
                  <c:pt idx="2">
                    <c:v>17</c:v>
                  </c:pt>
                  <c:pt idx="3">
                    <c:v>38</c:v>
                  </c:pt>
                  <c:pt idx="4">
                    <c:v>57</c:v>
                  </c:pt>
                  <c:pt idx="5">
                    <c:v>61</c:v>
                  </c:pt>
                  <c:pt idx="6">
                    <c:v>73</c:v>
                  </c:pt>
                  <c:pt idx="7">
                    <c:v>101</c:v>
                  </c:pt>
                  <c:pt idx="8">
                    <c:v>136</c:v>
                  </c:pt>
                </c:lvl>
                <c:lvl>
                  <c:pt idx="0">
                    <c:v>MW</c:v>
                  </c:pt>
                </c:lvl>
              </c:multiLvlStrCache>
            </c:multiLvlStrRef>
          </c:cat>
          <c:val>
            <c:numRef>
              <c:f>Milk_Serum!$AB$29:$AB$37</c:f>
              <c:numCache>
                <c:formatCode>General</c:formatCode>
                <c:ptCount val="9"/>
                <c:pt idx="0">
                  <c:v>0</c:v>
                </c:pt>
                <c:pt idx="1">
                  <c:v>0</c:v>
                </c:pt>
                <c:pt idx="2">
                  <c:v>0</c:v>
                </c:pt>
                <c:pt idx="3">
                  <c:v>0</c:v>
                </c:pt>
                <c:pt idx="4">
                  <c:v>0</c:v>
                </c:pt>
                <c:pt idx="5">
                  <c:v>0</c:v>
                </c:pt>
                <c:pt idx="6">
                  <c:v>0</c:v>
                </c:pt>
                <c:pt idx="7">
                  <c:v>0</c:v>
                </c:pt>
                <c:pt idx="8">
                  <c:v>0</c:v>
                </c:pt>
              </c:numCache>
            </c:numRef>
          </c:val>
          <c:smooth val="0"/>
          <c:extLst>
            <c:ext xmlns:c16="http://schemas.microsoft.com/office/drawing/2014/chart" uri="{C3380CC4-5D6E-409C-BE32-E72D297353CC}">
              <c16:uniqueId val="{00000035-EC16-48B4-9F5F-884DD816B3CE}"/>
            </c:ext>
          </c:extLst>
        </c:ser>
        <c:ser>
          <c:idx val="26"/>
          <c:order val="26"/>
          <c:tx>
            <c:strRef>
              <c:f>Milk_Serum!$AC$1</c:f>
              <c:strCache>
                <c:ptCount val="1"/>
                <c:pt idx="0">
                  <c:v>br-PFUnDA </c:v>
                </c:pt>
              </c:strCache>
            </c:strRef>
          </c:tx>
          <c:spPr>
            <a:ln w="28575" cap="rnd">
              <a:solidFill>
                <a:schemeClr val="accent3">
                  <a:lumMod val="60000"/>
                  <a:lumOff val="40000"/>
                </a:schemeClr>
              </a:solidFill>
              <a:round/>
            </a:ln>
            <a:effectLst/>
          </c:spPr>
          <c:marker>
            <c:symbol val="none"/>
          </c:marker>
          <c:cat>
            <c:multiLvlStrRef>
              <c:f>Milk_Serum!$A$29:$B$37</c:f>
              <c:multiLvlStrCache>
                <c:ptCount val="9"/>
                <c:lvl>
                  <c:pt idx="0">
                    <c:v>1</c:v>
                  </c:pt>
                  <c:pt idx="1">
                    <c:v>5</c:v>
                  </c:pt>
                  <c:pt idx="2">
                    <c:v>17</c:v>
                  </c:pt>
                  <c:pt idx="3">
                    <c:v>38</c:v>
                  </c:pt>
                  <c:pt idx="4">
                    <c:v>57</c:v>
                  </c:pt>
                  <c:pt idx="5">
                    <c:v>61</c:v>
                  </c:pt>
                  <c:pt idx="6">
                    <c:v>73</c:v>
                  </c:pt>
                  <c:pt idx="7">
                    <c:v>101</c:v>
                  </c:pt>
                  <c:pt idx="8">
                    <c:v>136</c:v>
                  </c:pt>
                </c:lvl>
                <c:lvl>
                  <c:pt idx="0">
                    <c:v>MW</c:v>
                  </c:pt>
                </c:lvl>
              </c:multiLvlStrCache>
            </c:multiLvlStrRef>
          </c:cat>
          <c:val>
            <c:numRef>
              <c:f>Milk_Serum!$AC$29:$AC$37</c:f>
              <c:numCache>
                <c:formatCode>General</c:formatCode>
                <c:ptCount val="9"/>
                <c:pt idx="0">
                  <c:v>0</c:v>
                </c:pt>
                <c:pt idx="1">
                  <c:v>0</c:v>
                </c:pt>
                <c:pt idx="2">
                  <c:v>0</c:v>
                </c:pt>
                <c:pt idx="3">
                  <c:v>0</c:v>
                </c:pt>
                <c:pt idx="4">
                  <c:v>0</c:v>
                </c:pt>
                <c:pt idx="5">
                  <c:v>0</c:v>
                </c:pt>
                <c:pt idx="6">
                  <c:v>0</c:v>
                </c:pt>
                <c:pt idx="7">
                  <c:v>0</c:v>
                </c:pt>
                <c:pt idx="8">
                  <c:v>0</c:v>
                </c:pt>
              </c:numCache>
            </c:numRef>
          </c:val>
          <c:smooth val="0"/>
          <c:extLst>
            <c:ext xmlns:c16="http://schemas.microsoft.com/office/drawing/2014/chart" uri="{C3380CC4-5D6E-409C-BE32-E72D297353CC}">
              <c16:uniqueId val="{00000036-EC16-48B4-9F5F-884DD816B3CE}"/>
            </c:ext>
          </c:extLst>
        </c:ser>
        <c:ser>
          <c:idx val="27"/>
          <c:order val="27"/>
          <c:tx>
            <c:strRef>
              <c:f>Milk_Serum!$AD$1</c:f>
              <c:strCache>
                <c:ptCount val="1"/>
                <c:pt idx="0">
                  <c:v>br-PFDoDA </c:v>
                </c:pt>
              </c:strCache>
            </c:strRef>
          </c:tx>
          <c:spPr>
            <a:ln w="28575" cap="rnd">
              <a:solidFill>
                <a:schemeClr val="accent4">
                  <a:lumMod val="60000"/>
                  <a:lumOff val="40000"/>
                </a:schemeClr>
              </a:solidFill>
              <a:round/>
            </a:ln>
            <a:effectLst/>
          </c:spPr>
          <c:marker>
            <c:symbol val="none"/>
          </c:marker>
          <c:cat>
            <c:multiLvlStrRef>
              <c:f>Milk_Serum!$A$29:$B$37</c:f>
              <c:multiLvlStrCache>
                <c:ptCount val="9"/>
                <c:lvl>
                  <c:pt idx="0">
                    <c:v>1</c:v>
                  </c:pt>
                  <c:pt idx="1">
                    <c:v>5</c:v>
                  </c:pt>
                  <c:pt idx="2">
                    <c:v>17</c:v>
                  </c:pt>
                  <c:pt idx="3">
                    <c:v>38</c:v>
                  </c:pt>
                  <c:pt idx="4">
                    <c:v>57</c:v>
                  </c:pt>
                  <c:pt idx="5">
                    <c:v>61</c:v>
                  </c:pt>
                  <c:pt idx="6">
                    <c:v>73</c:v>
                  </c:pt>
                  <c:pt idx="7">
                    <c:v>101</c:v>
                  </c:pt>
                  <c:pt idx="8">
                    <c:v>136</c:v>
                  </c:pt>
                </c:lvl>
                <c:lvl>
                  <c:pt idx="0">
                    <c:v>MW</c:v>
                  </c:pt>
                </c:lvl>
              </c:multiLvlStrCache>
            </c:multiLvlStrRef>
          </c:cat>
          <c:val>
            <c:numRef>
              <c:f>Milk_Serum!$AD$29:$AD$37</c:f>
              <c:numCache>
                <c:formatCode>General</c:formatCode>
                <c:ptCount val="9"/>
                <c:pt idx="0">
                  <c:v>0</c:v>
                </c:pt>
                <c:pt idx="1">
                  <c:v>0</c:v>
                </c:pt>
                <c:pt idx="2">
                  <c:v>0</c:v>
                </c:pt>
                <c:pt idx="3">
                  <c:v>0</c:v>
                </c:pt>
                <c:pt idx="4">
                  <c:v>0</c:v>
                </c:pt>
                <c:pt idx="5">
                  <c:v>0</c:v>
                </c:pt>
                <c:pt idx="6">
                  <c:v>0</c:v>
                </c:pt>
                <c:pt idx="7">
                  <c:v>0</c:v>
                </c:pt>
                <c:pt idx="8">
                  <c:v>0</c:v>
                </c:pt>
              </c:numCache>
            </c:numRef>
          </c:val>
          <c:smooth val="0"/>
          <c:extLst>
            <c:ext xmlns:c16="http://schemas.microsoft.com/office/drawing/2014/chart" uri="{C3380CC4-5D6E-409C-BE32-E72D297353CC}">
              <c16:uniqueId val="{00000037-EC16-48B4-9F5F-884DD816B3CE}"/>
            </c:ext>
          </c:extLst>
        </c:ser>
        <c:ser>
          <c:idx val="28"/>
          <c:order val="28"/>
          <c:tx>
            <c:strRef>
              <c:f>Milk_Serum!$AE$1</c:f>
              <c:strCache>
                <c:ptCount val="1"/>
                <c:pt idx="0">
                  <c:v>br-PFTrDA </c:v>
                </c:pt>
              </c:strCache>
            </c:strRef>
          </c:tx>
          <c:spPr>
            <a:ln w="28575" cap="rnd">
              <a:solidFill>
                <a:schemeClr val="accent5">
                  <a:lumMod val="60000"/>
                  <a:lumOff val="40000"/>
                </a:schemeClr>
              </a:solidFill>
              <a:round/>
            </a:ln>
            <a:effectLst/>
          </c:spPr>
          <c:marker>
            <c:symbol val="none"/>
          </c:marker>
          <c:cat>
            <c:multiLvlStrRef>
              <c:f>Milk_Serum!$A$29:$B$37</c:f>
              <c:multiLvlStrCache>
                <c:ptCount val="9"/>
                <c:lvl>
                  <c:pt idx="0">
                    <c:v>1</c:v>
                  </c:pt>
                  <c:pt idx="1">
                    <c:v>5</c:v>
                  </c:pt>
                  <c:pt idx="2">
                    <c:v>17</c:v>
                  </c:pt>
                  <c:pt idx="3">
                    <c:v>38</c:v>
                  </c:pt>
                  <c:pt idx="4">
                    <c:v>57</c:v>
                  </c:pt>
                  <c:pt idx="5">
                    <c:v>61</c:v>
                  </c:pt>
                  <c:pt idx="6">
                    <c:v>73</c:v>
                  </c:pt>
                  <c:pt idx="7">
                    <c:v>101</c:v>
                  </c:pt>
                  <c:pt idx="8">
                    <c:v>136</c:v>
                  </c:pt>
                </c:lvl>
                <c:lvl>
                  <c:pt idx="0">
                    <c:v>MW</c:v>
                  </c:pt>
                </c:lvl>
              </c:multiLvlStrCache>
            </c:multiLvlStrRef>
          </c:cat>
          <c:val>
            <c:numRef>
              <c:f>Milk_Serum!$AE$29:$AE$37</c:f>
              <c:numCache>
                <c:formatCode>General</c:formatCode>
                <c:ptCount val="9"/>
                <c:pt idx="0">
                  <c:v>0</c:v>
                </c:pt>
                <c:pt idx="1">
                  <c:v>0</c:v>
                </c:pt>
                <c:pt idx="2">
                  <c:v>0</c:v>
                </c:pt>
                <c:pt idx="3">
                  <c:v>0</c:v>
                </c:pt>
                <c:pt idx="4">
                  <c:v>0</c:v>
                </c:pt>
                <c:pt idx="5">
                  <c:v>0</c:v>
                </c:pt>
                <c:pt idx="6">
                  <c:v>0</c:v>
                </c:pt>
                <c:pt idx="7">
                  <c:v>0</c:v>
                </c:pt>
                <c:pt idx="8">
                  <c:v>0</c:v>
                </c:pt>
              </c:numCache>
            </c:numRef>
          </c:val>
          <c:smooth val="0"/>
          <c:extLst>
            <c:ext xmlns:c16="http://schemas.microsoft.com/office/drawing/2014/chart" uri="{C3380CC4-5D6E-409C-BE32-E72D297353CC}">
              <c16:uniqueId val="{00000038-EC16-48B4-9F5F-884DD816B3CE}"/>
            </c:ext>
          </c:extLst>
        </c:ser>
        <c:ser>
          <c:idx val="29"/>
          <c:order val="29"/>
          <c:tx>
            <c:strRef>
              <c:f>Milk_Serum!$AF$1</c:f>
              <c:strCache>
                <c:ptCount val="1"/>
                <c:pt idx="0">
                  <c:v>br-PFTeDA </c:v>
                </c:pt>
              </c:strCache>
            </c:strRef>
          </c:tx>
          <c:spPr>
            <a:ln w="28575" cap="rnd">
              <a:solidFill>
                <a:schemeClr val="accent6">
                  <a:lumMod val="60000"/>
                  <a:lumOff val="40000"/>
                </a:schemeClr>
              </a:solidFill>
              <a:round/>
            </a:ln>
            <a:effectLst/>
          </c:spPr>
          <c:marker>
            <c:symbol val="none"/>
          </c:marker>
          <c:cat>
            <c:multiLvlStrRef>
              <c:f>Milk_Serum!$A$29:$B$37</c:f>
              <c:multiLvlStrCache>
                <c:ptCount val="9"/>
                <c:lvl>
                  <c:pt idx="0">
                    <c:v>1</c:v>
                  </c:pt>
                  <c:pt idx="1">
                    <c:v>5</c:v>
                  </c:pt>
                  <c:pt idx="2">
                    <c:v>17</c:v>
                  </c:pt>
                  <c:pt idx="3">
                    <c:v>38</c:v>
                  </c:pt>
                  <c:pt idx="4">
                    <c:v>57</c:v>
                  </c:pt>
                  <c:pt idx="5">
                    <c:v>61</c:v>
                  </c:pt>
                  <c:pt idx="6">
                    <c:v>73</c:v>
                  </c:pt>
                  <c:pt idx="7">
                    <c:v>101</c:v>
                  </c:pt>
                  <c:pt idx="8">
                    <c:v>136</c:v>
                  </c:pt>
                </c:lvl>
                <c:lvl>
                  <c:pt idx="0">
                    <c:v>MW</c:v>
                  </c:pt>
                </c:lvl>
              </c:multiLvlStrCache>
            </c:multiLvlStrRef>
          </c:cat>
          <c:val>
            <c:numRef>
              <c:f>Milk_Serum!$AF$29:$AF$37</c:f>
              <c:numCache>
                <c:formatCode>General</c:formatCode>
                <c:ptCount val="9"/>
                <c:pt idx="0">
                  <c:v>0</c:v>
                </c:pt>
                <c:pt idx="1">
                  <c:v>0</c:v>
                </c:pt>
                <c:pt idx="2">
                  <c:v>0</c:v>
                </c:pt>
                <c:pt idx="3">
                  <c:v>0</c:v>
                </c:pt>
                <c:pt idx="4">
                  <c:v>0</c:v>
                </c:pt>
                <c:pt idx="5">
                  <c:v>0</c:v>
                </c:pt>
                <c:pt idx="6">
                  <c:v>0</c:v>
                </c:pt>
                <c:pt idx="7">
                  <c:v>0</c:v>
                </c:pt>
                <c:pt idx="8">
                  <c:v>0</c:v>
                </c:pt>
              </c:numCache>
            </c:numRef>
          </c:val>
          <c:smooth val="0"/>
          <c:extLst>
            <c:ext xmlns:c16="http://schemas.microsoft.com/office/drawing/2014/chart" uri="{C3380CC4-5D6E-409C-BE32-E72D297353CC}">
              <c16:uniqueId val="{00000039-EC16-48B4-9F5F-884DD816B3CE}"/>
            </c:ext>
          </c:extLst>
        </c:ser>
        <c:ser>
          <c:idx val="30"/>
          <c:order val="30"/>
          <c:tx>
            <c:strRef>
              <c:f>Milk_Serum!$AG$1</c:f>
              <c:strCache>
                <c:ptCount val="1"/>
                <c:pt idx="0">
                  <c:v>br-PFHxS</c:v>
                </c:pt>
              </c:strCache>
            </c:strRef>
          </c:tx>
          <c:spPr>
            <a:ln w="28575" cap="rnd">
              <a:solidFill>
                <a:schemeClr val="accent1">
                  <a:lumMod val="50000"/>
                </a:schemeClr>
              </a:solidFill>
              <a:round/>
            </a:ln>
            <a:effectLst/>
          </c:spPr>
          <c:marker>
            <c:symbol val="none"/>
          </c:marker>
          <c:cat>
            <c:multiLvlStrRef>
              <c:f>Milk_Serum!$A$29:$B$37</c:f>
              <c:multiLvlStrCache>
                <c:ptCount val="9"/>
                <c:lvl>
                  <c:pt idx="0">
                    <c:v>1</c:v>
                  </c:pt>
                  <c:pt idx="1">
                    <c:v>5</c:v>
                  </c:pt>
                  <c:pt idx="2">
                    <c:v>17</c:v>
                  </c:pt>
                  <c:pt idx="3">
                    <c:v>38</c:v>
                  </c:pt>
                  <c:pt idx="4">
                    <c:v>57</c:v>
                  </c:pt>
                  <c:pt idx="5">
                    <c:v>61</c:v>
                  </c:pt>
                  <c:pt idx="6">
                    <c:v>73</c:v>
                  </c:pt>
                  <c:pt idx="7">
                    <c:v>101</c:v>
                  </c:pt>
                  <c:pt idx="8">
                    <c:v>136</c:v>
                  </c:pt>
                </c:lvl>
                <c:lvl>
                  <c:pt idx="0">
                    <c:v>MW</c:v>
                  </c:pt>
                </c:lvl>
              </c:multiLvlStrCache>
            </c:multiLvlStrRef>
          </c:cat>
          <c:val>
            <c:numRef>
              <c:f>Milk_Serum!$AG$29:$AG$37</c:f>
              <c:numCache>
                <c:formatCode>General</c:formatCode>
                <c:ptCount val="9"/>
                <c:pt idx="0">
                  <c:v>0</c:v>
                </c:pt>
                <c:pt idx="1">
                  <c:v>0</c:v>
                </c:pt>
                <c:pt idx="2">
                  <c:v>0</c:v>
                </c:pt>
                <c:pt idx="3">
                  <c:v>0</c:v>
                </c:pt>
                <c:pt idx="4">
                  <c:v>0</c:v>
                </c:pt>
                <c:pt idx="5">
                  <c:v>0</c:v>
                </c:pt>
                <c:pt idx="6">
                  <c:v>0</c:v>
                </c:pt>
                <c:pt idx="7">
                  <c:v>0</c:v>
                </c:pt>
                <c:pt idx="8">
                  <c:v>0</c:v>
                </c:pt>
              </c:numCache>
            </c:numRef>
          </c:val>
          <c:smooth val="0"/>
          <c:extLst>
            <c:ext xmlns:c16="http://schemas.microsoft.com/office/drawing/2014/chart" uri="{C3380CC4-5D6E-409C-BE32-E72D297353CC}">
              <c16:uniqueId val="{0000003A-EC16-48B4-9F5F-884DD816B3CE}"/>
            </c:ext>
          </c:extLst>
        </c:ser>
        <c:ser>
          <c:idx val="31"/>
          <c:order val="31"/>
          <c:tx>
            <c:strRef>
              <c:f>Milk_Serum!$AH$1</c:f>
              <c:strCache>
                <c:ptCount val="1"/>
                <c:pt idx="0">
                  <c:v>br-PFHpS</c:v>
                </c:pt>
              </c:strCache>
            </c:strRef>
          </c:tx>
          <c:spPr>
            <a:ln w="28575" cap="rnd">
              <a:solidFill>
                <a:schemeClr val="accent2">
                  <a:lumMod val="50000"/>
                </a:schemeClr>
              </a:solidFill>
              <a:round/>
            </a:ln>
            <a:effectLst/>
          </c:spPr>
          <c:marker>
            <c:symbol val="none"/>
          </c:marker>
          <c:cat>
            <c:multiLvlStrRef>
              <c:f>Milk_Serum!$A$29:$B$37</c:f>
              <c:multiLvlStrCache>
                <c:ptCount val="9"/>
                <c:lvl>
                  <c:pt idx="0">
                    <c:v>1</c:v>
                  </c:pt>
                  <c:pt idx="1">
                    <c:v>5</c:v>
                  </c:pt>
                  <c:pt idx="2">
                    <c:v>17</c:v>
                  </c:pt>
                  <c:pt idx="3">
                    <c:v>38</c:v>
                  </c:pt>
                  <c:pt idx="4">
                    <c:v>57</c:v>
                  </c:pt>
                  <c:pt idx="5">
                    <c:v>61</c:v>
                  </c:pt>
                  <c:pt idx="6">
                    <c:v>73</c:v>
                  </c:pt>
                  <c:pt idx="7">
                    <c:v>101</c:v>
                  </c:pt>
                  <c:pt idx="8">
                    <c:v>136</c:v>
                  </c:pt>
                </c:lvl>
                <c:lvl>
                  <c:pt idx="0">
                    <c:v>MW</c:v>
                  </c:pt>
                </c:lvl>
              </c:multiLvlStrCache>
            </c:multiLvlStrRef>
          </c:cat>
          <c:val>
            <c:numRef>
              <c:f>Milk_Serum!$AH$29:$AH$37</c:f>
              <c:numCache>
                <c:formatCode>General</c:formatCode>
                <c:ptCount val="9"/>
                <c:pt idx="0">
                  <c:v>0</c:v>
                </c:pt>
                <c:pt idx="1">
                  <c:v>0</c:v>
                </c:pt>
                <c:pt idx="2">
                  <c:v>0</c:v>
                </c:pt>
                <c:pt idx="3">
                  <c:v>0</c:v>
                </c:pt>
                <c:pt idx="4">
                  <c:v>0</c:v>
                </c:pt>
                <c:pt idx="5">
                  <c:v>0</c:v>
                </c:pt>
                <c:pt idx="6">
                  <c:v>0</c:v>
                </c:pt>
                <c:pt idx="7">
                  <c:v>0</c:v>
                </c:pt>
                <c:pt idx="8">
                  <c:v>0</c:v>
                </c:pt>
              </c:numCache>
            </c:numRef>
          </c:val>
          <c:smooth val="0"/>
          <c:extLst>
            <c:ext xmlns:c16="http://schemas.microsoft.com/office/drawing/2014/chart" uri="{C3380CC4-5D6E-409C-BE32-E72D297353CC}">
              <c16:uniqueId val="{0000003B-EC16-48B4-9F5F-884DD816B3CE}"/>
            </c:ext>
          </c:extLst>
        </c:ser>
        <c:ser>
          <c:idx val="32"/>
          <c:order val="32"/>
          <c:tx>
            <c:strRef>
              <c:f>Milk_Serum!$AI$1</c:f>
              <c:strCache>
                <c:ptCount val="1"/>
                <c:pt idx="0">
                  <c:v>br-PFOS </c:v>
                </c:pt>
              </c:strCache>
            </c:strRef>
          </c:tx>
          <c:spPr>
            <a:ln w="28575" cap="rnd">
              <a:solidFill>
                <a:schemeClr val="accent3">
                  <a:lumMod val="50000"/>
                </a:schemeClr>
              </a:solidFill>
              <a:round/>
            </a:ln>
            <a:effectLst/>
          </c:spPr>
          <c:marker>
            <c:symbol val="none"/>
          </c:marker>
          <c:cat>
            <c:multiLvlStrRef>
              <c:f>Milk_Serum!$A$29:$B$37</c:f>
              <c:multiLvlStrCache>
                <c:ptCount val="9"/>
                <c:lvl>
                  <c:pt idx="0">
                    <c:v>1</c:v>
                  </c:pt>
                  <c:pt idx="1">
                    <c:v>5</c:v>
                  </c:pt>
                  <c:pt idx="2">
                    <c:v>17</c:v>
                  </c:pt>
                  <c:pt idx="3">
                    <c:v>38</c:v>
                  </c:pt>
                  <c:pt idx="4">
                    <c:v>57</c:v>
                  </c:pt>
                  <c:pt idx="5">
                    <c:v>61</c:v>
                  </c:pt>
                  <c:pt idx="6">
                    <c:v>73</c:v>
                  </c:pt>
                  <c:pt idx="7">
                    <c:v>101</c:v>
                  </c:pt>
                  <c:pt idx="8">
                    <c:v>136</c:v>
                  </c:pt>
                </c:lvl>
                <c:lvl>
                  <c:pt idx="0">
                    <c:v>MW</c:v>
                  </c:pt>
                </c:lvl>
              </c:multiLvlStrCache>
            </c:multiLvlStrRef>
          </c:cat>
          <c:val>
            <c:numRef>
              <c:f>Milk_Serum!$AI$29:$AI$37</c:f>
              <c:numCache>
                <c:formatCode>General</c:formatCode>
                <c:ptCount val="9"/>
                <c:pt idx="0">
                  <c:v>0</c:v>
                </c:pt>
                <c:pt idx="1">
                  <c:v>0.10381231367924261</c:v>
                </c:pt>
                <c:pt idx="2">
                  <c:v>3.7358484669451429E-2</c:v>
                </c:pt>
                <c:pt idx="3">
                  <c:v>2.5692412075278961E-2</c:v>
                </c:pt>
                <c:pt idx="4">
                  <c:v>2.1596021122325695E-2</c:v>
                </c:pt>
                <c:pt idx="5">
                  <c:v>1.5799349560317411E-2</c:v>
                </c:pt>
                <c:pt idx="6">
                  <c:v>3.0085253538869688E-2</c:v>
                </c:pt>
                <c:pt idx="7">
                  <c:v>3.1984014221065789E-2</c:v>
                </c:pt>
                <c:pt idx="8">
                  <c:v>1.8809737820530678E-2</c:v>
                </c:pt>
              </c:numCache>
            </c:numRef>
          </c:val>
          <c:smooth val="0"/>
          <c:extLst>
            <c:ext xmlns:c16="http://schemas.microsoft.com/office/drawing/2014/chart" uri="{C3380CC4-5D6E-409C-BE32-E72D297353CC}">
              <c16:uniqueId val="{0000003C-EC16-48B4-9F5F-884DD816B3CE}"/>
            </c:ext>
          </c:extLst>
        </c:ser>
        <c:ser>
          <c:idx val="33"/>
          <c:order val="33"/>
          <c:tx>
            <c:strRef>
              <c:f>Milk_Serum!$AJ$1</c:f>
              <c:strCache>
                <c:ptCount val="1"/>
                <c:pt idx="0">
                  <c:v>br-PFNS </c:v>
                </c:pt>
              </c:strCache>
            </c:strRef>
          </c:tx>
          <c:spPr>
            <a:ln w="28575" cap="rnd">
              <a:solidFill>
                <a:schemeClr val="accent4">
                  <a:lumMod val="50000"/>
                </a:schemeClr>
              </a:solidFill>
              <a:round/>
            </a:ln>
            <a:effectLst/>
          </c:spPr>
          <c:marker>
            <c:symbol val="none"/>
          </c:marker>
          <c:cat>
            <c:multiLvlStrRef>
              <c:f>Milk_Serum!$A$29:$B$37</c:f>
              <c:multiLvlStrCache>
                <c:ptCount val="9"/>
                <c:lvl>
                  <c:pt idx="0">
                    <c:v>1</c:v>
                  </c:pt>
                  <c:pt idx="1">
                    <c:v>5</c:v>
                  </c:pt>
                  <c:pt idx="2">
                    <c:v>17</c:v>
                  </c:pt>
                  <c:pt idx="3">
                    <c:v>38</c:v>
                  </c:pt>
                  <c:pt idx="4">
                    <c:v>57</c:v>
                  </c:pt>
                  <c:pt idx="5">
                    <c:v>61</c:v>
                  </c:pt>
                  <c:pt idx="6">
                    <c:v>73</c:v>
                  </c:pt>
                  <c:pt idx="7">
                    <c:v>101</c:v>
                  </c:pt>
                  <c:pt idx="8">
                    <c:v>136</c:v>
                  </c:pt>
                </c:lvl>
                <c:lvl>
                  <c:pt idx="0">
                    <c:v>MW</c:v>
                  </c:pt>
                </c:lvl>
              </c:multiLvlStrCache>
            </c:multiLvlStrRef>
          </c:cat>
          <c:val>
            <c:numRef>
              <c:f>Milk_Serum!$AJ$29:$AJ$37</c:f>
              <c:numCache>
                <c:formatCode>General</c:formatCode>
                <c:ptCount val="9"/>
                <c:pt idx="0">
                  <c:v>0</c:v>
                </c:pt>
                <c:pt idx="1">
                  <c:v>0.12409304337109373</c:v>
                </c:pt>
                <c:pt idx="2">
                  <c:v>7.6844295356475203E-2</c:v>
                </c:pt>
                <c:pt idx="3">
                  <c:v>5.2429879876512014E-2</c:v>
                </c:pt>
                <c:pt idx="4">
                  <c:v>4.428561014762103E-2</c:v>
                </c:pt>
                <c:pt idx="5">
                  <c:v>3.0598699257135608E-2</c:v>
                </c:pt>
                <c:pt idx="6">
                  <c:v>5.6391334222819438E-2</c:v>
                </c:pt>
                <c:pt idx="7">
                  <c:v>5.6077524603732443E-2</c:v>
                </c:pt>
                <c:pt idx="8">
                  <c:v>1.9575267858481085E-2</c:v>
                </c:pt>
              </c:numCache>
            </c:numRef>
          </c:val>
          <c:smooth val="0"/>
          <c:extLst>
            <c:ext xmlns:c16="http://schemas.microsoft.com/office/drawing/2014/chart" uri="{C3380CC4-5D6E-409C-BE32-E72D297353CC}">
              <c16:uniqueId val="{0000003D-EC16-48B4-9F5F-884DD816B3CE}"/>
            </c:ext>
          </c:extLst>
        </c:ser>
        <c:ser>
          <c:idx val="34"/>
          <c:order val="34"/>
          <c:tx>
            <c:strRef>
              <c:f>Milk_Serum!$AK$1</c:f>
              <c:strCache>
                <c:ptCount val="1"/>
                <c:pt idx="0">
                  <c:v>br-PFDS </c:v>
                </c:pt>
              </c:strCache>
            </c:strRef>
          </c:tx>
          <c:spPr>
            <a:ln w="28575" cap="rnd">
              <a:solidFill>
                <a:schemeClr val="accent5">
                  <a:lumMod val="50000"/>
                </a:schemeClr>
              </a:solidFill>
              <a:round/>
            </a:ln>
            <a:effectLst/>
          </c:spPr>
          <c:marker>
            <c:symbol val="none"/>
          </c:marker>
          <c:cat>
            <c:multiLvlStrRef>
              <c:f>Milk_Serum!$A$29:$B$37</c:f>
              <c:multiLvlStrCache>
                <c:ptCount val="9"/>
                <c:lvl>
                  <c:pt idx="0">
                    <c:v>1</c:v>
                  </c:pt>
                  <c:pt idx="1">
                    <c:v>5</c:v>
                  </c:pt>
                  <c:pt idx="2">
                    <c:v>17</c:v>
                  </c:pt>
                  <c:pt idx="3">
                    <c:v>38</c:v>
                  </c:pt>
                  <c:pt idx="4">
                    <c:v>57</c:v>
                  </c:pt>
                  <c:pt idx="5">
                    <c:v>61</c:v>
                  </c:pt>
                  <c:pt idx="6">
                    <c:v>73</c:v>
                  </c:pt>
                  <c:pt idx="7">
                    <c:v>101</c:v>
                  </c:pt>
                  <c:pt idx="8">
                    <c:v>136</c:v>
                  </c:pt>
                </c:lvl>
                <c:lvl>
                  <c:pt idx="0">
                    <c:v>MW</c:v>
                  </c:pt>
                </c:lvl>
              </c:multiLvlStrCache>
            </c:multiLvlStrRef>
          </c:cat>
          <c:val>
            <c:numRef>
              <c:f>Milk_Serum!$AK$29:$AK$37</c:f>
              <c:numCache>
                <c:formatCode>General</c:formatCode>
                <c:ptCount val="9"/>
                <c:pt idx="0">
                  <c:v>0</c:v>
                </c:pt>
                <c:pt idx="1">
                  <c:v>4.5193556187913021E-2</c:v>
                </c:pt>
                <c:pt idx="2">
                  <c:v>1.8759962035894234E-2</c:v>
                </c:pt>
                <c:pt idx="3">
                  <c:v>9.3519050521989455E-3</c:v>
                </c:pt>
                <c:pt idx="4">
                  <c:v>8.6560466890180932E-3</c:v>
                </c:pt>
                <c:pt idx="5">
                  <c:v>5.1082189969641834E-3</c:v>
                </c:pt>
                <c:pt idx="6">
                  <c:v>7.2743192234070693E-3</c:v>
                </c:pt>
                <c:pt idx="7">
                  <c:v>6.9728471702787979E-3</c:v>
                </c:pt>
                <c:pt idx="8">
                  <c:v>3.8688691843029098E-3</c:v>
                </c:pt>
              </c:numCache>
            </c:numRef>
          </c:val>
          <c:smooth val="0"/>
          <c:extLst>
            <c:ext xmlns:c16="http://schemas.microsoft.com/office/drawing/2014/chart" uri="{C3380CC4-5D6E-409C-BE32-E72D297353CC}">
              <c16:uniqueId val="{0000003E-EC16-48B4-9F5F-884DD816B3CE}"/>
            </c:ext>
          </c:extLst>
        </c:ser>
        <c:ser>
          <c:idx val="35"/>
          <c:order val="35"/>
          <c:tx>
            <c:strRef>
              <c:f>Milk_Serum!$AL$1</c:f>
              <c:strCache>
                <c:ptCount val="1"/>
                <c:pt idx="0">
                  <c:v>br-PFUnDS </c:v>
                </c:pt>
              </c:strCache>
            </c:strRef>
          </c:tx>
          <c:spPr>
            <a:ln w="28575" cap="rnd">
              <a:solidFill>
                <a:schemeClr val="accent6">
                  <a:lumMod val="50000"/>
                </a:schemeClr>
              </a:solidFill>
              <a:round/>
            </a:ln>
            <a:effectLst/>
          </c:spPr>
          <c:marker>
            <c:symbol val="none"/>
          </c:marker>
          <c:cat>
            <c:multiLvlStrRef>
              <c:f>Milk_Serum!$A$29:$B$37</c:f>
              <c:multiLvlStrCache>
                <c:ptCount val="9"/>
                <c:lvl>
                  <c:pt idx="0">
                    <c:v>1</c:v>
                  </c:pt>
                  <c:pt idx="1">
                    <c:v>5</c:v>
                  </c:pt>
                  <c:pt idx="2">
                    <c:v>17</c:v>
                  </c:pt>
                  <c:pt idx="3">
                    <c:v>38</c:v>
                  </c:pt>
                  <c:pt idx="4">
                    <c:v>57</c:v>
                  </c:pt>
                  <c:pt idx="5">
                    <c:v>61</c:v>
                  </c:pt>
                  <c:pt idx="6">
                    <c:v>73</c:v>
                  </c:pt>
                  <c:pt idx="7">
                    <c:v>101</c:v>
                  </c:pt>
                  <c:pt idx="8">
                    <c:v>136</c:v>
                  </c:pt>
                </c:lvl>
                <c:lvl>
                  <c:pt idx="0">
                    <c:v>MW</c:v>
                  </c:pt>
                </c:lvl>
              </c:multiLvlStrCache>
            </c:multiLvlStrRef>
          </c:cat>
          <c:val>
            <c:numRef>
              <c:f>Milk_Serum!$AL$29:$AL$37</c:f>
              <c:numCache>
                <c:formatCode>General</c:formatCode>
                <c:ptCount val="9"/>
                <c:pt idx="0">
                  <c:v>0</c:v>
                </c:pt>
                <c:pt idx="1">
                  <c:v>8.1102881179363387E-2</c:v>
                </c:pt>
                <c:pt idx="2">
                  <c:v>4.0422039070424749E-2</c:v>
                </c:pt>
                <c:pt idx="3">
                  <c:v>2.5519673604284348E-2</c:v>
                </c:pt>
                <c:pt idx="4">
                  <c:v>3.143741242623084E-2</c:v>
                </c:pt>
                <c:pt idx="5">
                  <c:v>1.7688298458035882E-2</c:v>
                </c:pt>
                <c:pt idx="6">
                  <c:v>0</c:v>
                </c:pt>
                <c:pt idx="7">
                  <c:v>0</c:v>
                </c:pt>
                <c:pt idx="8">
                  <c:v>0</c:v>
                </c:pt>
              </c:numCache>
            </c:numRef>
          </c:val>
          <c:smooth val="0"/>
          <c:extLst>
            <c:ext xmlns:c16="http://schemas.microsoft.com/office/drawing/2014/chart" uri="{C3380CC4-5D6E-409C-BE32-E72D297353CC}">
              <c16:uniqueId val="{0000003F-EC16-48B4-9F5F-884DD816B3CE}"/>
            </c:ext>
          </c:extLst>
        </c:ser>
        <c:ser>
          <c:idx val="36"/>
          <c:order val="36"/>
          <c:tx>
            <c:strRef>
              <c:f>Milk_Serum!$AM$1</c:f>
              <c:strCache>
                <c:ptCount val="1"/>
                <c:pt idx="0">
                  <c:v>br-PFDoDS </c:v>
                </c:pt>
              </c:strCache>
            </c:strRef>
          </c:tx>
          <c:spPr>
            <a:ln w="28575" cap="rnd">
              <a:solidFill>
                <a:schemeClr val="accent1">
                  <a:lumMod val="70000"/>
                  <a:lumOff val="30000"/>
                </a:schemeClr>
              </a:solidFill>
              <a:round/>
            </a:ln>
            <a:effectLst/>
          </c:spPr>
          <c:marker>
            <c:symbol val="none"/>
          </c:marker>
          <c:cat>
            <c:multiLvlStrRef>
              <c:f>Milk_Serum!$A$29:$B$37</c:f>
              <c:multiLvlStrCache>
                <c:ptCount val="9"/>
                <c:lvl>
                  <c:pt idx="0">
                    <c:v>1</c:v>
                  </c:pt>
                  <c:pt idx="1">
                    <c:v>5</c:v>
                  </c:pt>
                  <c:pt idx="2">
                    <c:v>17</c:v>
                  </c:pt>
                  <c:pt idx="3">
                    <c:v>38</c:v>
                  </c:pt>
                  <c:pt idx="4">
                    <c:v>57</c:v>
                  </c:pt>
                  <c:pt idx="5">
                    <c:v>61</c:v>
                  </c:pt>
                  <c:pt idx="6">
                    <c:v>73</c:v>
                  </c:pt>
                  <c:pt idx="7">
                    <c:v>101</c:v>
                  </c:pt>
                  <c:pt idx="8">
                    <c:v>136</c:v>
                  </c:pt>
                </c:lvl>
                <c:lvl>
                  <c:pt idx="0">
                    <c:v>MW</c:v>
                  </c:pt>
                </c:lvl>
              </c:multiLvlStrCache>
            </c:multiLvlStrRef>
          </c:cat>
          <c:val>
            <c:numRef>
              <c:f>Milk_Serum!$AM$29:$AM$37</c:f>
              <c:numCache>
                <c:formatCode>General</c:formatCode>
                <c:ptCount val="9"/>
                <c:pt idx="0">
                  <c:v>0</c:v>
                </c:pt>
                <c:pt idx="1">
                  <c:v>3.6150359883923851E-2</c:v>
                </c:pt>
                <c:pt idx="2">
                  <c:v>1.7293563540824935E-2</c:v>
                </c:pt>
                <c:pt idx="3">
                  <c:v>1.031860301835491E-2</c:v>
                </c:pt>
                <c:pt idx="4">
                  <c:v>1.4011792784617264E-2</c:v>
                </c:pt>
                <c:pt idx="5">
                  <c:v>8.6831608456392293E-3</c:v>
                </c:pt>
                <c:pt idx="6">
                  <c:v>0</c:v>
                </c:pt>
                <c:pt idx="7">
                  <c:v>0</c:v>
                </c:pt>
                <c:pt idx="8">
                  <c:v>0</c:v>
                </c:pt>
              </c:numCache>
            </c:numRef>
          </c:val>
          <c:smooth val="0"/>
          <c:extLst>
            <c:ext xmlns:c16="http://schemas.microsoft.com/office/drawing/2014/chart" uri="{C3380CC4-5D6E-409C-BE32-E72D297353CC}">
              <c16:uniqueId val="{00000040-EC16-48B4-9F5F-884DD816B3CE}"/>
            </c:ext>
          </c:extLst>
        </c:ser>
        <c:ser>
          <c:idx val="37"/>
          <c:order val="37"/>
          <c:tx>
            <c:strRef>
              <c:f>Milk_Serum!$AN$1</c:f>
              <c:strCache>
                <c:ptCount val="1"/>
                <c:pt idx="0">
                  <c:v>br-PFTrDS </c:v>
                </c:pt>
              </c:strCache>
            </c:strRef>
          </c:tx>
          <c:spPr>
            <a:ln w="28575" cap="rnd">
              <a:solidFill>
                <a:schemeClr val="accent2">
                  <a:lumMod val="70000"/>
                  <a:lumOff val="30000"/>
                </a:schemeClr>
              </a:solidFill>
              <a:round/>
            </a:ln>
            <a:effectLst/>
          </c:spPr>
          <c:marker>
            <c:symbol val="none"/>
          </c:marker>
          <c:cat>
            <c:multiLvlStrRef>
              <c:f>Milk_Serum!$A$29:$B$37</c:f>
              <c:multiLvlStrCache>
                <c:ptCount val="9"/>
                <c:lvl>
                  <c:pt idx="0">
                    <c:v>1</c:v>
                  </c:pt>
                  <c:pt idx="1">
                    <c:v>5</c:v>
                  </c:pt>
                  <c:pt idx="2">
                    <c:v>17</c:v>
                  </c:pt>
                  <c:pt idx="3">
                    <c:v>38</c:v>
                  </c:pt>
                  <c:pt idx="4">
                    <c:v>57</c:v>
                  </c:pt>
                  <c:pt idx="5">
                    <c:v>61</c:v>
                  </c:pt>
                  <c:pt idx="6">
                    <c:v>73</c:v>
                  </c:pt>
                  <c:pt idx="7">
                    <c:v>101</c:v>
                  </c:pt>
                  <c:pt idx="8">
                    <c:v>136</c:v>
                  </c:pt>
                </c:lvl>
                <c:lvl>
                  <c:pt idx="0">
                    <c:v>MW</c:v>
                  </c:pt>
                </c:lvl>
              </c:multiLvlStrCache>
            </c:multiLvlStrRef>
          </c:cat>
          <c:val>
            <c:numRef>
              <c:f>Milk_Serum!$AN$29:$AN$37</c:f>
              <c:numCache>
                <c:formatCode>General</c:formatCode>
                <c:ptCount val="9"/>
                <c:pt idx="0">
                  <c:v>0</c:v>
                </c:pt>
                <c:pt idx="1">
                  <c:v>0</c:v>
                </c:pt>
                <c:pt idx="2">
                  <c:v>2.0307759078025161E-2</c:v>
                </c:pt>
                <c:pt idx="3">
                  <c:v>1.2650942529640932E-2</c:v>
                </c:pt>
                <c:pt idx="4">
                  <c:v>1.6610994101074913E-2</c:v>
                </c:pt>
                <c:pt idx="5">
                  <c:v>0</c:v>
                </c:pt>
                <c:pt idx="6">
                  <c:v>0</c:v>
                </c:pt>
                <c:pt idx="7">
                  <c:v>0</c:v>
                </c:pt>
                <c:pt idx="8">
                  <c:v>0</c:v>
                </c:pt>
              </c:numCache>
            </c:numRef>
          </c:val>
          <c:smooth val="0"/>
          <c:extLst>
            <c:ext xmlns:c16="http://schemas.microsoft.com/office/drawing/2014/chart" uri="{C3380CC4-5D6E-409C-BE32-E72D297353CC}">
              <c16:uniqueId val="{00000041-EC16-48B4-9F5F-884DD816B3CE}"/>
            </c:ext>
          </c:extLst>
        </c:ser>
        <c:dLbls>
          <c:showLegendKey val="0"/>
          <c:showVal val="0"/>
          <c:showCatName val="0"/>
          <c:showSerName val="0"/>
          <c:showPercent val="0"/>
          <c:showBubbleSize val="0"/>
        </c:dLbls>
        <c:smooth val="0"/>
        <c:axId val="256034175"/>
        <c:axId val="256037087"/>
      </c:lineChart>
      <c:catAx>
        <c:axId val="256034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6037087"/>
        <c:crosses val="autoZero"/>
        <c:auto val="1"/>
        <c:lblAlgn val="ctr"/>
        <c:lblOffset val="100"/>
        <c:noMultiLvlLbl val="0"/>
      </c:catAx>
      <c:valAx>
        <c:axId val="2560370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60341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8740157499999996" l="0.7" r="0.7" t="0.78740157499999996"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n-PFCAs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'Serum-Milk-Korr'!$CC$3</c:f>
              <c:strCache>
                <c:ptCount val="1"/>
                <c:pt idx="0">
                  <c:v>milk</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0"/>
            <c:trendlineLbl>
              <c:layout>
                <c:manualLayout>
                  <c:x val="0.17557633420822388"/>
                  <c:y val="-6.7646544181977256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'Serum-Milk-Korr'!$CB$4:$CB$30</c:f>
              <c:numCache>
                <c:formatCode>0.00</c:formatCode>
                <c:ptCount val="27"/>
                <c:pt idx="0">
                  <c:v>0</c:v>
                </c:pt>
                <c:pt idx="1">
                  <c:v>0</c:v>
                </c:pt>
                <c:pt idx="2">
                  <c:v>0</c:v>
                </c:pt>
                <c:pt idx="3">
                  <c:v>9.69</c:v>
                </c:pt>
                <c:pt idx="4">
                  <c:v>5.5</c:v>
                </c:pt>
                <c:pt idx="5">
                  <c:v>2.0700000000000003</c:v>
                </c:pt>
                <c:pt idx="6">
                  <c:v>29.398000000000003</c:v>
                </c:pt>
                <c:pt idx="7">
                  <c:v>27.096999999999998</c:v>
                </c:pt>
                <c:pt idx="8">
                  <c:v>23.203999999999997</c:v>
                </c:pt>
                <c:pt idx="9">
                  <c:v>11.686999999999999</c:v>
                </c:pt>
                <c:pt idx="10">
                  <c:v>15.920000000000002</c:v>
                </c:pt>
                <c:pt idx="11">
                  <c:v>11.57</c:v>
                </c:pt>
                <c:pt idx="12">
                  <c:v>16.373000000000001</c:v>
                </c:pt>
                <c:pt idx="13">
                  <c:v>10.586999999999998</c:v>
                </c:pt>
                <c:pt idx="14">
                  <c:v>9.6999999999999993</c:v>
                </c:pt>
                <c:pt idx="15">
                  <c:v>8.1300000000000008</c:v>
                </c:pt>
                <c:pt idx="16">
                  <c:v>5.7</c:v>
                </c:pt>
                <c:pt idx="17">
                  <c:v>5.9790000000000001</c:v>
                </c:pt>
                <c:pt idx="18">
                  <c:v>4.2300000000000004</c:v>
                </c:pt>
                <c:pt idx="19">
                  <c:v>2.9429999999999996</c:v>
                </c:pt>
                <c:pt idx="20">
                  <c:v>3.2239999999999998</c:v>
                </c:pt>
                <c:pt idx="21">
                  <c:v>0.85099999999999998</c:v>
                </c:pt>
                <c:pt idx="22">
                  <c:v>0.66100000000000003</c:v>
                </c:pt>
                <c:pt idx="23">
                  <c:v>0.64700000000000002</c:v>
                </c:pt>
                <c:pt idx="24">
                  <c:v>0</c:v>
                </c:pt>
                <c:pt idx="25">
                  <c:v>0</c:v>
                </c:pt>
                <c:pt idx="26">
                  <c:v>0</c:v>
                </c:pt>
              </c:numCache>
            </c:numRef>
          </c:xVal>
          <c:yVal>
            <c:numRef>
              <c:f>'Serum-Milk-Korr'!$CC$4:$CC$30</c:f>
              <c:numCache>
                <c:formatCode>0.00</c:formatCode>
                <c:ptCount val="27"/>
                <c:pt idx="0">
                  <c:v>2.1117963509530432E-2</c:v>
                </c:pt>
                <c:pt idx="1">
                  <c:v>2.2640968558517771E-2</c:v>
                </c:pt>
                <c:pt idx="2">
                  <c:v>2.2656001012052469E-2</c:v>
                </c:pt>
                <c:pt idx="3">
                  <c:v>2.5481270965872871</c:v>
                </c:pt>
                <c:pt idx="4">
                  <c:v>0.87277081918681743</c:v>
                </c:pt>
                <c:pt idx="5">
                  <c:v>0.3527307852954748</c:v>
                </c:pt>
                <c:pt idx="6">
                  <c:v>4.1182171078838516</c:v>
                </c:pt>
                <c:pt idx="7">
                  <c:v>3.0639942460856435</c:v>
                </c:pt>
                <c:pt idx="8">
                  <c:v>1.9473019807166101</c:v>
                </c:pt>
                <c:pt idx="9">
                  <c:v>0.73979079919809321</c:v>
                </c:pt>
                <c:pt idx="10">
                  <c:v>0.96541410791602345</c:v>
                </c:pt>
                <c:pt idx="11">
                  <c:v>0.79607246727977632</c:v>
                </c:pt>
                <c:pt idx="12">
                  <c:v>0.93898709424545346</c:v>
                </c:pt>
                <c:pt idx="13">
                  <c:v>0.58024608059470606</c:v>
                </c:pt>
                <c:pt idx="14">
                  <c:v>0.57109288893976207</c:v>
                </c:pt>
                <c:pt idx="15">
                  <c:v>0.16539399439297589</c:v>
                </c:pt>
                <c:pt idx="16">
                  <c:v>0.10481616349830593</c:v>
                </c:pt>
                <c:pt idx="17">
                  <c:v>0.17619030744872369</c:v>
                </c:pt>
                <c:pt idx="18">
                  <c:v>0.16678997824154701</c:v>
                </c:pt>
                <c:pt idx="19">
                  <c:v>0.13288147040728115</c:v>
                </c:pt>
                <c:pt idx="20">
                  <c:v>0.16621783339217414</c:v>
                </c:pt>
                <c:pt idx="21">
                  <c:v>0.10618811551691801</c:v>
                </c:pt>
                <c:pt idx="22">
                  <c:v>6.9976587671580603E-2</c:v>
                </c:pt>
                <c:pt idx="23">
                  <c:v>6.6283017406286102E-2</c:v>
                </c:pt>
                <c:pt idx="24">
                  <c:v>2.8006358613743912E-2</c:v>
                </c:pt>
                <c:pt idx="25">
                  <c:v>5.3161443800222603E-3</c:v>
                </c:pt>
                <c:pt idx="26">
                  <c:v>2.0493375177162688E-2</c:v>
                </c:pt>
              </c:numCache>
            </c:numRef>
          </c:yVal>
          <c:smooth val="0"/>
          <c:extLst>
            <c:ext xmlns:c16="http://schemas.microsoft.com/office/drawing/2014/chart" uri="{C3380CC4-5D6E-409C-BE32-E72D297353CC}">
              <c16:uniqueId val="{00000000-9C21-493F-B6C1-20779588F74F}"/>
            </c:ext>
          </c:extLst>
        </c:ser>
        <c:dLbls>
          <c:showLegendKey val="0"/>
          <c:showVal val="0"/>
          <c:showCatName val="0"/>
          <c:showSerName val="0"/>
          <c:showPercent val="0"/>
          <c:showBubbleSize val="0"/>
        </c:dLbls>
        <c:axId val="877342080"/>
        <c:axId val="877344160"/>
      </c:scatterChart>
      <c:valAx>
        <c:axId val="8773420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PFAA content in serum (µg/kg)</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7344160"/>
        <c:crosses val="autoZero"/>
        <c:crossBetween val="midCat"/>
      </c:valAx>
      <c:valAx>
        <c:axId val="8773441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PFAA content in milk (µg/kg)</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734208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8740157499999996" l="0.7" r="0.7" t="0.78740157499999996"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br-PFCAs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'Serum-Milk-Korr'!$CE$3</c:f>
              <c:strCache>
                <c:ptCount val="1"/>
                <c:pt idx="0">
                  <c:v>milk</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0"/>
            <c:trendlineLbl>
              <c:layout>
                <c:manualLayout>
                  <c:x val="0.17557633420822388"/>
                  <c:y val="-6.7646544181977256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'Serum-Milk-Korr'!$CD$4:$CD$30</c:f>
              <c:numCache>
                <c:formatCode>0.00</c:formatCode>
                <c:ptCount val="27"/>
                <c:pt idx="0">
                  <c:v>0</c:v>
                </c:pt>
                <c:pt idx="1">
                  <c:v>0</c:v>
                </c:pt>
                <c:pt idx="2">
                  <c:v>0</c:v>
                </c:pt>
                <c:pt idx="3">
                  <c:v>0</c:v>
                </c:pt>
                <c:pt idx="4">
                  <c:v>0</c:v>
                </c:pt>
                <c:pt idx="5">
                  <c:v>0</c:v>
                </c:pt>
                <c:pt idx="6">
                  <c:v>0.753</c:v>
                </c:pt>
                <c:pt idx="7">
                  <c:v>0.94799999999999995</c:v>
                </c:pt>
                <c:pt idx="8">
                  <c:v>0.50900000000000001</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numCache>
            </c:numRef>
          </c:xVal>
          <c:yVal>
            <c:numRef>
              <c:f>'Serum-Milk-Korr'!$CE$4:$CE$30</c:f>
              <c:numCache>
                <c:formatCode>0.00</c:formatCode>
                <c:ptCount val="27"/>
                <c:pt idx="0">
                  <c:v>0</c:v>
                </c:pt>
                <c:pt idx="1">
                  <c:v>0</c:v>
                </c:pt>
                <c:pt idx="2">
                  <c:v>0</c:v>
                </c:pt>
                <c:pt idx="3">
                  <c:v>3.5378921733499408E-2</c:v>
                </c:pt>
                <c:pt idx="4">
                  <c:v>3.84639919889388E-3</c:v>
                </c:pt>
                <c:pt idx="5">
                  <c:v>9.1593845946349433E-3</c:v>
                </c:pt>
                <c:pt idx="6">
                  <c:v>0.13723043028635706</c:v>
                </c:pt>
                <c:pt idx="7">
                  <c:v>6.8376864120366712E-2</c:v>
                </c:pt>
                <c:pt idx="8">
                  <c:v>0.13482449709705857</c:v>
                </c:pt>
                <c:pt idx="9">
                  <c:v>0.14252609198862154</c:v>
                </c:pt>
                <c:pt idx="10">
                  <c:v>5.872104235744096E-2</c:v>
                </c:pt>
                <c:pt idx="11">
                  <c:v>0.10756110061570655</c:v>
                </c:pt>
                <c:pt idx="12">
                  <c:v>0.11724723891166948</c:v>
                </c:pt>
                <c:pt idx="13">
                  <c:v>5.5892009122191388E-2</c:v>
                </c:pt>
                <c:pt idx="14">
                  <c:v>0.11031109683967807</c:v>
                </c:pt>
                <c:pt idx="15">
                  <c:v>6.7724932016880027E-2</c:v>
                </c:pt>
                <c:pt idx="16">
                  <c:v>3.774834430710388E-2</c:v>
                </c:pt>
                <c:pt idx="17">
                  <c:v>6.6541997397423683E-2</c:v>
                </c:pt>
                <c:pt idx="18">
                  <c:v>5.8062826210904195E-2</c:v>
                </c:pt>
                <c:pt idx="19">
                  <c:v>4.009269141325033E-2</c:v>
                </c:pt>
                <c:pt idx="20">
                  <c:v>4.7862198524933203E-2</c:v>
                </c:pt>
                <c:pt idx="21">
                  <c:v>2.866098687436143E-2</c:v>
                </c:pt>
                <c:pt idx="22">
                  <c:v>1.5062618122938406E-2</c:v>
                </c:pt>
                <c:pt idx="23">
                  <c:v>2.2332410803181501E-2</c:v>
                </c:pt>
                <c:pt idx="24">
                  <c:v>0</c:v>
                </c:pt>
                <c:pt idx="25">
                  <c:v>0</c:v>
                </c:pt>
                <c:pt idx="26">
                  <c:v>0</c:v>
                </c:pt>
              </c:numCache>
            </c:numRef>
          </c:yVal>
          <c:smooth val="0"/>
          <c:extLst>
            <c:ext xmlns:c16="http://schemas.microsoft.com/office/drawing/2014/chart" uri="{C3380CC4-5D6E-409C-BE32-E72D297353CC}">
              <c16:uniqueId val="{00000002-AD89-4019-B95A-BE39FC90ADDA}"/>
            </c:ext>
          </c:extLst>
        </c:ser>
        <c:dLbls>
          <c:showLegendKey val="0"/>
          <c:showVal val="0"/>
          <c:showCatName val="0"/>
          <c:showSerName val="0"/>
          <c:showPercent val="0"/>
          <c:showBubbleSize val="0"/>
        </c:dLbls>
        <c:axId val="877342080"/>
        <c:axId val="877344160"/>
      </c:scatterChart>
      <c:valAx>
        <c:axId val="8773420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PFAA content in serum (µg/kg)</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7344160"/>
        <c:crosses val="autoZero"/>
        <c:crossBetween val="midCat"/>
      </c:valAx>
      <c:valAx>
        <c:axId val="8773441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PFAA content in milk (µg/kg)</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734208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8740157499999996" l="0.7" r="0.7" t="0.78740157499999996"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n-PFSAs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'Serum-Milk-Korr'!$CG$3</c:f>
              <c:strCache>
                <c:ptCount val="1"/>
                <c:pt idx="0">
                  <c:v>milk</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0"/>
            <c:trendlineLbl>
              <c:layout>
                <c:manualLayout>
                  <c:x val="0.17557633420822388"/>
                  <c:y val="-6.7646544181977256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'Serum-Milk-Korr'!$CF$4:$CF$30</c:f>
              <c:numCache>
                <c:formatCode>0.00</c:formatCode>
                <c:ptCount val="27"/>
                <c:pt idx="0">
                  <c:v>0</c:v>
                </c:pt>
                <c:pt idx="1">
                  <c:v>0</c:v>
                </c:pt>
                <c:pt idx="2">
                  <c:v>0</c:v>
                </c:pt>
                <c:pt idx="3">
                  <c:v>12.401999999999999</c:v>
                </c:pt>
                <c:pt idx="4">
                  <c:v>9.89</c:v>
                </c:pt>
                <c:pt idx="5">
                  <c:v>7.19</c:v>
                </c:pt>
                <c:pt idx="6">
                  <c:v>228.33</c:v>
                </c:pt>
                <c:pt idx="7">
                  <c:v>112.7</c:v>
                </c:pt>
                <c:pt idx="8">
                  <c:v>206.78699999999998</c:v>
                </c:pt>
                <c:pt idx="9">
                  <c:v>528.79000000000008</c:v>
                </c:pt>
                <c:pt idx="10">
                  <c:v>454.517</c:v>
                </c:pt>
                <c:pt idx="11">
                  <c:v>527.35</c:v>
                </c:pt>
                <c:pt idx="12">
                  <c:v>784.93000000000006</c:v>
                </c:pt>
                <c:pt idx="13">
                  <c:v>591.43999999999994</c:v>
                </c:pt>
                <c:pt idx="14">
                  <c:v>683.01</c:v>
                </c:pt>
                <c:pt idx="15">
                  <c:v>682.44</c:v>
                </c:pt>
                <c:pt idx="16">
                  <c:v>501.64199999999994</c:v>
                </c:pt>
                <c:pt idx="17">
                  <c:v>550.09199999999998</c:v>
                </c:pt>
                <c:pt idx="18">
                  <c:v>417.375</c:v>
                </c:pt>
                <c:pt idx="19">
                  <c:v>282.48699999999997</c:v>
                </c:pt>
                <c:pt idx="20">
                  <c:v>330.37</c:v>
                </c:pt>
                <c:pt idx="21">
                  <c:v>140.05500000000001</c:v>
                </c:pt>
                <c:pt idx="22">
                  <c:v>119.61</c:v>
                </c:pt>
                <c:pt idx="23">
                  <c:v>127.19000000000001</c:v>
                </c:pt>
                <c:pt idx="24">
                  <c:v>54.25</c:v>
                </c:pt>
                <c:pt idx="25">
                  <c:v>39.880000000000003</c:v>
                </c:pt>
                <c:pt idx="26">
                  <c:v>60.259</c:v>
                </c:pt>
              </c:numCache>
            </c:numRef>
          </c:xVal>
          <c:yVal>
            <c:numRef>
              <c:f>'Serum-Milk-Korr'!$CG$4:$CG$30</c:f>
              <c:numCache>
                <c:formatCode>0.00</c:formatCode>
                <c:ptCount val="27"/>
                <c:pt idx="0">
                  <c:v>0</c:v>
                </c:pt>
                <c:pt idx="1">
                  <c:v>0</c:v>
                </c:pt>
                <c:pt idx="2">
                  <c:v>0</c:v>
                </c:pt>
                <c:pt idx="3">
                  <c:v>3.6391803974137411</c:v>
                </c:pt>
                <c:pt idx="4">
                  <c:v>1.2326641082634411</c:v>
                </c:pt>
                <c:pt idx="5">
                  <c:v>1.4644860273567142</c:v>
                </c:pt>
                <c:pt idx="6">
                  <c:v>20.941638438624267</c:v>
                </c:pt>
                <c:pt idx="7">
                  <c:v>9.4579165403463126</c:v>
                </c:pt>
                <c:pt idx="8">
                  <c:v>21.506059840146591</c:v>
                </c:pt>
                <c:pt idx="9">
                  <c:v>38.335092684957672</c:v>
                </c:pt>
                <c:pt idx="10">
                  <c:v>14.048438858607504</c:v>
                </c:pt>
                <c:pt idx="11">
                  <c:v>29.89293647822695</c:v>
                </c:pt>
                <c:pt idx="12">
                  <c:v>34.43892757635782</c:v>
                </c:pt>
                <c:pt idx="13">
                  <c:v>21.977980718457491</c:v>
                </c:pt>
                <c:pt idx="14">
                  <c:v>35.957599117856205</c:v>
                </c:pt>
                <c:pt idx="15">
                  <c:v>24.369612506253265</c:v>
                </c:pt>
                <c:pt idx="16">
                  <c:v>14.348183617085743</c:v>
                </c:pt>
                <c:pt idx="17">
                  <c:v>26.419719029830851</c:v>
                </c:pt>
                <c:pt idx="18">
                  <c:v>25.437178355615924</c:v>
                </c:pt>
                <c:pt idx="19">
                  <c:v>19.252217419603031</c:v>
                </c:pt>
                <c:pt idx="20">
                  <c:v>22.714957446612232</c:v>
                </c:pt>
                <c:pt idx="21">
                  <c:v>13.455726945149859</c:v>
                </c:pt>
                <c:pt idx="22">
                  <c:v>8.4970675467803503</c:v>
                </c:pt>
                <c:pt idx="23">
                  <c:v>8.7807958999240654</c:v>
                </c:pt>
                <c:pt idx="24">
                  <c:v>2.3043061123802571</c:v>
                </c:pt>
                <c:pt idx="25">
                  <c:v>1.468464846911967</c:v>
                </c:pt>
                <c:pt idx="26">
                  <c:v>2.2699124707019753</c:v>
                </c:pt>
              </c:numCache>
            </c:numRef>
          </c:yVal>
          <c:smooth val="0"/>
          <c:extLst>
            <c:ext xmlns:c16="http://schemas.microsoft.com/office/drawing/2014/chart" uri="{C3380CC4-5D6E-409C-BE32-E72D297353CC}">
              <c16:uniqueId val="{00000002-705C-42CF-80A4-B005B3DB950E}"/>
            </c:ext>
          </c:extLst>
        </c:ser>
        <c:dLbls>
          <c:showLegendKey val="0"/>
          <c:showVal val="0"/>
          <c:showCatName val="0"/>
          <c:showSerName val="0"/>
          <c:showPercent val="0"/>
          <c:showBubbleSize val="0"/>
        </c:dLbls>
        <c:axId val="877342080"/>
        <c:axId val="877344160"/>
      </c:scatterChart>
      <c:valAx>
        <c:axId val="8773420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PFAA content in serum (µg/kg)</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7344160"/>
        <c:crosses val="autoZero"/>
        <c:crossBetween val="midCat"/>
      </c:valAx>
      <c:valAx>
        <c:axId val="8773441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PFAA content in milk (µg/kg)</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734208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8740157499999996" l="0.7" r="0.7" t="0.78740157499999996"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br-PFSAs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'Serum-Milk-Korr'!$CI$3</c:f>
              <c:strCache>
                <c:ptCount val="1"/>
                <c:pt idx="0">
                  <c:v>milk</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0"/>
            <c:trendlineLbl>
              <c:layout>
                <c:manualLayout>
                  <c:x val="0.17557633420822388"/>
                  <c:y val="-6.7646544181977256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'Serum-Milk-Korr'!$CH$4:$CH$30</c:f>
              <c:numCache>
                <c:formatCode>0.00</c:formatCode>
                <c:ptCount val="27"/>
                <c:pt idx="0">
                  <c:v>0</c:v>
                </c:pt>
                <c:pt idx="1">
                  <c:v>0</c:v>
                </c:pt>
                <c:pt idx="2">
                  <c:v>0</c:v>
                </c:pt>
                <c:pt idx="3">
                  <c:v>24.83</c:v>
                </c:pt>
                <c:pt idx="4">
                  <c:v>22.17</c:v>
                </c:pt>
                <c:pt idx="5">
                  <c:v>16.451000000000001</c:v>
                </c:pt>
                <c:pt idx="6">
                  <c:v>455.22999999999996</c:v>
                </c:pt>
                <c:pt idx="7">
                  <c:v>207.87</c:v>
                </c:pt>
                <c:pt idx="8">
                  <c:v>407.12</c:v>
                </c:pt>
                <c:pt idx="9">
                  <c:v>853.64099999999996</c:v>
                </c:pt>
                <c:pt idx="10">
                  <c:v>769.73200000000008</c:v>
                </c:pt>
                <c:pt idx="11">
                  <c:v>918.60199999999998</c:v>
                </c:pt>
                <c:pt idx="12">
                  <c:v>1233.2929999999999</c:v>
                </c:pt>
                <c:pt idx="13">
                  <c:v>895.4</c:v>
                </c:pt>
                <c:pt idx="14">
                  <c:v>1044.636</c:v>
                </c:pt>
                <c:pt idx="15">
                  <c:v>1034.309</c:v>
                </c:pt>
                <c:pt idx="16">
                  <c:v>689.43400000000008</c:v>
                </c:pt>
                <c:pt idx="17">
                  <c:v>851.99900000000002</c:v>
                </c:pt>
                <c:pt idx="18">
                  <c:v>607.72</c:v>
                </c:pt>
                <c:pt idx="19">
                  <c:v>379.95699999999999</c:v>
                </c:pt>
                <c:pt idx="20">
                  <c:v>478.88300000000004</c:v>
                </c:pt>
                <c:pt idx="21">
                  <c:v>190.53</c:v>
                </c:pt>
                <c:pt idx="22">
                  <c:v>166.73999999999998</c:v>
                </c:pt>
                <c:pt idx="23">
                  <c:v>177.23999999999998</c:v>
                </c:pt>
                <c:pt idx="24">
                  <c:v>80.698999999999998</c:v>
                </c:pt>
                <c:pt idx="25">
                  <c:v>53.66</c:v>
                </c:pt>
                <c:pt idx="26">
                  <c:v>89.78</c:v>
                </c:pt>
              </c:numCache>
            </c:numRef>
          </c:xVal>
          <c:yVal>
            <c:numRef>
              <c:f>'Serum-Milk-Korr'!$CI$4:$CI$30</c:f>
              <c:numCache>
                <c:formatCode>0.00</c:formatCode>
                <c:ptCount val="27"/>
                <c:pt idx="0">
                  <c:v>0</c:v>
                </c:pt>
                <c:pt idx="1">
                  <c:v>0</c:v>
                </c:pt>
                <c:pt idx="2">
                  <c:v>0</c:v>
                </c:pt>
                <c:pt idx="3">
                  <c:v>3.2733554250517747</c:v>
                </c:pt>
                <c:pt idx="4">
                  <c:v>0.9801930620487217</c:v>
                </c:pt>
                <c:pt idx="5">
                  <c:v>1.2906521165661904</c:v>
                </c:pt>
                <c:pt idx="6">
                  <c:v>22.229314559566145</c:v>
                </c:pt>
                <c:pt idx="7">
                  <c:v>8.3451799253467609</c:v>
                </c:pt>
                <c:pt idx="8">
                  <c:v>20.36615711574904</c:v>
                </c:pt>
                <c:pt idx="9">
                  <c:v>42.64563173849416</c:v>
                </c:pt>
                <c:pt idx="10">
                  <c:v>12.799352827572617</c:v>
                </c:pt>
                <c:pt idx="11">
                  <c:v>28.6363575397117</c:v>
                </c:pt>
                <c:pt idx="12">
                  <c:v>35.590141684950822</c:v>
                </c:pt>
                <c:pt idx="13">
                  <c:v>21.404306831754301</c:v>
                </c:pt>
                <c:pt idx="14">
                  <c:v>36.285884528124413</c:v>
                </c:pt>
                <c:pt idx="15">
                  <c:v>19.420741536999749</c:v>
                </c:pt>
                <c:pt idx="16">
                  <c:v>10.147326926672427</c:v>
                </c:pt>
                <c:pt idx="17">
                  <c:v>23.474985023539102</c:v>
                </c:pt>
                <c:pt idx="18">
                  <c:v>23.904831552879394</c:v>
                </c:pt>
                <c:pt idx="19">
                  <c:v>14.85628781154904</c:v>
                </c:pt>
                <c:pt idx="20">
                  <c:v>19.111346295197752</c:v>
                </c:pt>
                <c:pt idx="21">
                  <c:v>10.430962172066607</c:v>
                </c:pt>
                <c:pt idx="22">
                  <c:v>6.4369227377429175</c:v>
                </c:pt>
                <c:pt idx="23">
                  <c:v>6.6504186591096195</c:v>
                </c:pt>
                <c:pt idx="24">
                  <c:v>1.550011056019154</c:v>
                </c:pt>
                <c:pt idx="25">
                  <c:v>0.90896587901908676</c:v>
                </c:pt>
                <c:pt idx="26">
                  <c:v>1.5628029057141652</c:v>
                </c:pt>
              </c:numCache>
            </c:numRef>
          </c:yVal>
          <c:smooth val="0"/>
          <c:extLst>
            <c:ext xmlns:c16="http://schemas.microsoft.com/office/drawing/2014/chart" uri="{C3380CC4-5D6E-409C-BE32-E72D297353CC}">
              <c16:uniqueId val="{00000002-AC31-4CFC-9C73-4175133C32D5}"/>
            </c:ext>
          </c:extLst>
        </c:ser>
        <c:dLbls>
          <c:showLegendKey val="0"/>
          <c:showVal val="0"/>
          <c:showCatName val="0"/>
          <c:showSerName val="0"/>
          <c:showPercent val="0"/>
          <c:showBubbleSize val="0"/>
        </c:dLbls>
        <c:axId val="877342080"/>
        <c:axId val="877344160"/>
      </c:scatterChart>
      <c:valAx>
        <c:axId val="8773420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PFAA content in serum (µg/kg)</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7344160"/>
        <c:crosses val="autoZero"/>
        <c:crossBetween val="midCat"/>
      </c:valAx>
      <c:valAx>
        <c:axId val="8773441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PFAA content in milk (µg/kg)</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734208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8740157499999996" l="0.7" r="0.7" t="0.78740157499999996"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n-PFBA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'Serum-Milk-Korr'!$E$3</c:f>
              <c:strCache>
                <c:ptCount val="1"/>
                <c:pt idx="0">
                  <c:v>milk</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0"/>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'Serum-Milk-Korr'!$D$4:$D$30</c:f>
              <c:numCache>
                <c:formatCode>0.00</c:formatCode>
                <c:ptCount val="27"/>
                <c:pt idx="3">
                  <c:v>4.13</c:v>
                </c:pt>
                <c:pt idx="4">
                  <c:v>3.36</c:v>
                </c:pt>
                <c:pt idx="5">
                  <c:v>1.31</c:v>
                </c:pt>
                <c:pt idx="6">
                  <c:v>11.1</c:v>
                </c:pt>
                <c:pt idx="7">
                  <c:v>12.9</c:v>
                </c:pt>
                <c:pt idx="8">
                  <c:v>10.1</c:v>
                </c:pt>
                <c:pt idx="9">
                  <c:v>1.65</c:v>
                </c:pt>
                <c:pt idx="10">
                  <c:v>6.15</c:v>
                </c:pt>
                <c:pt idx="11">
                  <c:v>2.79</c:v>
                </c:pt>
                <c:pt idx="12">
                  <c:v>3.17</c:v>
                </c:pt>
                <c:pt idx="13">
                  <c:v>1.84</c:v>
                </c:pt>
                <c:pt idx="14">
                  <c:v>1.56</c:v>
                </c:pt>
              </c:numCache>
            </c:numRef>
          </c:xVal>
          <c:yVal>
            <c:numRef>
              <c:f>'Serum-Milk-Korr'!$E$4:$E$30</c:f>
              <c:numCache>
                <c:formatCode>0.00</c:formatCode>
                <c:ptCount val="27"/>
                <c:pt idx="0">
                  <c:v>6.9893975387003504E-3</c:v>
                </c:pt>
                <c:pt idx="1">
                  <c:v>7.1586165996728795E-3</c:v>
                </c:pt>
                <c:pt idx="2">
                  <c:v>6.5415614056163899E-3</c:v>
                </c:pt>
                <c:pt idx="3">
                  <c:v>2.24605963039477</c:v>
                </c:pt>
                <c:pt idx="4">
                  <c:v>0.78960623360809801</c:v>
                </c:pt>
                <c:pt idx="5">
                  <c:v>0.279018390056684</c:v>
                </c:pt>
                <c:pt idx="6">
                  <c:v>3.67502333566574</c:v>
                </c:pt>
                <c:pt idx="7">
                  <c:v>2.7551055604085501</c:v>
                </c:pt>
                <c:pt idx="8">
                  <c:v>1.6091218272130901</c:v>
                </c:pt>
                <c:pt idx="9">
                  <c:v>0.47456697291351996</c:v>
                </c:pt>
                <c:pt idx="10">
                  <c:v>0.81752364008779099</c:v>
                </c:pt>
                <c:pt idx="11">
                  <c:v>0.56360375292007203</c:v>
                </c:pt>
                <c:pt idx="12">
                  <c:v>0.68973237880904303</c:v>
                </c:pt>
                <c:pt idx="13">
                  <c:v>0.42947039358863798</c:v>
                </c:pt>
                <c:pt idx="14">
                  <c:v>0.32210511069560199</c:v>
                </c:pt>
                <c:pt idx="15">
                  <c:v>1.0859730285776401E-2</c:v>
                </c:pt>
                <c:pt idx="16">
                  <c:v>9.5133677631140598E-3</c:v>
                </c:pt>
                <c:pt idx="17">
                  <c:v>8.9569253511838989E-3</c:v>
                </c:pt>
                <c:pt idx="18">
                  <c:v>8.4959389958965195E-3</c:v>
                </c:pt>
                <c:pt idx="19">
                  <c:v>7.7130612072629397E-3</c:v>
                </c:pt>
                <c:pt idx="20">
                  <c:v>8.4833231638802194E-3</c:v>
                </c:pt>
                <c:pt idx="21">
                  <c:v>8.6581842585173492E-3</c:v>
                </c:pt>
                <c:pt idx="22">
                  <c:v>1.39176285723316E-2</c:v>
                </c:pt>
                <c:pt idx="23">
                  <c:v>1.25389106650843E-2</c:v>
                </c:pt>
                <c:pt idx="24">
                  <c:v>1.2974791377297701E-2</c:v>
                </c:pt>
                <c:pt idx="25">
                  <c:v>5.3161443800222603E-3</c:v>
                </c:pt>
                <c:pt idx="26">
                  <c:v>9.4373253328608898E-3</c:v>
                </c:pt>
              </c:numCache>
            </c:numRef>
          </c:yVal>
          <c:smooth val="0"/>
          <c:extLst>
            <c:ext xmlns:c16="http://schemas.microsoft.com/office/drawing/2014/chart" uri="{C3380CC4-5D6E-409C-BE32-E72D297353CC}">
              <c16:uniqueId val="{00000000-6B04-4F49-876F-A4D055FDF29B}"/>
            </c:ext>
          </c:extLst>
        </c:ser>
        <c:dLbls>
          <c:showLegendKey val="0"/>
          <c:showVal val="0"/>
          <c:showCatName val="0"/>
          <c:showSerName val="0"/>
          <c:showPercent val="0"/>
          <c:showBubbleSize val="0"/>
        </c:dLbls>
        <c:axId val="877330432"/>
        <c:axId val="877339168"/>
      </c:scatterChart>
      <c:valAx>
        <c:axId val="877330432"/>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7339168"/>
        <c:crosses val="autoZero"/>
        <c:crossBetween val="midCat"/>
      </c:valAx>
      <c:valAx>
        <c:axId val="87733916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733043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8740157499999996" l="0.7" r="0.7" t="0.78740157499999996"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n-PFOA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'Serum-Milk-Korr'!$M$3</c:f>
              <c:strCache>
                <c:ptCount val="1"/>
                <c:pt idx="0">
                  <c:v>milk</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0"/>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'Serum-Milk-Korr'!$L$4:$L$30</c:f>
              <c:numCache>
                <c:formatCode>0.00</c:formatCode>
                <c:ptCount val="27"/>
                <c:pt idx="3">
                  <c:v>5.56</c:v>
                </c:pt>
                <c:pt idx="4">
                  <c:v>2.14</c:v>
                </c:pt>
                <c:pt idx="5">
                  <c:v>0.76</c:v>
                </c:pt>
                <c:pt idx="6">
                  <c:v>12.6</c:v>
                </c:pt>
                <c:pt idx="7">
                  <c:v>12.1</c:v>
                </c:pt>
                <c:pt idx="8">
                  <c:v>7.6</c:v>
                </c:pt>
                <c:pt idx="9">
                  <c:v>1.32</c:v>
                </c:pt>
                <c:pt idx="10">
                  <c:v>3.41</c:v>
                </c:pt>
                <c:pt idx="11">
                  <c:v>1.54</c:v>
                </c:pt>
                <c:pt idx="12">
                  <c:v>2.36</c:v>
                </c:pt>
                <c:pt idx="13">
                  <c:v>1</c:v>
                </c:pt>
              </c:numCache>
            </c:numRef>
          </c:xVal>
          <c:yVal>
            <c:numRef>
              <c:f>'Serum-Milk-Korr'!$M$4:$M$30</c:f>
              <c:numCache>
                <c:formatCode>0.00</c:formatCode>
                <c:ptCount val="27"/>
                <c:pt idx="0">
                  <c:v>0</c:v>
                </c:pt>
                <c:pt idx="1">
                  <c:v>0</c:v>
                </c:pt>
                <c:pt idx="2">
                  <c:v>1.01335748380402E-3</c:v>
                </c:pt>
                <c:pt idx="3">
                  <c:v>0.209595663169868</c:v>
                </c:pt>
                <c:pt idx="4">
                  <c:v>4.0133144250146899E-2</c:v>
                </c:pt>
                <c:pt idx="5">
                  <c:v>3.0518497895284297E-2</c:v>
                </c:pt>
                <c:pt idx="6">
                  <c:v>0.22187965780612298</c:v>
                </c:pt>
                <c:pt idx="7">
                  <c:v>0.17811158942407701</c:v>
                </c:pt>
                <c:pt idx="8">
                  <c:v>0.11524712207587601</c:v>
                </c:pt>
                <c:pt idx="9">
                  <c:v>2.6532308742198498E-2</c:v>
                </c:pt>
                <c:pt idx="10">
                  <c:v>3.3488525233316802E-2</c:v>
                </c:pt>
                <c:pt idx="11">
                  <c:v>2.2925038679851698E-2</c:v>
                </c:pt>
                <c:pt idx="12">
                  <c:v>3.00340268400104E-2</c:v>
                </c:pt>
                <c:pt idx="13">
                  <c:v>1.5007052692955799E-2</c:v>
                </c:pt>
                <c:pt idx="14">
                  <c:v>1.12463808041988E-2</c:v>
                </c:pt>
                <c:pt idx="15">
                  <c:v>2.6515195355113802E-3</c:v>
                </c:pt>
                <c:pt idx="16">
                  <c:v>1.9355260240149E-3</c:v>
                </c:pt>
                <c:pt idx="17">
                  <c:v>1.6774457027934301E-3</c:v>
                </c:pt>
                <c:pt idx="18">
                  <c:v>1.3266456982193699E-3</c:v>
                </c:pt>
                <c:pt idx="19">
                  <c:v>2.41932109422932E-3</c:v>
                </c:pt>
                <c:pt idx="20">
                  <c:v>2.4672001328686697E-3</c:v>
                </c:pt>
                <c:pt idx="21">
                  <c:v>2.4476944836482103E-3</c:v>
                </c:pt>
                <c:pt idx="22">
                  <c:v>0</c:v>
                </c:pt>
                <c:pt idx="23">
                  <c:v>0</c:v>
                </c:pt>
                <c:pt idx="24">
                  <c:v>0</c:v>
                </c:pt>
                <c:pt idx="25">
                  <c:v>0</c:v>
                </c:pt>
                <c:pt idx="26">
                  <c:v>0</c:v>
                </c:pt>
              </c:numCache>
            </c:numRef>
          </c:yVal>
          <c:smooth val="0"/>
          <c:extLst>
            <c:ext xmlns:c16="http://schemas.microsoft.com/office/drawing/2014/chart" uri="{C3380CC4-5D6E-409C-BE32-E72D297353CC}">
              <c16:uniqueId val="{00000000-F9B1-4B1D-86FB-8B085047D645}"/>
            </c:ext>
          </c:extLst>
        </c:ser>
        <c:dLbls>
          <c:showLegendKey val="0"/>
          <c:showVal val="0"/>
          <c:showCatName val="0"/>
          <c:showSerName val="0"/>
          <c:showPercent val="0"/>
          <c:showBubbleSize val="0"/>
        </c:dLbls>
        <c:axId val="879948208"/>
        <c:axId val="879952784"/>
      </c:scatterChart>
      <c:valAx>
        <c:axId val="879948208"/>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9952784"/>
        <c:crosses val="autoZero"/>
        <c:crossBetween val="midCat"/>
      </c:valAx>
      <c:valAx>
        <c:axId val="87995278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994820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8740157499999996" l="0.7" r="0.7" t="0.78740157499999996"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n-PFDA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'Serum-Milk-Korr'!$Q$3</c:f>
              <c:strCache>
                <c:ptCount val="1"/>
                <c:pt idx="0">
                  <c:v>milk</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0"/>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'Serum-Milk-Korr'!$P$4:$P$30</c:f>
              <c:numCache>
                <c:formatCode>0.00</c:formatCode>
                <c:ptCount val="27"/>
                <c:pt idx="6">
                  <c:v>1.19</c:v>
                </c:pt>
                <c:pt idx="7">
                  <c:v>0.76900000000000002</c:v>
                </c:pt>
                <c:pt idx="8">
                  <c:v>1.1299999999999999</c:v>
                </c:pt>
                <c:pt idx="9">
                  <c:v>2.44</c:v>
                </c:pt>
                <c:pt idx="10">
                  <c:v>2.0299999999999998</c:v>
                </c:pt>
                <c:pt idx="11">
                  <c:v>2.34</c:v>
                </c:pt>
                <c:pt idx="12">
                  <c:v>3.32</c:v>
                </c:pt>
                <c:pt idx="13">
                  <c:v>2.59</c:v>
                </c:pt>
                <c:pt idx="14">
                  <c:v>3</c:v>
                </c:pt>
                <c:pt idx="15">
                  <c:v>2.88</c:v>
                </c:pt>
                <c:pt idx="16">
                  <c:v>2.2000000000000002</c:v>
                </c:pt>
                <c:pt idx="17">
                  <c:v>2.35</c:v>
                </c:pt>
                <c:pt idx="18">
                  <c:v>1.86</c:v>
                </c:pt>
                <c:pt idx="19">
                  <c:v>1.4</c:v>
                </c:pt>
                <c:pt idx="20">
                  <c:v>1.56</c:v>
                </c:pt>
                <c:pt idx="21">
                  <c:v>0.85099999999999998</c:v>
                </c:pt>
                <c:pt idx="22">
                  <c:v>0.66100000000000003</c:v>
                </c:pt>
                <c:pt idx="23">
                  <c:v>0.64700000000000002</c:v>
                </c:pt>
              </c:numCache>
            </c:numRef>
          </c:xVal>
          <c:yVal>
            <c:numRef>
              <c:f>'Serum-Milk-Korr'!$Q$4:$Q$30</c:f>
              <c:numCache>
                <c:formatCode>0.00</c:formatCode>
                <c:ptCount val="27"/>
                <c:pt idx="0">
                  <c:v>1.1790775702605201E-2</c:v>
                </c:pt>
                <c:pt idx="1">
                  <c:v>1.38040981363727E-2</c:v>
                </c:pt>
                <c:pt idx="2">
                  <c:v>1.25119338315338E-2</c:v>
                </c:pt>
                <c:pt idx="3">
                  <c:v>3.3389069317713203E-2</c:v>
                </c:pt>
                <c:pt idx="4">
                  <c:v>2.1062998773426902E-2</c:v>
                </c:pt>
                <c:pt idx="5">
                  <c:v>2.64028903773092E-2</c:v>
                </c:pt>
                <c:pt idx="6">
                  <c:v>7.3795781913673808E-2</c:v>
                </c:pt>
                <c:pt idx="7">
                  <c:v>4.3196445494956201E-2</c:v>
                </c:pt>
                <c:pt idx="8">
                  <c:v>8.3871477172770201E-2</c:v>
                </c:pt>
                <c:pt idx="9">
                  <c:v>0.107156169024134</c:v>
                </c:pt>
                <c:pt idx="10">
                  <c:v>4.6570570423550894E-2</c:v>
                </c:pt>
                <c:pt idx="11">
                  <c:v>9.3911152115214197E-2</c:v>
                </c:pt>
                <c:pt idx="12">
                  <c:v>9.3097136993615395E-2</c:v>
                </c:pt>
                <c:pt idx="13">
                  <c:v>6.4711043081659897E-2</c:v>
                </c:pt>
                <c:pt idx="14">
                  <c:v>0.122337683612202</c:v>
                </c:pt>
                <c:pt idx="15">
                  <c:v>6.9676128653275896E-2</c:v>
                </c:pt>
                <c:pt idx="16">
                  <c:v>4.7105444929390602E-2</c:v>
                </c:pt>
                <c:pt idx="17">
                  <c:v>9.1003090713101198E-2</c:v>
                </c:pt>
                <c:pt idx="18">
                  <c:v>8.8128211407214496E-2</c:v>
                </c:pt>
                <c:pt idx="19">
                  <c:v>6.8830983718829994E-2</c:v>
                </c:pt>
                <c:pt idx="20">
                  <c:v>9.8386977554906913E-2</c:v>
                </c:pt>
                <c:pt idx="21">
                  <c:v>5.9942483766367502E-2</c:v>
                </c:pt>
                <c:pt idx="22">
                  <c:v>3.8687961798265696E-2</c:v>
                </c:pt>
                <c:pt idx="23">
                  <c:v>4.07674500930005E-2</c:v>
                </c:pt>
                <c:pt idx="24">
                  <c:v>1.21215463322545E-2</c:v>
                </c:pt>
                <c:pt idx="25">
                  <c:v>0</c:v>
                </c:pt>
                <c:pt idx="26">
                  <c:v>1.10560498443018E-2</c:v>
                </c:pt>
              </c:numCache>
            </c:numRef>
          </c:yVal>
          <c:smooth val="0"/>
          <c:extLst>
            <c:ext xmlns:c16="http://schemas.microsoft.com/office/drawing/2014/chart" uri="{C3380CC4-5D6E-409C-BE32-E72D297353CC}">
              <c16:uniqueId val="{00000000-4E0C-4546-91A1-9618EC5AA3CF}"/>
            </c:ext>
          </c:extLst>
        </c:ser>
        <c:dLbls>
          <c:showLegendKey val="0"/>
          <c:showVal val="0"/>
          <c:showCatName val="0"/>
          <c:showSerName val="0"/>
          <c:showPercent val="0"/>
          <c:showBubbleSize val="0"/>
        </c:dLbls>
        <c:axId val="879458512"/>
        <c:axId val="879477232"/>
      </c:scatterChart>
      <c:valAx>
        <c:axId val="879458512"/>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9477232"/>
        <c:crosses val="autoZero"/>
        <c:crossBetween val="midCat"/>
      </c:valAx>
      <c:valAx>
        <c:axId val="87947723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945851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8740157499999996" l="0.7" r="0.7" t="0.78740157499999996"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n-PFUnDA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'Serum-Milk-Korr'!$S$3</c:f>
              <c:strCache>
                <c:ptCount val="1"/>
                <c:pt idx="0">
                  <c:v>milk</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0"/>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'Serum-Milk-Korr'!$R$4:$R$30</c:f>
              <c:numCache>
                <c:formatCode>0.00</c:formatCode>
                <c:ptCount val="27"/>
                <c:pt idx="6">
                  <c:v>0.76</c:v>
                </c:pt>
                <c:pt idx="8">
                  <c:v>0.69299999999999995</c:v>
                </c:pt>
                <c:pt idx="9">
                  <c:v>1.66</c:v>
                </c:pt>
                <c:pt idx="10">
                  <c:v>1.21</c:v>
                </c:pt>
                <c:pt idx="11">
                  <c:v>1.5</c:v>
                </c:pt>
                <c:pt idx="12">
                  <c:v>2.06</c:v>
                </c:pt>
                <c:pt idx="13">
                  <c:v>1.55</c:v>
                </c:pt>
                <c:pt idx="14">
                  <c:v>1.86</c:v>
                </c:pt>
                <c:pt idx="15">
                  <c:v>1.78</c:v>
                </c:pt>
                <c:pt idx="16">
                  <c:v>1.23</c:v>
                </c:pt>
                <c:pt idx="17">
                  <c:v>1.42</c:v>
                </c:pt>
                <c:pt idx="18">
                  <c:v>1.17</c:v>
                </c:pt>
                <c:pt idx="19">
                  <c:v>0.74299999999999999</c:v>
                </c:pt>
                <c:pt idx="20">
                  <c:v>0.90500000000000003</c:v>
                </c:pt>
              </c:numCache>
            </c:numRef>
          </c:xVal>
          <c:yVal>
            <c:numRef>
              <c:f>'Serum-Milk-Korr'!$S$4:$S$30</c:f>
              <c:numCache>
                <c:formatCode>0.00</c:formatCode>
                <c:ptCount val="27"/>
                <c:pt idx="0">
                  <c:v>0</c:v>
                </c:pt>
                <c:pt idx="1">
                  <c:v>0</c:v>
                </c:pt>
                <c:pt idx="2">
                  <c:v>2.58914829109826E-3</c:v>
                </c:pt>
                <c:pt idx="3">
                  <c:v>9.360817310340809E-3</c:v>
                </c:pt>
                <c:pt idx="4">
                  <c:v>5.5475062293487403E-3</c:v>
                </c:pt>
                <c:pt idx="5">
                  <c:v>7.4585079263439708E-3</c:v>
                </c:pt>
                <c:pt idx="6">
                  <c:v>3.49147823591077E-2</c:v>
                </c:pt>
                <c:pt idx="7">
                  <c:v>1.86194526223438E-2</c:v>
                </c:pt>
                <c:pt idx="8">
                  <c:v>4.1619764345093103E-2</c:v>
                </c:pt>
                <c:pt idx="9">
                  <c:v>5.4210330547925699E-2</c:v>
                </c:pt>
                <c:pt idx="10">
                  <c:v>2.2460409862691998E-2</c:v>
                </c:pt>
                <c:pt idx="11">
                  <c:v>4.99200196084294E-2</c:v>
                </c:pt>
                <c:pt idx="12">
                  <c:v>4.8083620149294799E-2</c:v>
                </c:pt>
                <c:pt idx="13">
                  <c:v>2.7504118597854302E-2</c:v>
                </c:pt>
                <c:pt idx="14">
                  <c:v>5.5610732630760704E-2</c:v>
                </c:pt>
                <c:pt idx="15">
                  <c:v>3.82098923606249E-2</c:v>
                </c:pt>
                <c:pt idx="16">
                  <c:v>2.17988163822024E-2</c:v>
                </c:pt>
                <c:pt idx="17">
                  <c:v>4.0541575175703302E-2</c:v>
                </c:pt>
                <c:pt idx="18">
                  <c:v>3.9919350703616095E-2</c:v>
                </c:pt>
                <c:pt idx="19">
                  <c:v>3.1451860435167796E-2</c:v>
                </c:pt>
                <c:pt idx="20">
                  <c:v>3.4805153877288497E-2</c:v>
                </c:pt>
                <c:pt idx="21">
                  <c:v>2.3069878619327602E-2</c:v>
                </c:pt>
                <c:pt idx="22">
                  <c:v>1.2226508611969701E-2</c:v>
                </c:pt>
                <c:pt idx="23">
                  <c:v>1.2976656648201301E-2</c:v>
                </c:pt>
                <c:pt idx="24">
                  <c:v>2.9100209041917099E-3</c:v>
                </c:pt>
                <c:pt idx="25">
                  <c:v>0</c:v>
                </c:pt>
                <c:pt idx="26">
                  <c:v>0</c:v>
                </c:pt>
              </c:numCache>
            </c:numRef>
          </c:yVal>
          <c:smooth val="0"/>
          <c:extLst>
            <c:ext xmlns:c16="http://schemas.microsoft.com/office/drawing/2014/chart" uri="{C3380CC4-5D6E-409C-BE32-E72D297353CC}">
              <c16:uniqueId val="{00000000-82F3-41EB-96FD-766137D4EB58}"/>
            </c:ext>
          </c:extLst>
        </c:ser>
        <c:dLbls>
          <c:showLegendKey val="0"/>
          <c:showVal val="0"/>
          <c:showCatName val="0"/>
          <c:showSerName val="0"/>
          <c:showPercent val="0"/>
          <c:showBubbleSize val="0"/>
        </c:dLbls>
        <c:axId val="879933232"/>
        <c:axId val="879946960"/>
      </c:scatterChart>
      <c:valAx>
        <c:axId val="879933232"/>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9946960"/>
        <c:crosses val="autoZero"/>
        <c:crossBetween val="midCat"/>
      </c:valAx>
      <c:valAx>
        <c:axId val="87994696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993323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8740157499999996" l="0.7" r="0.7" t="0.78740157499999996"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n-PFDoDA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'Serum-Milk-Korr'!$U$3</c:f>
              <c:strCache>
                <c:ptCount val="1"/>
                <c:pt idx="0">
                  <c:v>milk</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0"/>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'Serum-Milk-Korr'!$T$4:$T$30</c:f>
              <c:numCache>
                <c:formatCode>0.00</c:formatCode>
                <c:ptCount val="27"/>
                <c:pt idx="6">
                  <c:v>1.27</c:v>
                </c:pt>
                <c:pt idx="7">
                  <c:v>0.65</c:v>
                </c:pt>
                <c:pt idx="8">
                  <c:v>1.27</c:v>
                </c:pt>
                <c:pt idx="9">
                  <c:v>2.27</c:v>
                </c:pt>
                <c:pt idx="10">
                  <c:v>1.81</c:v>
                </c:pt>
                <c:pt idx="11">
                  <c:v>2.0099999999999998</c:v>
                </c:pt>
                <c:pt idx="12">
                  <c:v>2.62</c:v>
                </c:pt>
                <c:pt idx="13">
                  <c:v>1.82</c:v>
                </c:pt>
                <c:pt idx="14">
                  <c:v>2.0699999999999998</c:v>
                </c:pt>
                <c:pt idx="15">
                  <c:v>2.2000000000000002</c:v>
                </c:pt>
                <c:pt idx="16">
                  <c:v>1.52</c:v>
                </c:pt>
                <c:pt idx="17">
                  <c:v>1.55</c:v>
                </c:pt>
                <c:pt idx="18">
                  <c:v>1.2</c:v>
                </c:pt>
                <c:pt idx="19">
                  <c:v>0.8</c:v>
                </c:pt>
                <c:pt idx="20">
                  <c:v>0.75900000000000001</c:v>
                </c:pt>
              </c:numCache>
            </c:numRef>
          </c:xVal>
          <c:yVal>
            <c:numRef>
              <c:f>'Serum-Milk-Korr'!$U$4:$U$30</c:f>
              <c:numCache>
                <c:formatCode>0.00</c:formatCode>
                <c:ptCount val="27"/>
                <c:pt idx="0">
                  <c:v>0</c:v>
                </c:pt>
                <c:pt idx="1">
                  <c:v>0</c:v>
                </c:pt>
                <c:pt idx="2">
                  <c:v>0</c:v>
                </c:pt>
                <c:pt idx="3">
                  <c:v>7.89648505321092E-3</c:v>
                </c:pt>
                <c:pt idx="4">
                  <c:v>0</c:v>
                </c:pt>
                <c:pt idx="5">
                  <c:v>0</c:v>
                </c:pt>
                <c:pt idx="6">
                  <c:v>2.9367155782343599E-2</c:v>
                </c:pt>
                <c:pt idx="7">
                  <c:v>1.69262717975509E-2</c:v>
                </c:pt>
                <c:pt idx="8">
                  <c:v>3.4153800334022003E-2</c:v>
                </c:pt>
                <c:pt idx="9">
                  <c:v>4.00500470331797E-2</c:v>
                </c:pt>
                <c:pt idx="10">
                  <c:v>1.7348980508508301E-2</c:v>
                </c:pt>
                <c:pt idx="11">
                  <c:v>3.1663821973688298E-2</c:v>
                </c:pt>
                <c:pt idx="12">
                  <c:v>3.9158369226801597E-2</c:v>
                </c:pt>
                <c:pt idx="13">
                  <c:v>2.3506400259173499E-2</c:v>
                </c:pt>
                <c:pt idx="14">
                  <c:v>3.5579949787219102E-2</c:v>
                </c:pt>
                <c:pt idx="15">
                  <c:v>2.6949181076347601E-2</c:v>
                </c:pt>
                <c:pt idx="16">
                  <c:v>1.62668779880514E-2</c:v>
                </c:pt>
                <c:pt idx="17">
                  <c:v>2.5023743811544399E-2</c:v>
                </c:pt>
                <c:pt idx="18">
                  <c:v>2.25663423294197E-2</c:v>
                </c:pt>
                <c:pt idx="19">
                  <c:v>1.6122531047794299E-2</c:v>
                </c:pt>
                <c:pt idx="20">
                  <c:v>1.6264082775781501E-2</c:v>
                </c:pt>
                <c:pt idx="21">
                  <c:v>9.9867257502593912E-3</c:v>
                </c:pt>
                <c:pt idx="22">
                  <c:v>5.1444886890135997E-3</c:v>
                </c:pt>
                <c:pt idx="23">
                  <c:v>0</c:v>
                </c:pt>
                <c:pt idx="24">
                  <c:v>0</c:v>
                </c:pt>
                <c:pt idx="25">
                  <c:v>0</c:v>
                </c:pt>
                <c:pt idx="26">
                  <c:v>0</c:v>
                </c:pt>
              </c:numCache>
            </c:numRef>
          </c:yVal>
          <c:smooth val="0"/>
          <c:extLst>
            <c:ext xmlns:c16="http://schemas.microsoft.com/office/drawing/2014/chart" uri="{C3380CC4-5D6E-409C-BE32-E72D297353CC}">
              <c16:uniqueId val="{00000000-B87D-42AB-92F0-EBE790E7AAB9}"/>
            </c:ext>
          </c:extLst>
        </c:ser>
        <c:dLbls>
          <c:showLegendKey val="0"/>
          <c:showVal val="0"/>
          <c:showCatName val="0"/>
          <c:showSerName val="0"/>
          <c:showPercent val="0"/>
          <c:showBubbleSize val="0"/>
        </c:dLbls>
        <c:axId val="776997264"/>
        <c:axId val="777002256"/>
      </c:scatterChart>
      <c:valAx>
        <c:axId val="77699726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7002256"/>
        <c:crosses val="autoZero"/>
        <c:crossBetween val="midCat"/>
      </c:valAx>
      <c:valAx>
        <c:axId val="77700225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699726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8740157499999996" l="0.7" r="0.7" t="0.78740157499999996"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n-PFTrDA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'Serum-Milk-Korr'!$W$3</c:f>
              <c:strCache>
                <c:ptCount val="1"/>
                <c:pt idx="0">
                  <c:v>milk</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0"/>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'Serum-Milk-Korr'!$V$4:$V$30</c:f>
              <c:numCache>
                <c:formatCode>0.00</c:formatCode>
                <c:ptCount val="27"/>
                <c:pt idx="6">
                  <c:v>1.48</c:v>
                </c:pt>
                <c:pt idx="7">
                  <c:v>0.67800000000000005</c:v>
                </c:pt>
                <c:pt idx="8">
                  <c:v>1.49</c:v>
                </c:pt>
                <c:pt idx="9">
                  <c:v>1.74</c:v>
                </c:pt>
                <c:pt idx="10">
                  <c:v>1.31</c:v>
                </c:pt>
                <c:pt idx="11">
                  <c:v>1.39</c:v>
                </c:pt>
                <c:pt idx="12">
                  <c:v>2.02</c:v>
                </c:pt>
                <c:pt idx="13">
                  <c:v>1.27</c:v>
                </c:pt>
                <c:pt idx="14">
                  <c:v>1.21</c:v>
                </c:pt>
                <c:pt idx="15">
                  <c:v>1.27</c:v>
                </c:pt>
                <c:pt idx="16">
                  <c:v>0.75</c:v>
                </c:pt>
                <c:pt idx="17">
                  <c:v>0.65900000000000003</c:v>
                </c:pt>
              </c:numCache>
            </c:numRef>
          </c:xVal>
          <c:yVal>
            <c:numRef>
              <c:f>'Serum-Milk-Korr'!$W$4:$W$30</c:f>
              <c:numCache>
                <c:formatCode>0.00</c:formatCode>
                <c:ptCount val="27"/>
                <c:pt idx="0">
                  <c:v>0</c:v>
                </c:pt>
                <c:pt idx="1">
                  <c:v>0</c:v>
                </c:pt>
                <c:pt idx="2">
                  <c:v>0</c:v>
                </c:pt>
                <c:pt idx="3">
                  <c:v>0</c:v>
                </c:pt>
                <c:pt idx="4">
                  <c:v>0</c:v>
                </c:pt>
                <c:pt idx="5">
                  <c:v>0</c:v>
                </c:pt>
                <c:pt idx="6">
                  <c:v>1.177727502749E-2</c:v>
                </c:pt>
                <c:pt idx="7">
                  <c:v>5.0055865967406302E-3</c:v>
                </c:pt>
                <c:pt idx="8">
                  <c:v>1.2351631347168199E-2</c:v>
                </c:pt>
                <c:pt idx="9">
                  <c:v>1.5297612110506099E-2</c:v>
                </c:pt>
                <c:pt idx="10">
                  <c:v>5.7448802761218692E-3</c:v>
                </c:pt>
                <c:pt idx="11">
                  <c:v>1.20682546284227E-2</c:v>
                </c:pt>
                <c:pt idx="12">
                  <c:v>1.4108046349941599E-2</c:v>
                </c:pt>
                <c:pt idx="13">
                  <c:v>7.4245700138655703E-3</c:v>
                </c:pt>
                <c:pt idx="14">
                  <c:v>1.1383355976669301E-2</c:v>
                </c:pt>
                <c:pt idx="15">
                  <c:v>1.01318094645198E-2</c:v>
                </c:pt>
                <c:pt idx="16">
                  <c:v>5.67138636541585E-3</c:v>
                </c:pt>
                <c:pt idx="17">
                  <c:v>7.2839433494401098E-3</c:v>
                </c:pt>
                <c:pt idx="18">
                  <c:v>5.2747902711915394E-3</c:v>
                </c:pt>
                <c:pt idx="19">
                  <c:v>4.2434378520402501E-3</c:v>
                </c:pt>
                <c:pt idx="20">
                  <c:v>3.97840578786764E-3</c:v>
                </c:pt>
                <c:pt idx="21">
                  <c:v>0</c:v>
                </c:pt>
                <c:pt idx="22">
                  <c:v>0</c:v>
                </c:pt>
                <c:pt idx="23">
                  <c:v>0</c:v>
                </c:pt>
                <c:pt idx="24">
                  <c:v>0</c:v>
                </c:pt>
                <c:pt idx="25">
                  <c:v>0</c:v>
                </c:pt>
                <c:pt idx="26">
                  <c:v>0</c:v>
                </c:pt>
              </c:numCache>
            </c:numRef>
          </c:yVal>
          <c:smooth val="0"/>
          <c:extLst>
            <c:ext xmlns:c16="http://schemas.microsoft.com/office/drawing/2014/chart" uri="{C3380CC4-5D6E-409C-BE32-E72D297353CC}">
              <c16:uniqueId val="{00000000-71C4-4530-948F-D5A07B33A6AA}"/>
            </c:ext>
          </c:extLst>
        </c:ser>
        <c:dLbls>
          <c:showLegendKey val="0"/>
          <c:showVal val="0"/>
          <c:showCatName val="0"/>
          <c:showSerName val="0"/>
          <c:showPercent val="0"/>
          <c:showBubbleSize val="0"/>
        </c:dLbls>
        <c:axId val="1079766992"/>
        <c:axId val="1079769904"/>
      </c:scatterChart>
      <c:valAx>
        <c:axId val="1079766992"/>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9769904"/>
        <c:crosses val="autoZero"/>
        <c:crossBetween val="midCat"/>
      </c:valAx>
      <c:valAx>
        <c:axId val="107976990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976699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8740157499999996" l="0.7" r="0.7" t="0.78740157499999996"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n-PFTeDA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'Serum-Milk-Korr'!$Y$3</c:f>
              <c:strCache>
                <c:ptCount val="1"/>
                <c:pt idx="0">
                  <c:v>milk</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0"/>
            <c:trendlineLbl>
              <c:layout>
                <c:manualLayout>
                  <c:x val="0.21753884212749269"/>
                  <c:y val="0.22297499844753865"/>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'Serum-Milk-Korr'!$X$4:$X$30</c:f>
              <c:numCache>
                <c:formatCode>0.00</c:formatCode>
                <c:ptCount val="27"/>
                <c:pt idx="6">
                  <c:v>0.998</c:v>
                </c:pt>
                <c:pt idx="8">
                  <c:v>0.92100000000000004</c:v>
                </c:pt>
                <c:pt idx="9">
                  <c:v>0.60699999999999998</c:v>
                </c:pt>
                <c:pt idx="12">
                  <c:v>0.82299999999999995</c:v>
                </c:pt>
                <c:pt idx="13">
                  <c:v>0.51700000000000002</c:v>
                </c:pt>
              </c:numCache>
            </c:numRef>
          </c:xVal>
          <c:yVal>
            <c:numRef>
              <c:f>'Serum-Milk-Korr'!$Y$4:$Y$30</c:f>
              <c:numCache>
                <c:formatCode>0.00</c:formatCode>
                <c:ptCount val="27"/>
                <c:pt idx="0">
                  <c:v>0</c:v>
                </c:pt>
                <c:pt idx="1">
                  <c:v>0</c:v>
                </c:pt>
                <c:pt idx="2">
                  <c:v>0</c:v>
                </c:pt>
                <c:pt idx="3">
                  <c:v>0</c:v>
                </c:pt>
                <c:pt idx="4">
                  <c:v>0</c:v>
                </c:pt>
                <c:pt idx="5">
                  <c:v>0</c:v>
                </c:pt>
                <c:pt idx="6">
                  <c:v>3.71900619133E-3</c:v>
                </c:pt>
                <c:pt idx="7">
                  <c:v>0</c:v>
                </c:pt>
                <c:pt idx="8">
                  <c:v>4.0851702599383208E-3</c:v>
                </c:pt>
                <c:pt idx="9">
                  <c:v>3.8852212077120298E-3</c:v>
                </c:pt>
                <c:pt idx="10">
                  <c:v>0</c:v>
                </c:pt>
                <c:pt idx="11">
                  <c:v>3.1217518201245098E-3</c:v>
                </c:pt>
                <c:pt idx="12">
                  <c:v>4.3675021552802996E-3</c:v>
                </c:pt>
                <c:pt idx="13">
                  <c:v>2.8705064614474199E-3</c:v>
                </c:pt>
                <c:pt idx="14">
                  <c:v>3.1216667510384601E-3</c:v>
                </c:pt>
                <c:pt idx="15">
                  <c:v>3.29461466420089E-3</c:v>
                </c:pt>
                <c:pt idx="16">
                  <c:v>0</c:v>
                </c:pt>
                <c:pt idx="17">
                  <c:v>0</c:v>
                </c:pt>
                <c:pt idx="18">
                  <c:v>0</c:v>
                </c:pt>
                <c:pt idx="19">
                  <c:v>0</c:v>
                </c:pt>
                <c:pt idx="20">
                  <c:v>0</c:v>
                </c:pt>
                <c:pt idx="21">
                  <c:v>0</c:v>
                </c:pt>
                <c:pt idx="22">
                  <c:v>0</c:v>
                </c:pt>
                <c:pt idx="23">
                  <c:v>0</c:v>
                </c:pt>
                <c:pt idx="24">
                  <c:v>0</c:v>
                </c:pt>
                <c:pt idx="25">
                  <c:v>0</c:v>
                </c:pt>
                <c:pt idx="26">
                  <c:v>0</c:v>
                </c:pt>
              </c:numCache>
            </c:numRef>
          </c:yVal>
          <c:smooth val="0"/>
          <c:extLst>
            <c:ext xmlns:c16="http://schemas.microsoft.com/office/drawing/2014/chart" uri="{C3380CC4-5D6E-409C-BE32-E72D297353CC}">
              <c16:uniqueId val="{00000000-6827-4417-9464-8006DA89DC8B}"/>
            </c:ext>
          </c:extLst>
        </c:ser>
        <c:dLbls>
          <c:showLegendKey val="0"/>
          <c:showVal val="0"/>
          <c:showCatName val="0"/>
          <c:showSerName val="0"/>
          <c:showPercent val="0"/>
          <c:showBubbleSize val="0"/>
        </c:dLbls>
        <c:axId val="1079779056"/>
        <c:axId val="1079804848"/>
      </c:scatterChart>
      <c:valAx>
        <c:axId val="107977905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9804848"/>
        <c:crosses val="autoZero"/>
        <c:crossBetween val="midCat"/>
      </c:valAx>
      <c:valAx>
        <c:axId val="107980484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977905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8740157499999996" l="0.7" r="0.7" t="0.78740157499999996"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n-PFHxS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'Serum-Milk-Korr'!$AE$3</c:f>
              <c:strCache>
                <c:ptCount val="1"/>
                <c:pt idx="0">
                  <c:v>milk</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0"/>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'Serum-Milk-Korr'!$AD$4:$AD$30</c:f>
              <c:numCache>
                <c:formatCode>0.00</c:formatCode>
                <c:ptCount val="27"/>
                <c:pt idx="3">
                  <c:v>0.54200000000000004</c:v>
                </c:pt>
                <c:pt idx="6">
                  <c:v>3.32</c:v>
                </c:pt>
                <c:pt idx="7">
                  <c:v>1.71</c:v>
                </c:pt>
                <c:pt idx="8">
                  <c:v>2.4500000000000002</c:v>
                </c:pt>
                <c:pt idx="9">
                  <c:v>5.88</c:v>
                </c:pt>
                <c:pt idx="10">
                  <c:v>5</c:v>
                </c:pt>
                <c:pt idx="11">
                  <c:v>4.88</c:v>
                </c:pt>
                <c:pt idx="12">
                  <c:v>5.03</c:v>
                </c:pt>
                <c:pt idx="13">
                  <c:v>3.22</c:v>
                </c:pt>
                <c:pt idx="14">
                  <c:v>3.13</c:v>
                </c:pt>
                <c:pt idx="15">
                  <c:v>3.69</c:v>
                </c:pt>
                <c:pt idx="16">
                  <c:v>2.2400000000000002</c:v>
                </c:pt>
                <c:pt idx="17">
                  <c:v>1.58</c:v>
                </c:pt>
                <c:pt idx="18">
                  <c:v>0.995</c:v>
                </c:pt>
              </c:numCache>
            </c:numRef>
          </c:xVal>
          <c:yVal>
            <c:numRef>
              <c:f>'Serum-Milk-Korr'!$AE$4:$AE$30</c:f>
              <c:numCache>
                <c:formatCode>0.00</c:formatCode>
                <c:ptCount val="27"/>
                <c:pt idx="0">
                  <c:v>0</c:v>
                </c:pt>
                <c:pt idx="1">
                  <c:v>0</c:v>
                </c:pt>
                <c:pt idx="2">
                  <c:v>0</c:v>
                </c:pt>
                <c:pt idx="3">
                  <c:v>0</c:v>
                </c:pt>
                <c:pt idx="4">
                  <c:v>0</c:v>
                </c:pt>
                <c:pt idx="5">
                  <c:v>0</c:v>
                </c:pt>
                <c:pt idx="6">
                  <c:v>1.6660111714123901E-2</c:v>
                </c:pt>
                <c:pt idx="7">
                  <c:v>1.1395948625353799E-2</c:v>
                </c:pt>
                <c:pt idx="8">
                  <c:v>1.20643796393429E-2</c:v>
                </c:pt>
                <c:pt idx="9">
                  <c:v>2.9408653847937602E-2</c:v>
                </c:pt>
                <c:pt idx="10">
                  <c:v>1.8867048921763198E-2</c:v>
                </c:pt>
                <c:pt idx="11">
                  <c:v>1.9187682386456299E-2</c:v>
                </c:pt>
                <c:pt idx="12">
                  <c:v>1.8373239981052902E-2</c:v>
                </c:pt>
                <c:pt idx="13">
                  <c:v>1.2895731141396799E-2</c:v>
                </c:pt>
                <c:pt idx="14">
                  <c:v>1.2333846591473E-2</c:v>
                </c:pt>
                <c:pt idx="15">
                  <c:v>1.1028218196287201E-2</c:v>
                </c:pt>
                <c:pt idx="16">
                  <c:v>5.9754643161275397E-3</c:v>
                </c:pt>
                <c:pt idx="17">
                  <c:v>5.5429119425641606E-3</c:v>
                </c:pt>
                <c:pt idx="18">
                  <c:v>0</c:v>
                </c:pt>
                <c:pt idx="19">
                  <c:v>0</c:v>
                </c:pt>
                <c:pt idx="20">
                  <c:v>0</c:v>
                </c:pt>
                <c:pt idx="21">
                  <c:v>0</c:v>
                </c:pt>
                <c:pt idx="22">
                  <c:v>0</c:v>
                </c:pt>
                <c:pt idx="23">
                  <c:v>0</c:v>
                </c:pt>
                <c:pt idx="24">
                  <c:v>0</c:v>
                </c:pt>
                <c:pt idx="25">
                  <c:v>0</c:v>
                </c:pt>
                <c:pt idx="26">
                  <c:v>0</c:v>
                </c:pt>
              </c:numCache>
            </c:numRef>
          </c:yVal>
          <c:smooth val="0"/>
          <c:extLst>
            <c:ext xmlns:c16="http://schemas.microsoft.com/office/drawing/2014/chart" uri="{C3380CC4-5D6E-409C-BE32-E72D297353CC}">
              <c16:uniqueId val="{00000000-A4AA-4074-92B7-533D9C0E306A}"/>
            </c:ext>
          </c:extLst>
        </c:ser>
        <c:dLbls>
          <c:showLegendKey val="0"/>
          <c:showVal val="0"/>
          <c:showCatName val="0"/>
          <c:showSerName val="0"/>
          <c:showPercent val="0"/>
          <c:showBubbleSize val="0"/>
        </c:dLbls>
        <c:axId val="871550064"/>
        <c:axId val="871551312"/>
      </c:scatterChart>
      <c:valAx>
        <c:axId val="87155006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1551312"/>
        <c:crosses val="autoZero"/>
        <c:crossBetween val="midCat"/>
      </c:valAx>
      <c:valAx>
        <c:axId val="8715513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155006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8740157499999996" l="0.7" r="0.7" t="0.78740157499999996"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n-PFHpS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'Serum-Milk-Korr'!$AG$3</c:f>
              <c:strCache>
                <c:ptCount val="1"/>
                <c:pt idx="0">
                  <c:v>milk</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0"/>
            <c:trendlineLbl>
              <c:layout>
                <c:manualLayout>
                  <c:x val="0.17652532322348596"/>
                  <c:y val="-8.3192669247970502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'Serum-Milk-Korr'!$AF$4:$AF$30</c:f>
              <c:numCache>
                <c:formatCode>0.00</c:formatCode>
                <c:ptCount val="27"/>
                <c:pt idx="6">
                  <c:v>1.48</c:v>
                </c:pt>
                <c:pt idx="7">
                  <c:v>0.65300000000000002</c:v>
                </c:pt>
                <c:pt idx="8">
                  <c:v>1.1599999999999999</c:v>
                </c:pt>
                <c:pt idx="9">
                  <c:v>5.04</c:v>
                </c:pt>
                <c:pt idx="10">
                  <c:v>4.13</c:v>
                </c:pt>
                <c:pt idx="11">
                  <c:v>4.58</c:v>
                </c:pt>
                <c:pt idx="12">
                  <c:v>6.65</c:v>
                </c:pt>
                <c:pt idx="13">
                  <c:v>4.6500000000000004</c:v>
                </c:pt>
                <c:pt idx="14">
                  <c:v>5.76</c:v>
                </c:pt>
                <c:pt idx="15">
                  <c:v>5.71</c:v>
                </c:pt>
                <c:pt idx="16">
                  <c:v>3.6</c:v>
                </c:pt>
                <c:pt idx="17">
                  <c:v>4.21</c:v>
                </c:pt>
                <c:pt idx="18">
                  <c:v>3.08</c:v>
                </c:pt>
                <c:pt idx="19">
                  <c:v>1.8</c:v>
                </c:pt>
                <c:pt idx="20">
                  <c:v>1.97</c:v>
                </c:pt>
                <c:pt idx="21">
                  <c:v>0.85499999999999998</c:v>
                </c:pt>
              </c:numCache>
            </c:numRef>
          </c:xVal>
          <c:yVal>
            <c:numRef>
              <c:f>'Serum-Milk-Korr'!$AG$4:$AG$30</c:f>
              <c:numCache>
                <c:formatCode>0.00</c:formatCode>
                <c:ptCount val="27"/>
                <c:pt idx="0">
                  <c:v>0</c:v>
                </c:pt>
                <c:pt idx="1">
                  <c:v>0</c:v>
                </c:pt>
                <c:pt idx="2">
                  <c:v>0</c:v>
                </c:pt>
                <c:pt idx="3">
                  <c:v>0</c:v>
                </c:pt>
                <c:pt idx="4">
                  <c:v>0</c:v>
                </c:pt>
                <c:pt idx="5">
                  <c:v>0</c:v>
                </c:pt>
                <c:pt idx="6">
                  <c:v>1.1517704350125901E-2</c:v>
                </c:pt>
                <c:pt idx="7">
                  <c:v>6.0242160625142193E-3</c:v>
                </c:pt>
                <c:pt idx="8">
                  <c:v>9.1155236529303005E-3</c:v>
                </c:pt>
                <c:pt idx="9">
                  <c:v>2.2203826120604401E-2</c:v>
                </c:pt>
                <c:pt idx="10">
                  <c:v>1.0689204284392399E-2</c:v>
                </c:pt>
                <c:pt idx="11">
                  <c:v>1.74804326784944E-2</c:v>
                </c:pt>
                <c:pt idx="12">
                  <c:v>1.9789815939691303E-2</c:v>
                </c:pt>
                <c:pt idx="13">
                  <c:v>1.1529417582512001E-2</c:v>
                </c:pt>
                <c:pt idx="14">
                  <c:v>1.7616738110509601E-2</c:v>
                </c:pt>
                <c:pt idx="15">
                  <c:v>1.37345436145476E-2</c:v>
                </c:pt>
                <c:pt idx="16">
                  <c:v>8.002606638203319E-3</c:v>
                </c:pt>
                <c:pt idx="17">
                  <c:v>1.2414674305087499E-2</c:v>
                </c:pt>
                <c:pt idx="18">
                  <c:v>1.5520974681841701E-2</c:v>
                </c:pt>
                <c:pt idx="19">
                  <c:v>8.3993123611177702E-3</c:v>
                </c:pt>
                <c:pt idx="20">
                  <c:v>9.31232988685924E-3</c:v>
                </c:pt>
                <c:pt idx="21">
                  <c:v>7.0807903770288205E-3</c:v>
                </c:pt>
                <c:pt idx="22">
                  <c:v>0</c:v>
                </c:pt>
                <c:pt idx="23">
                  <c:v>2.9274581458242997E-3</c:v>
                </c:pt>
                <c:pt idx="24">
                  <c:v>0</c:v>
                </c:pt>
                <c:pt idx="25">
                  <c:v>0</c:v>
                </c:pt>
                <c:pt idx="26">
                  <c:v>0</c:v>
                </c:pt>
              </c:numCache>
            </c:numRef>
          </c:yVal>
          <c:smooth val="0"/>
          <c:extLst>
            <c:ext xmlns:c16="http://schemas.microsoft.com/office/drawing/2014/chart" uri="{C3380CC4-5D6E-409C-BE32-E72D297353CC}">
              <c16:uniqueId val="{00000000-04B9-441E-A219-0C56F544B631}"/>
            </c:ext>
          </c:extLst>
        </c:ser>
        <c:dLbls>
          <c:showLegendKey val="0"/>
          <c:showVal val="0"/>
          <c:showCatName val="0"/>
          <c:showSerName val="0"/>
          <c:showPercent val="0"/>
          <c:showBubbleSize val="0"/>
        </c:dLbls>
        <c:axId val="877336256"/>
        <c:axId val="877347488"/>
      </c:scatterChart>
      <c:valAx>
        <c:axId val="87733625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7347488"/>
        <c:crosses val="autoZero"/>
        <c:crossBetween val="midCat"/>
      </c:valAx>
      <c:valAx>
        <c:axId val="87734748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733625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8740157499999996" l="0.7" r="0.7" t="0.78740157499999996"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n-PFOS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'Serum-Milk-Korr'!$AI$3</c:f>
              <c:strCache>
                <c:ptCount val="1"/>
                <c:pt idx="0">
                  <c:v>milk</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0"/>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'Serum-Milk-Korr'!$AH$4:$AH$30</c:f>
              <c:numCache>
                <c:formatCode>0.00</c:formatCode>
                <c:ptCount val="27"/>
                <c:pt idx="3">
                  <c:v>7.06</c:v>
                </c:pt>
                <c:pt idx="4">
                  <c:v>5.17</c:v>
                </c:pt>
                <c:pt idx="5">
                  <c:v>3.83</c:v>
                </c:pt>
                <c:pt idx="6">
                  <c:v>124</c:v>
                </c:pt>
                <c:pt idx="7">
                  <c:v>63.3</c:v>
                </c:pt>
                <c:pt idx="8">
                  <c:v>117</c:v>
                </c:pt>
                <c:pt idx="9">
                  <c:v>285</c:v>
                </c:pt>
                <c:pt idx="10">
                  <c:v>248</c:v>
                </c:pt>
                <c:pt idx="11">
                  <c:v>287</c:v>
                </c:pt>
                <c:pt idx="12">
                  <c:v>415</c:v>
                </c:pt>
                <c:pt idx="13">
                  <c:v>323</c:v>
                </c:pt>
                <c:pt idx="14">
                  <c:v>398</c:v>
                </c:pt>
                <c:pt idx="15">
                  <c:v>365</c:v>
                </c:pt>
                <c:pt idx="16">
                  <c:v>290</c:v>
                </c:pt>
                <c:pt idx="17">
                  <c:v>324</c:v>
                </c:pt>
                <c:pt idx="18">
                  <c:v>245</c:v>
                </c:pt>
                <c:pt idx="19">
                  <c:v>181</c:v>
                </c:pt>
                <c:pt idx="20">
                  <c:v>216</c:v>
                </c:pt>
                <c:pt idx="21">
                  <c:v>99.1</c:v>
                </c:pt>
                <c:pt idx="22">
                  <c:v>89.2</c:v>
                </c:pt>
                <c:pt idx="23">
                  <c:v>99.9</c:v>
                </c:pt>
                <c:pt idx="24">
                  <c:v>45.6</c:v>
                </c:pt>
                <c:pt idx="25">
                  <c:v>35.6</c:v>
                </c:pt>
                <c:pt idx="26">
                  <c:v>54.4</c:v>
                </c:pt>
              </c:numCache>
            </c:numRef>
          </c:xVal>
          <c:yVal>
            <c:numRef>
              <c:f>'Serum-Milk-Korr'!$AI$4:$AI$30</c:f>
              <c:numCache>
                <c:formatCode>0.00</c:formatCode>
                <c:ptCount val="27"/>
                <c:pt idx="0">
                  <c:v>0</c:v>
                </c:pt>
                <c:pt idx="1">
                  <c:v>0</c:v>
                </c:pt>
                <c:pt idx="2">
                  <c:v>0</c:v>
                </c:pt>
                <c:pt idx="3">
                  <c:v>1.87660381699656</c:v>
                </c:pt>
                <c:pt idx="4">
                  <c:v>0.50523927403996205</c:v>
                </c:pt>
                <c:pt idx="5">
                  <c:v>0.63925431093827101</c:v>
                </c:pt>
                <c:pt idx="6">
                  <c:v>10.835528744974001</c:v>
                </c:pt>
                <c:pt idx="7">
                  <c:v>4.5231807834538307</c:v>
                </c:pt>
                <c:pt idx="8">
                  <c:v>9.8357407093285687</c:v>
                </c:pt>
                <c:pt idx="9">
                  <c:v>17.950616136018301</c:v>
                </c:pt>
                <c:pt idx="10">
                  <c:v>6.4683392317634496</c:v>
                </c:pt>
                <c:pt idx="11">
                  <c:v>14.209710185902601</c:v>
                </c:pt>
                <c:pt idx="12">
                  <c:v>15.308263091115199</c:v>
                </c:pt>
                <c:pt idx="13">
                  <c:v>10.1008984194719</c:v>
                </c:pt>
                <c:pt idx="14">
                  <c:v>17.773688354314501</c:v>
                </c:pt>
                <c:pt idx="15">
                  <c:v>11.191836639536399</c:v>
                </c:pt>
                <c:pt idx="16">
                  <c:v>7.34638398120312</c:v>
                </c:pt>
                <c:pt idx="17">
                  <c:v>13.704638869157399</c:v>
                </c:pt>
                <c:pt idx="18">
                  <c:v>13.078703887668301</c:v>
                </c:pt>
                <c:pt idx="19">
                  <c:v>10.4668798676493</c:v>
                </c:pt>
                <c:pt idx="20">
                  <c:v>12.7958967618153</c:v>
                </c:pt>
                <c:pt idx="21">
                  <c:v>8.57577453323408</c:v>
                </c:pt>
                <c:pt idx="22">
                  <c:v>5.7910253994052301</c:v>
                </c:pt>
                <c:pt idx="23">
                  <c:v>6.28796748858485</c:v>
                </c:pt>
                <c:pt idx="24">
                  <c:v>1.8633306904098399</c:v>
                </c:pt>
                <c:pt idx="25">
                  <c:v>1.26381722648068</c:v>
                </c:pt>
                <c:pt idx="26">
                  <c:v>1.9897611904925401</c:v>
                </c:pt>
              </c:numCache>
            </c:numRef>
          </c:yVal>
          <c:smooth val="0"/>
          <c:extLst>
            <c:ext xmlns:c16="http://schemas.microsoft.com/office/drawing/2014/chart" uri="{C3380CC4-5D6E-409C-BE32-E72D297353CC}">
              <c16:uniqueId val="{00000000-7900-4C94-83C0-2BD09E21C36C}"/>
            </c:ext>
          </c:extLst>
        </c:ser>
        <c:dLbls>
          <c:showLegendKey val="0"/>
          <c:showVal val="0"/>
          <c:showCatName val="0"/>
          <c:showSerName val="0"/>
          <c:showPercent val="0"/>
          <c:showBubbleSize val="0"/>
        </c:dLbls>
        <c:axId val="871565872"/>
        <c:axId val="871567536"/>
      </c:scatterChart>
      <c:valAx>
        <c:axId val="871565872"/>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1567536"/>
        <c:crosses val="autoZero"/>
        <c:crossBetween val="midCat"/>
      </c:valAx>
      <c:valAx>
        <c:axId val="87156753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156587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8740157499999996" l="0.7" r="0.7" t="0.78740157499999996"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n-PFNS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'Serum-Milk-Korr'!$AK$3</c:f>
              <c:strCache>
                <c:ptCount val="1"/>
                <c:pt idx="0">
                  <c:v>milk</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0"/>
            <c:trendlineLbl>
              <c:layout>
                <c:manualLayout>
                  <c:x val="0.15908516050878255"/>
                  <c:y val="0.19466440003607227"/>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'Serum-Milk-Korr'!$AJ$4:$AJ$30</c:f>
              <c:numCache>
                <c:formatCode>0.00</c:formatCode>
                <c:ptCount val="27"/>
                <c:pt idx="3">
                  <c:v>2.44</c:v>
                </c:pt>
                <c:pt idx="4">
                  <c:v>2.29</c:v>
                </c:pt>
                <c:pt idx="5">
                  <c:v>1.78</c:v>
                </c:pt>
                <c:pt idx="6">
                  <c:v>54</c:v>
                </c:pt>
                <c:pt idx="7">
                  <c:v>22.7</c:v>
                </c:pt>
                <c:pt idx="8">
                  <c:v>46.4</c:v>
                </c:pt>
                <c:pt idx="9">
                  <c:v>135</c:v>
                </c:pt>
                <c:pt idx="10">
                  <c:v>105</c:v>
                </c:pt>
                <c:pt idx="11">
                  <c:v>139</c:v>
                </c:pt>
                <c:pt idx="12">
                  <c:v>202</c:v>
                </c:pt>
                <c:pt idx="13">
                  <c:v>150</c:v>
                </c:pt>
                <c:pt idx="14">
                  <c:v>174</c:v>
                </c:pt>
                <c:pt idx="15">
                  <c:v>184</c:v>
                </c:pt>
                <c:pt idx="16">
                  <c:v>118</c:v>
                </c:pt>
                <c:pt idx="17">
                  <c:v>142</c:v>
                </c:pt>
                <c:pt idx="18">
                  <c:v>97.9</c:v>
                </c:pt>
                <c:pt idx="19">
                  <c:v>65.599999999999994</c:v>
                </c:pt>
                <c:pt idx="20">
                  <c:v>79.099999999999994</c:v>
                </c:pt>
                <c:pt idx="21">
                  <c:v>27.6</c:v>
                </c:pt>
                <c:pt idx="22">
                  <c:v>23.3</c:v>
                </c:pt>
                <c:pt idx="23">
                  <c:v>22.2</c:v>
                </c:pt>
                <c:pt idx="24">
                  <c:v>7.15</c:v>
                </c:pt>
                <c:pt idx="25">
                  <c:v>4.28</c:v>
                </c:pt>
                <c:pt idx="26">
                  <c:v>5.21</c:v>
                </c:pt>
              </c:numCache>
            </c:numRef>
          </c:xVal>
          <c:yVal>
            <c:numRef>
              <c:f>'Serum-Milk-Korr'!$AK$4:$AK$30</c:f>
              <c:numCache>
                <c:formatCode>0.00</c:formatCode>
                <c:ptCount val="27"/>
                <c:pt idx="0">
                  <c:v>0</c:v>
                </c:pt>
                <c:pt idx="1">
                  <c:v>0</c:v>
                </c:pt>
                <c:pt idx="2">
                  <c:v>0</c:v>
                </c:pt>
                <c:pt idx="3">
                  <c:v>1.0537722752310799</c:v>
                </c:pt>
                <c:pt idx="4">
                  <c:v>0.36539778023237396</c:v>
                </c:pt>
                <c:pt idx="5">
                  <c:v>0.43831271544360501</c:v>
                </c:pt>
                <c:pt idx="6">
                  <c:v>5.9692562438094399</c:v>
                </c:pt>
                <c:pt idx="7">
                  <c:v>2.8542492831941599</c:v>
                </c:pt>
                <c:pt idx="8">
                  <c:v>7.4230781195522706</c:v>
                </c:pt>
                <c:pt idx="9">
                  <c:v>14.6440039623887</c:v>
                </c:pt>
                <c:pt idx="10">
                  <c:v>5.0072221111036095</c:v>
                </c:pt>
                <c:pt idx="11">
                  <c:v>11.2446959444881</c:v>
                </c:pt>
                <c:pt idx="12">
                  <c:v>12.715707396533901</c:v>
                </c:pt>
                <c:pt idx="13">
                  <c:v>7.6726181491103196</c:v>
                </c:pt>
                <c:pt idx="14">
                  <c:v>13.6145809669993</c:v>
                </c:pt>
                <c:pt idx="15">
                  <c:v>9.0647681064767198</c:v>
                </c:pt>
                <c:pt idx="16">
                  <c:v>4.83857959887633</c:v>
                </c:pt>
                <c:pt idx="17">
                  <c:v>10.0734839679328</c:v>
                </c:pt>
                <c:pt idx="18">
                  <c:v>9.4602189412475806</c:v>
                </c:pt>
                <c:pt idx="19">
                  <c:v>6.8724561851474997</c:v>
                </c:pt>
                <c:pt idx="20">
                  <c:v>8.3803533705248299</c:v>
                </c:pt>
                <c:pt idx="21">
                  <c:v>4.0069058140357203</c:v>
                </c:pt>
                <c:pt idx="22">
                  <c:v>2.29174272301971</c:v>
                </c:pt>
                <c:pt idx="23">
                  <c:v>2.1993931033742</c:v>
                </c:pt>
                <c:pt idx="24">
                  <c:v>0.374547706886044</c:v>
                </c:pt>
                <c:pt idx="25">
                  <c:v>0.186186137485228</c:v>
                </c:pt>
                <c:pt idx="26">
                  <c:v>0.26151063318067602</c:v>
                </c:pt>
              </c:numCache>
            </c:numRef>
          </c:yVal>
          <c:smooth val="0"/>
          <c:extLst>
            <c:ext xmlns:c16="http://schemas.microsoft.com/office/drawing/2014/chart" uri="{C3380CC4-5D6E-409C-BE32-E72D297353CC}">
              <c16:uniqueId val="{00000000-F127-4F6F-B2AF-2A10372945C8}"/>
            </c:ext>
          </c:extLst>
        </c:ser>
        <c:dLbls>
          <c:showLegendKey val="0"/>
          <c:showVal val="0"/>
          <c:showCatName val="0"/>
          <c:showSerName val="0"/>
          <c:showPercent val="0"/>
          <c:showBubbleSize val="0"/>
        </c:dLbls>
        <c:axId val="879942384"/>
        <c:axId val="879945712"/>
      </c:scatterChart>
      <c:valAx>
        <c:axId val="87994238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9945712"/>
        <c:crosses val="autoZero"/>
        <c:crossBetween val="midCat"/>
      </c:valAx>
      <c:valAx>
        <c:axId val="8799457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994238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8740157499999996" l="0.7" r="0.7" t="0.78740157499999996"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n-PFDS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'Serum-Milk-Korr'!$AM$3</c:f>
              <c:strCache>
                <c:ptCount val="1"/>
                <c:pt idx="0">
                  <c:v>milk</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0"/>
            <c:trendlineLbl>
              <c:layout>
                <c:manualLayout>
                  <c:x val="1.7757691531162155E-2"/>
                  <c:y val="-6.716465413265942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'Serum-Milk-Korr'!$AL$4:$AL$30</c:f>
              <c:numCache>
                <c:formatCode>0.00</c:formatCode>
                <c:ptCount val="27"/>
                <c:pt idx="3">
                  <c:v>2.36</c:v>
                </c:pt>
                <c:pt idx="4">
                  <c:v>2.4300000000000002</c:v>
                </c:pt>
                <c:pt idx="5">
                  <c:v>1.58</c:v>
                </c:pt>
                <c:pt idx="6">
                  <c:v>42.1</c:v>
                </c:pt>
                <c:pt idx="7">
                  <c:v>22.7</c:v>
                </c:pt>
                <c:pt idx="8">
                  <c:v>36.9</c:v>
                </c:pt>
                <c:pt idx="9">
                  <c:v>93.3</c:v>
                </c:pt>
                <c:pt idx="10">
                  <c:v>89.1</c:v>
                </c:pt>
                <c:pt idx="11">
                  <c:v>88.1</c:v>
                </c:pt>
                <c:pt idx="12">
                  <c:v>150</c:v>
                </c:pt>
                <c:pt idx="13">
                  <c:v>107</c:v>
                </c:pt>
                <c:pt idx="14">
                  <c:v>98.7</c:v>
                </c:pt>
                <c:pt idx="15">
                  <c:v>120</c:v>
                </c:pt>
                <c:pt idx="16">
                  <c:v>85.7</c:v>
                </c:pt>
                <c:pt idx="17">
                  <c:v>76.2</c:v>
                </c:pt>
                <c:pt idx="18">
                  <c:v>68.8</c:v>
                </c:pt>
                <c:pt idx="19">
                  <c:v>33.5</c:v>
                </c:pt>
                <c:pt idx="20">
                  <c:v>33.299999999999997</c:v>
                </c:pt>
                <c:pt idx="21">
                  <c:v>12.5</c:v>
                </c:pt>
                <c:pt idx="22">
                  <c:v>7.11</c:v>
                </c:pt>
                <c:pt idx="23">
                  <c:v>5.09</c:v>
                </c:pt>
                <c:pt idx="24">
                  <c:v>1.5</c:v>
                </c:pt>
                <c:pt idx="26">
                  <c:v>0.64900000000000002</c:v>
                </c:pt>
              </c:numCache>
            </c:numRef>
          </c:xVal>
          <c:yVal>
            <c:numRef>
              <c:f>'Serum-Milk-Korr'!$AM$4:$AM$30</c:f>
              <c:numCache>
                <c:formatCode>0.00</c:formatCode>
                <c:ptCount val="27"/>
                <c:pt idx="0">
                  <c:v>0</c:v>
                </c:pt>
                <c:pt idx="1">
                  <c:v>0</c:v>
                </c:pt>
                <c:pt idx="2">
                  <c:v>0</c:v>
                </c:pt>
                <c:pt idx="3">
                  <c:v>0.61761008805601503</c:v>
                </c:pt>
                <c:pt idx="4">
                  <c:v>0.32328649307469198</c:v>
                </c:pt>
                <c:pt idx="5">
                  <c:v>0.344819352976798</c:v>
                </c:pt>
                <c:pt idx="6">
                  <c:v>3.5304297069530199</c:v>
                </c:pt>
                <c:pt idx="7">
                  <c:v>1.79539685407369</c:v>
                </c:pt>
                <c:pt idx="8">
                  <c:v>3.6727777893274602</c:v>
                </c:pt>
                <c:pt idx="9">
                  <c:v>5.0016911305427003</c:v>
                </c:pt>
                <c:pt idx="10">
                  <c:v>2.2505623622516602</c:v>
                </c:pt>
                <c:pt idx="11">
                  <c:v>3.8405693601750701</c:v>
                </c:pt>
                <c:pt idx="12">
                  <c:v>5.5331546916020695</c:v>
                </c:pt>
                <c:pt idx="13">
                  <c:v>3.7448282765504199</c:v>
                </c:pt>
                <c:pt idx="14">
                  <c:v>3.98937850733267</c:v>
                </c:pt>
                <c:pt idx="15">
                  <c:v>3.6040390556858801</c:v>
                </c:pt>
                <c:pt idx="16">
                  <c:v>1.9112769767770998</c:v>
                </c:pt>
                <c:pt idx="17">
                  <c:v>2.3803849538049597</c:v>
                </c:pt>
                <c:pt idx="18">
                  <c:v>2.6411137584645599</c:v>
                </c:pt>
                <c:pt idx="19">
                  <c:v>1.78168998932584</c:v>
                </c:pt>
                <c:pt idx="20">
                  <c:v>1.4093297474734099</c:v>
                </c:pt>
                <c:pt idx="21">
                  <c:v>0.82715314312230104</c:v>
                </c:pt>
                <c:pt idx="22">
                  <c:v>0.39123072095407702</c:v>
                </c:pt>
                <c:pt idx="23">
                  <c:v>0.28647618435879701</c:v>
                </c:pt>
                <c:pt idx="24">
                  <c:v>6.642771508437291E-2</c:v>
                </c:pt>
                <c:pt idx="25">
                  <c:v>1.8461482946058899E-2</c:v>
                </c:pt>
                <c:pt idx="26">
                  <c:v>1.8640647028759498E-2</c:v>
                </c:pt>
              </c:numCache>
            </c:numRef>
          </c:yVal>
          <c:smooth val="0"/>
          <c:extLst>
            <c:ext xmlns:c16="http://schemas.microsoft.com/office/drawing/2014/chart" uri="{C3380CC4-5D6E-409C-BE32-E72D297353CC}">
              <c16:uniqueId val="{00000000-3BFC-4FBE-A730-3F007B944D0F}"/>
            </c:ext>
          </c:extLst>
        </c:ser>
        <c:dLbls>
          <c:showLegendKey val="0"/>
          <c:showVal val="0"/>
          <c:showCatName val="0"/>
          <c:showSerName val="0"/>
          <c:showPercent val="0"/>
          <c:showBubbleSize val="0"/>
        </c:dLbls>
        <c:axId val="871536752"/>
        <c:axId val="871535920"/>
      </c:scatterChart>
      <c:valAx>
        <c:axId val="871536752"/>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1535920"/>
        <c:crosses val="autoZero"/>
        <c:crossBetween val="midCat"/>
      </c:valAx>
      <c:valAx>
        <c:axId val="87153592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153675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8740157499999996" l="0.7" r="0.7" t="0.78740157499999996"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n-PFUnDS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'Serum-Milk-Korr'!$AO$3</c:f>
              <c:strCache>
                <c:ptCount val="1"/>
                <c:pt idx="0">
                  <c:v>milk</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0"/>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'Serum-Milk-Korr'!$AN$4:$AN$30</c:f>
              <c:numCache>
                <c:formatCode>0.00</c:formatCode>
                <c:ptCount val="27"/>
                <c:pt idx="6">
                  <c:v>2.2400000000000002</c:v>
                </c:pt>
                <c:pt idx="7">
                  <c:v>1.0900000000000001</c:v>
                </c:pt>
                <c:pt idx="8">
                  <c:v>1.89</c:v>
                </c:pt>
                <c:pt idx="9">
                  <c:v>2.96</c:v>
                </c:pt>
                <c:pt idx="10">
                  <c:v>2.39</c:v>
                </c:pt>
                <c:pt idx="11">
                  <c:v>2.69</c:v>
                </c:pt>
                <c:pt idx="12">
                  <c:v>4.3099999999999996</c:v>
                </c:pt>
                <c:pt idx="13">
                  <c:v>2.41</c:v>
                </c:pt>
                <c:pt idx="14">
                  <c:v>2.4</c:v>
                </c:pt>
                <c:pt idx="15">
                  <c:v>2.69</c:v>
                </c:pt>
                <c:pt idx="16">
                  <c:v>1.52</c:v>
                </c:pt>
                <c:pt idx="17">
                  <c:v>1.42</c:v>
                </c:pt>
                <c:pt idx="18">
                  <c:v>1.0900000000000001</c:v>
                </c:pt>
                <c:pt idx="19">
                  <c:v>0.58699999999999997</c:v>
                </c:pt>
              </c:numCache>
            </c:numRef>
          </c:xVal>
          <c:yVal>
            <c:numRef>
              <c:f>'Serum-Milk-Korr'!$AO$4:$AO$30</c:f>
              <c:numCache>
                <c:formatCode>0.00</c:formatCode>
                <c:ptCount val="27"/>
                <c:pt idx="0">
                  <c:v>0</c:v>
                </c:pt>
                <c:pt idx="1">
                  <c:v>0</c:v>
                </c:pt>
                <c:pt idx="2">
                  <c:v>0</c:v>
                </c:pt>
                <c:pt idx="3">
                  <c:v>7.0429298677974997E-2</c:v>
                </c:pt>
                <c:pt idx="4">
                  <c:v>2.68430125780139E-2</c:v>
                </c:pt>
                <c:pt idx="5">
                  <c:v>2.9631016779758098E-2</c:v>
                </c:pt>
                <c:pt idx="6">
                  <c:v>0.37883498507369701</c:v>
                </c:pt>
                <c:pt idx="7">
                  <c:v>0.17329305665351502</c:v>
                </c:pt>
                <c:pt idx="8">
                  <c:v>0.36623319428279599</c:v>
                </c:pt>
                <c:pt idx="9">
                  <c:v>0.45625967794779304</c:v>
                </c:pt>
                <c:pt idx="10">
                  <c:v>0.19442477662521901</c:v>
                </c:pt>
                <c:pt idx="11">
                  <c:v>0.37079378889122599</c:v>
                </c:pt>
                <c:pt idx="12">
                  <c:v>0.55423502122565194</c:v>
                </c:pt>
                <c:pt idx="13">
                  <c:v>0.28694246162158205</c:v>
                </c:pt>
                <c:pt idx="14">
                  <c:v>0.36028469449916201</c:v>
                </c:pt>
                <c:pt idx="15">
                  <c:v>0.29737755128882704</c:v>
                </c:pt>
                <c:pt idx="16">
                  <c:v>0.154295329528676</c:v>
                </c:pt>
                <c:pt idx="17">
                  <c:v>0.15802487161550802</c:v>
                </c:pt>
                <c:pt idx="18">
                  <c:v>0.17838748742716998</c:v>
                </c:pt>
                <c:pt idx="19">
                  <c:v>8.78135577577141E-2</c:v>
                </c:pt>
                <c:pt idx="20">
                  <c:v>8.2461268240187291E-2</c:v>
                </c:pt>
                <c:pt idx="21">
                  <c:v>3.1546308857857697E-2</c:v>
                </c:pt>
                <c:pt idx="22">
                  <c:v>1.7736173946911401E-2</c:v>
                </c:pt>
                <c:pt idx="23">
                  <c:v>0</c:v>
                </c:pt>
                <c:pt idx="24">
                  <c:v>0</c:v>
                </c:pt>
                <c:pt idx="25">
                  <c:v>0</c:v>
                </c:pt>
                <c:pt idx="26">
                  <c:v>0</c:v>
                </c:pt>
              </c:numCache>
            </c:numRef>
          </c:yVal>
          <c:smooth val="0"/>
          <c:extLst>
            <c:ext xmlns:c16="http://schemas.microsoft.com/office/drawing/2014/chart" uri="{C3380CC4-5D6E-409C-BE32-E72D297353CC}">
              <c16:uniqueId val="{00000000-B8EE-4F82-9442-B1E1CF6C0F5D}"/>
            </c:ext>
          </c:extLst>
        </c:ser>
        <c:dLbls>
          <c:showLegendKey val="0"/>
          <c:showVal val="0"/>
          <c:showCatName val="0"/>
          <c:showSerName val="0"/>
          <c:showPercent val="0"/>
          <c:showBubbleSize val="0"/>
        </c:dLbls>
        <c:axId val="882778048"/>
        <c:axId val="882778464"/>
      </c:scatterChart>
      <c:valAx>
        <c:axId val="882778048"/>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2778464"/>
        <c:crosses val="autoZero"/>
        <c:crossBetween val="midCat"/>
      </c:valAx>
      <c:valAx>
        <c:axId val="88277846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277804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8740157499999996" l="0.7" r="0.7" t="0.78740157499999996"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n-PFDoDS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'Serum-Milk-Korr'!$AQ$3</c:f>
              <c:strCache>
                <c:ptCount val="1"/>
                <c:pt idx="0">
                  <c:v>milk</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0"/>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'Serum-Milk-Korr'!$AP$4:$AP$30</c:f>
              <c:numCache>
                <c:formatCode>0.00</c:formatCode>
                <c:ptCount val="27"/>
                <c:pt idx="6">
                  <c:v>1.19</c:v>
                </c:pt>
                <c:pt idx="7">
                  <c:v>0.54700000000000004</c:v>
                </c:pt>
                <c:pt idx="8">
                  <c:v>0.98699999999999999</c:v>
                </c:pt>
                <c:pt idx="9">
                  <c:v>1.61</c:v>
                </c:pt>
                <c:pt idx="10">
                  <c:v>0.89700000000000002</c:v>
                </c:pt>
                <c:pt idx="11">
                  <c:v>1.1000000000000001</c:v>
                </c:pt>
                <c:pt idx="12">
                  <c:v>1.94</c:v>
                </c:pt>
                <c:pt idx="13">
                  <c:v>1.1599999999999999</c:v>
                </c:pt>
                <c:pt idx="14">
                  <c:v>1.02</c:v>
                </c:pt>
                <c:pt idx="15">
                  <c:v>1.35</c:v>
                </c:pt>
                <c:pt idx="16">
                  <c:v>0.58199999999999996</c:v>
                </c:pt>
                <c:pt idx="17">
                  <c:v>0.68200000000000005</c:v>
                </c:pt>
                <c:pt idx="18">
                  <c:v>0.51</c:v>
                </c:pt>
              </c:numCache>
            </c:numRef>
          </c:xVal>
          <c:yVal>
            <c:numRef>
              <c:f>'Serum-Milk-Korr'!$AQ$4:$AQ$30</c:f>
              <c:numCache>
                <c:formatCode>0.00</c:formatCode>
                <c:ptCount val="27"/>
                <c:pt idx="0">
                  <c:v>0</c:v>
                </c:pt>
                <c:pt idx="1">
                  <c:v>0</c:v>
                </c:pt>
                <c:pt idx="2">
                  <c:v>0</c:v>
                </c:pt>
                <c:pt idx="3">
                  <c:v>2.0764918452111397E-2</c:v>
                </c:pt>
                <c:pt idx="4">
                  <c:v>1.18975483383991E-2</c:v>
                </c:pt>
                <c:pt idx="5">
                  <c:v>1.2468631218282299E-2</c:v>
                </c:pt>
                <c:pt idx="6">
                  <c:v>0.17813655823584698</c:v>
                </c:pt>
                <c:pt idx="7">
                  <c:v>8.3583860428090101E-2</c:v>
                </c:pt>
                <c:pt idx="8">
                  <c:v>0.17022264270950799</c:v>
                </c:pt>
                <c:pt idx="9">
                  <c:v>0.19855296137720099</c:v>
                </c:pt>
                <c:pt idx="10">
                  <c:v>8.2360791857298193E-2</c:v>
                </c:pt>
                <c:pt idx="11">
                  <c:v>0.16554012338117</c:v>
                </c:pt>
                <c:pt idx="12">
                  <c:v>0.24664696213113099</c:v>
                </c:pt>
                <c:pt idx="13">
                  <c:v>0.126709780752263</c:v>
                </c:pt>
                <c:pt idx="14">
                  <c:v>0.164807409900561</c:v>
                </c:pt>
                <c:pt idx="15">
                  <c:v>0.161957310661902</c:v>
                </c:pt>
                <c:pt idx="16">
                  <c:v>7.0184972204941506E-2</c:v>
                </c:pt>
                <c:pt idx="17">
                  <c:v>7.1795904193045504E-2</c:v>
                </c:pt>
                <c:pt idx="18">
                  <c:v>5.4575426166608799E-2</c:v>
                </c:pt>
                <c:pt idx="19">
                  <c:v>2.90435153304805E-2</c:v>
                </c:pt>
                <c:pt idx="20">
                  <c:v>3.0392222700314497E-2</c:v>
                </c:pt>
                <c:pt idx="21">
                  <c:v>7.2663555228737299E-3</c:v>
                </c:pt>
                <c:pt idx="22">
                  <c:v>5.3325294544205697E-3</c:v>
                </c:pt>
                <c:pt idx="23">
                  <c:v>4.0316654603942898E-3</c:v>
                </c:pt>
                <c:pt idx="24">
                  <c:v>0</c:v>
                </c:pt>
                <c:pt idx="25">
                  <c:v>0</c:v>
                </c:pt>
                <c:pt idx="26">
                  <c:v>0</c:v>
                </c:pt>
              </c:numCache>
            </c:numRef>
          </c:yVal>
          <c:smooth val="0"/>
          <c:extLst>
            <c:ext xmlns:c16="http://schemas.microsoft.com/office/drawing/2014/chart" uri="{C3380CC4-5D6E-409C-BE32-E72D297353CC}">
              <c16:uniqueId val="{00000000-8DFE-4B2E-84FC-F73F2226BE14}"/>
            </c:ext>
          </c:extLst>
        </c:ser>
        <c:dLbls>
          <c:showLegendKey val="0"/>
          <c:showVal val="0"/>
          <c:showCatName val="0"/>
          <c:showSerName val="0"/>
          <c:showPercent val="0"/>
          <c:showBubbleSize val="0"/>
        </c:dLbls>
        <c:axId val="871540496"/>
        <c:axId val="871553808"/>
      </c:scatterChart>
      <c:valAx>
        <c:axId val="87154049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1553808"/>
        <c:crosses val="autoZero"/>
        <c:crossBetween val="midCat"/>
      </c:valAx>
      <c:valAx>
        <c:axId val="87155380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154049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8740157499999996" l="0.7" r="0.7" t="0.78740157499999996"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br-PFOA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'Serum-Milk-Korr'!$AY$3</c:f>
              <c:strCache>
                <c:ptCount val="1"/>
                <c:pt idx="0">
                  <c:v>milk</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0"/>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'Serum-Milk-Korr'!$AX$4:$AX$30</c:f>
              <c:numCache>
                <c:formatCode>0.00</c:formatCode>
                <c:ptCount val="27"/>
                <c:pt idx="6">
                  <c:v>0.753</c:v>
                </c:pt>
                <c:pt idx="7">
                  <c:v>0.94799999999999995</c:v>
                </c:pt>
                <c:pt idx="8">
                  <c:v>0.50900000000000001</c:v>
                </c:pt>
              </c:numCache>
            </c:numRef>
          </c:xVal>
          <c:yVal>
            <c:numRef>
              <c:f>'Serum-Milk-Korr'!$AY$4:$AY$30</c:f>
              <c:numCache>
                <c:formatCode>0.00</c:formatCode>
                <c:ptCount val="27"/>
                <c:pt idx="0">
                  <c:v>0</c:v>
                </c:pt>
                <c:pt idx="1">
                  <c:v>0</c:v>
                </c:pt>
                <c:pt idx="2">
                  <c:v>0</c:v>
                </c:pt>
                <c:pt idx="3">
                  <c:v>1.9610061907035702E-2</c:v>
                </c:pt>
                <c:pt idx="4">
                  <c:v>3.84639919889388E-3</c:v>
                </c:pt>
                <c:pt idx="5">
                  <c:v>2.769374528613595E-3</c:v>
                </c:pt>
                <c:pt idx="6">
                  <c:v>2.7330063803399352E-2</c:v>
                </c:pt>
                <c:pt idx="7">
                  <c:v>2.1480765512347504E-2</c:v>
                </c:pt>
                <c:pt idx="8">
                  <c:v>1.2645314073531651E-2</c:v>
                </c:pt>
                <c:pt idx="9">
                  <c:v>3.4993840018234202E-3</c:v>
                </c:pt>
                <c:pt idx="10">
                  <c:v>4.9968066699074103E-3</c:v>
                </c:pt>
                <c:pt idx="11">
                  <c:v>3.1139371853736854E-3</c:v>
                </c:pt>
                <c:pt idx="12">
                  <c:v>3.72570804732199E-3</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numCache>
            </c:numRef>
          </c:yVal>
          <c:smooth val="0"/>
          <c:extLst>
            <c:ext xmlns:c16="http://schemas.microsoft.com/office/drawing/2014/chart" uri="{C3380CC4-5D6E-409C-BE32-E72D297353CC}">
              <c16:uniqueId val="{00000000-28D3-4E28-96FA-6DD07A174E1D}"/>
            </c:ext>
          </c:extLst>
        </c:ser>
        <c:dLbls>
          <c:showLegendKey val="0"/>
          <c:showVal val="0"/>
          <c:showCatName val="0"/>
          <c:showSerName val="0"/>
          <c:showPercent val="0"/>
          <c:showBubbleSize val="0"/>
        </c:dLbls>
        <c:axId val="765320288"/>
        <c:axId val="765327360"/>
      </c:scatterChart>
      <c:valAx>
        <c:axId val="765320288"/>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5327360"/>
        <c:crosses val="autoZero"/>
        <c:crossBetween val="midCat"/>
      </c:valAx>
      <c:valAx>
        <c:axId val="76532736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532028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8740157499999996" l="0.7" r="0.7" t="0.78740157499999996"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'Serum-Milk-Korr'!$BO$2:$BO$3</c:f>
              <c:strCache>
                <c:ptCount val="2"/>
                <c:pt idx="0">
                  <c:v>br-PFHpS</c:v>
                </c:pt>
                <c:pt idx="1">
                  <c:v>milk</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0"/>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'Serum-Milk-Korr'!$BN$4:$BN$30</c:f>
              <c:numCache>
                <c:formatCode>0.00</c:formatCode>
                <c:ptCount val="27"/>
                <c:pt idx="9">
                  <c:v>0.64100000000000001</c:v>
                </c:pt>
                <c:pt idx="10">
                  <c:v>0.502</c:v>
                </c:pt>
                <c:pt idx="11">
                  <c:v>0.60199999999999998</c:v>
                </c:pt>
                <c:pt idx="12">
                  <c:v>0.753</c:v>
                </c:pt>
                <c:pt idx="14">
                  <c:v>0.55600000000000005</c:v>
                </c:pt>
                <c:pt idx="15">
                  <c:v>0.58899999999999997</c:v>
                </c:pt>
              </c:numCache>
            </c:numRef>
          </c:xVal>
          <c:yVal>
            <c:numRef>
              <c:f>'Serum-Milk-Korr'!$BO$4:$BO$30</c:f>
              <c:numCache>
                <c:formatCode>0.00</c:formatCode>
                <c:ptCount val="2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numCache>
            </c:numRef>
          </c:yVal>
          <c:smooth val="0"/>
          <c:extLst>
            <c:ext xmlns:c16="http://schemas.microsoft.com/office/drawing/2014/chart" uri="{C3380CC4-5D6E-409C-BE32-E72D297353CC}">
              <c16:uniqueId val="{00000000-110C-4F65-9432-F5FA84B38504}"/>
            </c:ext>
          </c:extLst>
        </c:ser>
        <c:dLbls>
          <c:showLegendKey val="0"/>
          <c:showVal val="0"/>
          <c:showCatName val="0"/>
          <c:showSerName val="0"/>
          <c:showPercent val="0"/>
          <c:showBubbleSize val="0"/>
        </c:dLbls>
        <c:axId val="882769312"/>
        <c:axId val="882772224"/>
      </c:scatterChart>
      <c:valAx>
        <c:axId val="882769312"/>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2772224"/>
        <c:crosses val="autoZero"/>
        <c:crossBetween val="midCat"/>
      </c:valAx>
      <c:valAx>
        <c:axId val="88277222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276931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8740157499999996" l="0.7" r="0.7" t="0.78740157499999996"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'Serum-Milk-Korr'!$BQ$2:$BQ$3</c:f>
              <c:strCache>
                <c:ptCount val="2"/>
                <c:pt idx="0">
                  <c:v>br-PFOS </c:v>
                </c:pt>
                <c:pt idx="1">
                  <c:v>milk</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0"/>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'Serum-Milk-Korr'!$BP$4:$BP$30</c:f>
              <c:numCache>
                <c:formatCode>0.00</c:formatCode>
                <c:ptCount val="27"/>
                <c:pt idx="3">
                  <c:v>2.09</c:v>
                </c:pt>
                <c:pt idx="4">
                  <c:v>1.23</c:v>
                </c:pt>
                <c:pt idx="5">
                  <c:v>1.1000000000000001</c:v>
                </c:pt>
                <c:pt idx="6">
                  <c:v>40.799999999999997</c:v>
                </c:pt>
                <c:pt idx="7">
                  <c:v>16.7</c:v>
                </c:pt>
                <c:pt idx="8">
                  <c:v>33.5</c:v>
                </c:pt>
                <c:pt idx="9">
                  <c:v>93</c:v>
                </c:pt>
                <c:pt idx="10">
                  <c:v>82.9</c:v>
                </c:pt>
                <c:pt idx="11">
                  <c:v>102</c:v>
                </c:pt>
                <c:pt idx="12">
                  <c:v>129</c:v>
                </c:pt>
                <c:pt idx="13">
                  <c:v>100</c:v>
                </c:pt>
                <c:pt idx="14">
                  <c:v>126</c:v>
                </c:pt>
                <c:pt idx="15">
                  <c:v>117</c:v>
                </c:pt>
                <c:pt idx="16">
                  <c:v>81.7</c:v>
                </c:pt>
                <c:pt idx="17">
                  <c:v>108</c:v>
                </c:pt>
                <c:pt idx="18">
                  <c:v>75.7</c:v>
                </c:pt>
                <c:pt idx="19">
                  <c:v>51.4</c:v>
                </c:pt>
                <c:pt idx="20">
                  <c:v>66.7</c:v>
                </c:pt>
                <c:pt idx="21">
                  <c:v>33.799999999999997</c:v>
                </c:pt>
                <c:pt idx="22">
                  <c:v>26.6</c:v>
                </c:pt>
                <c:pt idx="23">
                  <c:v>31.7</c:v>
                </c:pt>
                <c:pt idx="24">
                  <c:v>16.7</c:v>
                </c:pt>
                <c:pt idx="25">
                  <c:v>10.6</c:v>
                </c:pt>
                <c:pt idx="26">
                  <c:v>15.9</c:v>
                </c:pt>
              </c:numCache>
            </c:numRef>
          </c:xVal>
          <c:yVal>
            <c:numRef>
              <c:f>'Serum-Milk-Korr'!$BQ$4:$BQ$30</c:f>
              <c:numCache>
                <c:formatCode>0.00</c:formatCode>
                <c:ptCount val="27"/>
                <c:pt idx="0">
                  <c:v>0</c:v>
                </c:pt>
                <c:pt idx="1">
                  <c:v>0</c:v>
                </c:pt>
                <c:pt idx="2">
                  <c:v>0</c:v>
                </c:pt>
                <c:pt idx="3">
                  <c:v>0.29225129548985251</c:v>
                </c:pt>
                <c:pt idx="4">
                  <c:v>9.6911218567987956E-2</c:v>
                </c:pt>
                <c:pt idx="5">
                  <c:v>0.1020955943800058</c:v>
                </c:pt>
                <c:pt idx="6">
                  <c:v>1.5371696030902051</c:v>
                </c:pt>
                <c:pt idx="7">
                  <c:v>0.56839127645739351</c:v>
                </c:pt>
                <c:pt idx="8">
                  <c:v>1.352204809328623</c:v>
                </c:pt>
                <c:pt idx="9">
                  <c:v>3.6083164488543149</c:v>
                </c:pt>
                <c:pt idx="10">
                  <c:v>1.1008016120363979</c:v>
                </c:pt>
                <c:pt idx="11">
                  <c:v>2.5499455529131549</c:v>
                </c:pt>
                <c:pt idx="12">
                  <c:v>2.9442522834545</c:v>
                </c:pt>
                <c:pt idx="13">
                  <c:v>1.65836114027338</c:v>
                </c:pt>
                <c:pt idx="14">
                  <c:v>3.1979796473763047</c:v>
                </c:pt>
                <c:pt idx="15">
                  <c:v>1.7231841699515049</c:v>
                </c:pt>
                <c:pt idx="16">
                  <c:v>0.95341610203079863</c:v>
                </c:pt>
                <c:pt idx="17">
                  <c:v>2.2680279850904399</c:v>
                </c:pt>
                <c:pt idx="18">
                  <c:v>2.3881332068912449</c:v>
                </c:pt>
                <c:pt idx="19">
                  <c:v>1.4073035400056957</c:v>
                </c:pt>
                <c:pt idx="20">
                  <c:v>2.0896429665309353</c:v>
                </c:pt>
                <c:pt idx="21">
                  <c:v>1.2976625875356427</c:v>
                </c:pt>
                <c:pt idx="22">
                  <c:v>0.78769269937306508</c:v>
                </c:pt>
                <c:pt idx="23">
                  <c:v>0.88592468420688097</c:v>
                </c:pt>
                <c:pt idx="24">
                  <c:v>0.32932262975871651</c:v>
                </c:pt>
                <c:pt idx="25">
                  <c:v>0.19610509704915949</c:v>
                </c:pt>
                <c:pt idx="26">
                  <c:v>0.28952015306655648</c:v>
                </c:pt>
              </c:numCache>
            </c:numRef>
          </c:yVal>
          <c:smooth val="0"/>
          <c:extLst>
            <c:ext xmlns:c16="http://schemas.microsoft.com/office/drawing/2014/chart" uri="{C3380CC4-5D6E-409C-BE32-E72D297353CC}">
              <c16:uniqueId val="{00000000-F9C2-44AB-A005-84E15C0A5F13}"/>
            </c:ext>
          </c:extLst>
        </c:ser>
        <c:dLbls>
          <c:showLegendKey val="0"/>
          <c:showVal val="0"/>
          <c:showCatName val="0"/>
          <c:showSerName val="0"/>
          <c:showPercent val="0"/>
          <c:showBubbleSize val="0"/>
        </c:dLbls>
        <c:axId val="1072748816"/>
        <c:axId val="1072757968"/>
      </c:scatterChart>
      <c:valAx>
        <c:axId val="107274881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2757968"/>
        <c:crosses val="autoZero"/>
        <c:crossBetween val="midCat"/>
      </c:valAx>
      <c:valAx>
        <c:axId val="107275796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274881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8740157499999996" l="0.7" r="0.7" t="0.78740157499999996"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'Serum-Milk-Korr'!$BS$2:$BS$3</c:f>
              <c:strCache>
                <c:ptCount val="2"/>
                <c:pt idx="0">
                  <c:v>br-PFNS </c:v>
                </c:pt>
                <c:pt idx="1">
                  <c:v>milk</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0"/>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'Serum-Milk-Korr'!$BR$4:$BR$30</c:f>
              <c:numCache>
                <c:formatCode>0.00</c:formatCode>
                <c:ptCount val="27"/>
                <c:pt idx="3">
                  <c:v>10</c:v>
                </c:pt>
                <c:pt idx="4">
                  <c:v>7.61</c:v>
                </c:pt>
                <c:pt idx="5">
                  <c:v>6.48</c:v>
                </c:pt>
                <c:pt idx="6">
                  <c:v>181</c:v>
                </c:pt>
                <c:pt idx="7">
                  <c:v>88.5</c:v>
                </c:pt>
                <c:pt idx="8">
                  <c:v>171</c:v>
                </c:pt>
                <c:pt idx="9">
                  <c:v>405</c:v>
                </c:pt>
                <c:pt idx="10">
                  <c:v>378</c:v>
                </c:pt>
                <c:pt idx="11">
                  <c:v>455</c:v>
                </c:pt>
                <c:pt idx="12">
                  <c:v>614</c:v>
                </c:pt>
                <c:pt idx="13">
                  <c:v>463</c:v>
                </c:pt>
                <c:pt idx="14">
                  <c:v>549</c:v>
                </c:pt>
                <c:pt idx="15">
                  <c:v>526</c:v>
                </c:pt>
                <c:pt idx="16">
                  <c:v>372</c:v>
                </c:pt>
                <c:pt idx="17">
                  <c:v>472</c:v>
                </c:pt>
                <c:pt idx="18">
                  <c:v>348</c:v>
                </c:pt>
                <c:pt idx="19">
                  <c:v>229</c:v>
                </c:pt>
                <c:pt idx="20">
                  <c:v>290</c:v>
                </c:pt>
                <c:pt idx="21">
                  <c:v>122</c:v>
                </c:pt>
                <c:pt idx="22">
                  <c:v>113</c:v>
                </c:pt>
                <c:pt idx="23">
                  <c:v>119</c:v>
                </c:pt>
                <c:pt idx="24">
                  <c:v>54.5</c:v>
                </c:pt>
                <c:pt idx="25">
                  <c:v>38.299999999999997</c:v>
                </c:pt>
                <c:pt idx="26">
                  <c:v>66.099999999999994</c:v>
                </c:pt>
              </c:numCache>
            </c:numRef>
          </c:xVal>
          <c:yVal>
            <c:numRef>
              <c:f>'Serum-Milk-Korr'!$BS$4:$BS$30</c:f>
              <c:numCache>
                <c:formatCode>0.00</c:formatCode>
                <c:ptCount val="27"/>
                <c:pt idx="0">
                  <c:v>0</c:v>
                </c:pt>
                <c:pt idx="1">
                  <c:v>0</c:v>
                </c:pt>
                <c:pt idx="2">
                  <c:v>0</c:v>
                </c:pt>
                <c:pt idx="3">
                  <c:v>1.9363650390547249</c:v>
                </c:pt>
                <c:pt idx="4">
                  <c:v>0.51672229362191902</c:v>
                </c:pt>
                <c:pt idx="5">
                  <c:v>0.7176094132707479</c:v>
                </c:pt>
                <c:pt idx="6">
                  <c:v>15.305735766819165</c:v>
                </c:pt>
                <c:pt idx="7">
                  <c:v>5.5625440524280751</c:v>
                </c:pt>
                <c:pt idx="8">
                  <c:v>14.213042037467297</c:v>
                </c:pt>
                <c:pt idx="9">
                  <c:v>33.651710510482957</c:v>
                </c:pt>
                <c:pt idx="10">
                  <c:v>9.5342121756762701</c:v>
                </c:pt>
                <c:pt idx="11">
                  <c:v>22.284176851409452</c:v>
                </c:pt>
                <c:pt idx="12">
                  <c:v>27.188591933462348</c:v>
                </c:pt>
                <c:pt idx="13">
                  <c:v>16.292055578649645</c:v>
                </c:pt>
                <c:pt idx="14">
                  <c:v>29.309853383363198</c:v>
                </c:pt>
                <c:pt idx="15">
                  <c:v>15.281134002037867</c:v>
                </c:pt>
                <c:pt idx="16">
                  <c:v>7.9153806574561951</c:v>
                </c:pt>
                <c:pt idx="17">
                  <c:v>19.572238609274848</c:v>
                </c:pt>
                <c:pt idx="18">
                  <c:v>20.158448759353902</c:v>
                </c:pt>
                <c:pt idx="19">
                  <c:v>12.586343440270456</c:v>
                </c:pt>
                <c:pt idx="20">
                  <c:v>16.322715929944025</c:v>
                </c:pt>
                <c:pt idx="21">
                  <c:v>8.8558332393421288</c:v>
                </c:pt>
                <c:pt idx="22">
                  <c:v>5.4782715646642597</c:v>
                </c:pt>
                <c:pt idx="23">
                  <c:v>5.6124561946575851</c:v>
                </c:pt>
                <c:pt idx="24">
                  <c:v>1.1892258082976046</c:v>
                </c:pt>
                <c:pt idx="25">
                  <c:v>0.69050413101985186</c:v>
                </c:pt>
                <c:pt idx="26">
                  <c:v>1.2477246235215405</c:v>
                </c:pt>
              </c:numCache>
            </c:numRef>
          </c:yVal>
          <c:smooth val="0"/>
          <c:extLst>
            <c:ext xmlns:c16="http://schemas.microsoft.com/office/drawing/2014/chart" uri="{C3380CC4-5D6E-409C-BE32-E72D297353CC}">
              <c16:uniqueId val="{00000000-3A83-4C4B-B5FB-36423C0C1210}"/>
            </c:ext>
          </c:extLst>
        </c:ser>
        <c:dLbls>
          <c:showLegendKey val="0"/>
          <c:showVal val="0"/>
          <c:showCatName val="0"/>
          <c:showSerName val="0"/>
          <c:showPercent val="0"/>
          <c:showBubbleSize val="0"/>
        </c:dLbls>
        <c:axId val="876235152"/>
        <c:axId val="876224336"/>
      </c:scatterChart>
      <c:valAx>
        <c:axId val="876235152"/>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6224336"/>
        <c:crosses val="autoZero"/>
        <c:crossBetween val="midCat"/>
      </c:valAx>
      <c:valAx>
        <c:axId val="87622433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623515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8740157499999996" l="0.7" r="0.7" t="0.78740157499999996"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'Serum-Milk-Korr'!$BU$2:$BU$3</c:f>
              <c:strCache>
                <c:ptCount val="2"/>
                <c:pt idx="0">
                  <c:v>br-PFDS </c:v>
                </c:pt>
                <c:pt idx="1">
                  <c:v>milk</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0"/>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'Serum-Milk-Korr'!$BT$4:$BT$30</c:f>
              <c:numCache>
                <c:formatCode>0.00</c:formatCode>
                <c:ptCount val="27"/>
                <c:pt idx="3">
                  <c:v>7.02</c:v>
                </c:pt>
                <c:pt idx="4">
                  <c:v>6.34</c:v>
                </c:pt>
                <c:pt idx="5">
                  <c:v>4.5999999999999996</c:v>
                </c:pt>
                <c:pt idx="6">
                  <c:v>158</c:v>
                </c:pt>
                <c:pt idx="7">
                  <c:v>69.400000000000006</c:v>
                </c:pt>
                <c:pt idx="8">
                  <c:v>137</c:v>
                </c:pt>
                <c:pt idx="9">
                  <c:v>302</c:v>
                </c:pt>
                <c:pt idx="10">
                  <c:v>267</c:v>
                </c:pt>
                <c:pt idx="11">
                  <c:v>318</c:v>
                </c:pt>
                <c:pt idx="12">
                  <c:v>428</c:v>
                </c:pt>
                <c:pt idx="13">
                  <c:v>293</c:v>
                </c:pt>
                <c:pt idx="14">
                  <c:v>333</c:v>
                </c:pt>
                <c:pt idx="15">
                  <c:v>357</c:v>
                </c:pt>
                <c:pt idx="16">
                  <c:v>218</c:v>
                </c:pt>
                <c:pt idx="17">
                  <c:v>256</c:v>
                </c:pt>
                <c:pt idx="18">
                  <c:v>176</c:v>
                </c:pt>
                <c:pt idx="19">
                  <c:v>94.8</c:v>
                </c:pt>
                <c:pt idx="20">
                  <c:v>118</c:v>
                </c:pt>
                <c:pt idx="21">
                  <c:v>33.1</c:v>
                </c:pt>
                <c:pt idx="22">
                  <c:v>26.1</c:v>
                </c:pt>
                <c:pt idx="23">
                  <c:v>25.4</c:v>
                </c:pt>
                <c:pt idx="24">
                  <c:v>8.68</c:v>
                </c:pt>
                <c:pt idx="25">
                  <c:v>4.76</c:v>
                </c:pt>
                <c:pt idx="26">
                  <c:v>7.78</c:v>
                </c:pt>
              </c:numCache>
            </c:numRef>
          </c:xVal>
          <c:yVal>
            <c:numRef>
              <c:f>'Serum-Milk-Korr'!$BU$4:$BU$30</c:f>
              <c:numCache>
                <c:formatCode>0.00</c:formatCode>
                <c:ptCount val="27"/>
                <c:pt idx="0">
                  <c:v>0</c:v>
                </c:pt>
                <c:pt idx="1">
                  <c:v>0</c:v>
                </c:pt>
                <c:pt idx="2">
                  <c:v>0</c:v>
                </c:pt>
                <c:pt idx="3">
                  <c:v>0.42756712867803598</c:v>
                </c:pt>
                <c:pt idx="4">
                  <c:v>0.17091438572765072</c:v>
                </c:pt>
                <c:pt idx="5">
                  <c:v>0.21949159979208849</c:v>
                </c:pt>
                <c:pt idx="6">
                  <c:v>2.9501752224288449</c:v>
                </c:pt>
                <c:pt idx="7">
                  <c:v>1.2518256102986691</c:v>
                </c:pt>
                <c:pt idx="8">
                  <c:v>2.6810979497808405</c:v>
                </c:pt>
                <c:pt idx="9">
                  <c:v>4.1098330811812147</c:v>
                </c:pt>
                <c:pt idx="10">
                  <c:v>1.5028775703246815</c:v>
                </c:pt>
                <c:pt idx="11">
                  <c:v>2.8042007651053149</c:v>
                </c:pt>
                <c:pt idx="12">
                  <c:v>3.8886065348204348</c:v>
                </c:pt>
                <c:pt idx="13">
                  <c:v>2.5323243029888456</c:v>
                </c:pt>
                <c:pt idx="14">
                  <c:v>2.7438752843255245</c:v>
                </c:pt>
                <c:pt idx="15">
                  <c:v>1.889375948214445</c:v>
                </c:pt>
                <c:pt idx="16">
                  <c:v>1.0196944359322275</c:v>
                </c:pt>
                <c:pt idx="17">
                  <c:v>1.3708262337325601</c:v>
                </c:pt>
                <c:pt idx="18">
                  <c:v>1.2771242351418706</c:v>
                </c:pt>
                <c:pt idx="19">
                  <c:v>0.81935146542081749</c:v>
                </c:pt>
                <c:pt idx="20">
                  <c:v>0.69898739872279247</c:v>
                </c:pt>
                <c:pt idx="21">
                  <c:v>0.27746634518883601</c:v>
                </c:pt>
                <c:pt idx="22">
                  <c:v>0.17095847370559239</c:v>
                </c:pt>
                <c:pt idx="23">
                  <c:v>0.15203778024515363</c:v>
                </c:pt>
                <c:pt idx="24">
                  <c:v>3.1462617962832902E-2</c:v>
                </c:pt>
                <c:pt idx="25">
                  <c:v>2.2356650950075399E-2</c:v>
                </c:pt>
                <c:pt idx="26">
                  <c:v>2.5558129126068353E-2</c:v>
                </c:pt>
              </c:numCache>
            </c:numRef>
          </c:yVal>
          <c:smooth val="0"/>
          <c:extLst>
            <c:ext xmlns:c16="http://schemas.microsoft.com/office/drawing/2014/chart" uri="{C3380CC4-5D6E-409C-BE32-E72D297353CC}">
              <c16:uniqueId val="{00000000-2071-4F51-A530-10A565230D61}"/>
            </c:ext>
          </c:extLst>
        </c:ser>
        <c:dLbls>
          <c:showLegendKey val="0"/>
          <c:showVal val="0"/>
          <c:showCatName val="0"/>
          <c:showSerName val="0"/>
          <c:showPercent val="0"/>
          <c:showBubbleSize val="0"/>
        </c:dLbls>
        <c:axId val="876203952"/>
        <c:axId val="876194800"/>
      </c:scatterChart>
      <c:valAx>
        <c:axId val="876203952"/>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6194800"/>
        <c:crosses val="autoZero"/>
        <c:crossBetween val="midCat"/>
      </c:valAx>
      <c:valAx>
        <c:axId val="87619480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620395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8740157499999996" l="0.7" r="0.7" t="0.78740157499999996"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'Serum-Milk-Korr'!$BW$2:$BW$3</c:f>
              <c:strCache>
                <c:ptCount val="2"/>
                <c:pt idx="0">
                  <c:v>br-PFUnDS </c:v>
                </c:pt>
                <c:pt idx="1">
                  <c:v>milk</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0"/>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'Serum-Milk-Korr'!$BV$4:$BV$30</c:f>
              <c:numCache>
                <c:formatCode>0.00</c:formatCode>
                <c:ptCount val="27"/>
                <c:pt idx="3">
                  <c:v>3.51</c:v>
                </c:pt>
                <c:pt idx="4">
                  <c:v>3.46</c:v>
                </c:pt>
                <c:pt idx="5">
                  <c:v>2.1800000000000002</c:v>
                </c:pt>
                <c:pt idx="6">
                  <c:v>43.9</c:v>
                </c:pt>
                <c:pt idx="7">
                  <c:v>20.2</c:v>
                </c:pt>
                <c:pt idx="8">
                  <c:v>37.5</c:v>
                </c:pt>
                <c:pt idx="9">
                  <c:v>37.299999999999997</c:v>
                </c:pt>
                <c:pt idx="10">
                  <c:v>29.6</c:v>
                </c:pt>
                <c:pt idx="11">
                  <c:v>29.5</c:v>
                </c:pt>
                <c:pt idx="12">
                  <c:v>40.4</c:v>
                </c:pt>
                <c:pt idx="13">
                  <c:v>26.5</c:v>
                </c:pt>
                <c:pt idx="14">
                  <c:v>24.4</c:v>
                </c:pt>
                <c:pt idx="15">
                  <c:v>25.7</c:v>
                </c:pt>
                <c:pt idx="16">
                  <c:v>14.1</c:v>
                </c:pt>
                <c:pt idx="17">
                  <c:v>12.7</c:v>
                </c:pt>
                <c:pt idx="18">
                  <c:v>6.9</c:v>
                </c:pt>
                <c:pt idx="19">
                  <c:v>4.12</c:v>
                </c:pt>
                <c:pt idx="20">
                  <c:v>3.6</c:v>
                </c:pt>
                <c:pt idx="21">
                  <c:v>1.63</c:v>
                </c:pt>
                <c:pt idx="22">
                  <c:v>1.04</c:v>
                </c:pt>
                <c:pt idx="23">
                  <c:v>1.1399999999999999</c:v>
                </c:pt>
                <c:pt idx="24">
                  <c:v>0.81899999999999995</c:v>
                </c:pt>
              </c:numCache>
            </c:numRef>
          </c:xVal>
          <c:yVal>
            <c:numRef>
              <c:f>'Serum-Milk-Korr'!$BW$4:$BW$30</c:f>
              <c:numCache>
                <c:formatCode>0.00</c:formatCode>
                <c:ptCount val="27"/>
                <c:pt idx="0">
                  <c:v>0</c:v>
                </c:pt>
                <c:pt idx="1">
                  <c:v>0</c:v>
                </c:pt>
                <c:pt idx="2">
                  <c:v>0</c:v>
                </c:pt>
                <c:pt idx="3">
                  <c:v>0.44154062465152655</c:v>
                </c:pt>
                <c:pt idx="4">
                  <c:v>0.13218645795696118</c:v>
                </c:pt>
                <c:pt idx="5">
                  <c:v>0.17289452509140305</c:v>
                </c:pt>
                <c:pt idx="6">
                  <c:v>1.8463504174720931</c:v>
                </c:pt>
                <c:pt idx="7">
                  <c:v>0.73344088456303003</c:v>
                </c:pt>
                <c:pt idx="8">
                  <c:v>1.608714992248379</c:v>
                </c:pt>
                <c:pt idx="9">
                  <c:v>1.0730215300607702</c:v>
                </c:pt>
                <c:pt idx="10">
                  <c:v>0.55580561642446102</c:v>
                </c:pt>
                <c:pt idx="11">
                  <c:v>0.85592688848670007</c:v>
                </c:pt>
                <c:pt idx="12">
                  <c:v>1.2810854887995107</c:v>
                </c:pt>
                <c:pt idx="13">
                  <c:v>0.73596285630648461</c:v>
                </c:pt>
                <c:pt idx="14">
                  <c:v>0.84985241895705244</c:v>
                </c:pt>
                <c:pt idx="15">
                  <c:v>0.4565276526168805</c:v>
                </c:pt>
                <c:pt idx="16">
                  <c:v>0.23165116512665584</c:v>
                </c:pt>
                <c:pt idx="17">
                  <c:v>0.23967456300601991</c:v>
                </c:pt>
                <c:pt idx="18">
                  <c:v>8.1125351492378997E-2</c:v>
                </c:pt>
                <c:pt idx="19">
                  <c:v>4.3289365852070952E-2</c:v>
                </c:pt>
                <c:pt idx="20">
                  <c:v>0</c:v>
                </c:pt>
                <c:pt idx="21">
                  <c:v>0</c:v>
                </c:pt>
                <c:pt idx="22">
                  <c:v>0</c:v>
                </c:pt>
                <c:pt idx="23">
                  <c:v>0</c:v>
                </c:pt>
                <c:pt idx="24">
                  <c:v>0</c:v>
                </c:pt>
                <c:pt idx="25">
                  <c:v>0</c:v>
                </c:pt>
                <c:pt idx="26">
                  <c:v>0</c:v>
                </c:pt>
              </c:numCache>
            </c:numRef>
          </c:yVal>
          <c:smooth val="0"/>
          <c:extLst>
            <c:ext xmlns:c16="http://schemas.microsoft.com/office/drawing/2014/chart" uri="{C3380CC4-5D6E-409C-BE32-E72D297353CC}">
              <c16:uniqueId val="{00000000-ABE9-439F-A5DC-84567A139489}"/>
            </c:ext>
          </c:extLst>
        </c:ser>
        <c:dLbls>
          <c:showLegendKey val="0"/>
          <c:showVal val="0"/>
          <c:showCatName val="0"/>
          <c:showSerName val="0"/>
          <c:showPercent val="0"/>
          <c:showBubbleSize val="0"/>
        </c:dLbls>
        <c:axId val="871565456"/>
        <c:axId val="871565872"/>
      </c:scatterChart>
      <c:valAx>
        <c:axId val="87156545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1565872"/>
        <c:crosses val="autoZero"/>
        <c:crossBetween val="midCat"/>
      </c:valAx>
      <c:valAx>
        <c:axId val="87156587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156545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8740157499999996" l="0.7" r="0.7" t="0.78740157499999996"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'Serum-Milk-Korr'!$BY$2:$BY$3</c:f>
              <c:strCache>
                <c:ptCount val="2"/>
                <c:pt idx="0">
                  <c:v>br-PFDoDS </c:v>
                </c:pt>
                <c:pt idx="1">
                  <c:v>milk</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0"/>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'Serum-Milk-Korr'!$BX$4:$BX$30</c:f>
              <c:numCache>
                <c:formatCode>0.00</c:formatCode>
                <c:ptCount val="27"/>
                <c:pt idx="3">
                  <c:v>2.21</c:v>
                </c:pt>
                <c:pt idx="4">
                  <c:v>2.39</c:v>
                </c:pt>
                <c:pt idx="5">
                  <c:v>1.43</c:v>
                </c:pt>
                <c:pt idx="6">
                  <c:v>22.9</c:v>
                </c:pt>
                <c:pt idx="7">
                  <c:v>9.32</c:v>
                </c:pt>
                <c:pt idx="8">
                  <c:v>20.3</c:v>
                </c:pt>
                <c:pt idx="9">
                  <c:v>12.3</c:v>
                </c:pt>
                <c:pt idx="10">
                  <c:v>9.2100000000000009</c:v>
                </c:pt>
                <c:pt idx="11">
                  <c:v>10.7</c:v>
                </c:pt>
                <c:pt idx="12">
                  <c:v>16.600000000000001</c:v>
                </c:pt>
                <c:pt idx="13">
                  <c:v>9.9</c:v>
                </c:pt>
                <c:pt idx="14">
                  <c:v>9.09</c:v>
                </c:pt>
                <c:pt idx="15">
                  <c:v>6.76</c:v>
                </c:pt>
                <c:pt idx="16">
                  <c:v>3.08</c:v>
                </c:pt>
                <c:pt idx="17">
                  <c:v>2.78</c:v>
                </c:pt>
                <c:pt idx="18">
                  <c:v>1.1200000000000001</c:v>
                </c:pt>
                <c:pt idx="19">
                  <c:v>0.63700000000000001</c:v>
                </c:pt>
                <c:pt idx="20">
                  <c:v>0.58299999999999996</c:v>
                </c:pt>
              </c:numCache>
            </c:numRef>
          </c:xVal>
          <c:yVal>
            <c:numRef>
              <c:f>'Serum-Milk-Korr'!$BY$4:$BY$30</c:f>
              <c:numCache>
                <c:formatCode>0.00</c:formatCode>
                <c:ptCount val="27"/>
                <c:pt idx="0">
                  <c:v>0</c:v>
                </c:pt>
                <c:pt idx="1">
                  <c:v>0</c:v>
                </c:pt>
                <c:pt idx="2">
                  <c:v>0</c:v>
                </c:pt>
                <c:pt idx="3">
                  <c:v>0.12534287001228395</c:v>
                </c:pt>
                <c:pt idx="4">
                  <c:v>4.1003157029536594E-2</c:v>
                </c:pt>
                <c:pt idx="5">
                  <c:v>4.9447564206956299E-2</c:v>
                </c:pt>
                <c:pt idx="6">
                  <c:v>0.40866443218217702</c:v>
                </c:pt>
                <c:pt idx="7">
                  <c:v>0.15659987917422924</c:v>
                </c:pt>
                <c:pt idx="8">
                  <c:v>0.34982015776777198</c:v>
                </c:pt>
                <c:pt idx="9">
                  <c:v>0.15222149177864505</c:v>
                </c:pt>
                <c:pt idx="10">
                  <c:v>7.8153960323339808E-2</c:v>
                </c:pt>
                <c:pt idx="11">
                  <c:v>0.1080090741365741</c:v>
                </c:pt>
                <c:pt idx="12">
                  <c:v>0.21644478226953898</c:v>
                </c:pt>
                <c:pt idx="13">
                  <c:v>0.13653732913296135</c:v>
                </c:pt>
                <c:pt idx="14">
                  <c:v>0.13821241956749036</c:v>
                </c:pt>
                <c:pt idx="15">
                  <c:v>5.7540755837430298E-2</c:v>
                </c:pt>
                <c:pt idx="16">
                  <c:v>2.7184566126550052E-2</c:v>
                </c:pt>
                <c:pt idx="17">
                  <c:v>2.421763243523305E-2</c:v>
                </c:pt>
                <c:pt idx="18">
                  <c:v>0</c:v>
                </c:pt>
                <c:pt idx="19">
                  <c:v>0</c:v>
                </c:pt>
                <c:pt idx="20">
                  <c:v>0</c:v>
                </c:pt>
                <c:pt idx="21">
                  <c:v>0</c:v>
                </c:pt>
                <c:pt idx="22">
                  <c:v>0</c:v>
                </c:pt>
                <c:pt idx="23">
                  <c:v>0</c:v>
                </c:pt>
                <c:pt idx="24">
                  <c:v>0</c:v>
                </c:pt>
                <c:pt idx="25">
                  <c:v>0</c:v>
                </c:pt>
                <c:pt idx="26">
                  <c:v>0</c:v>
                </c:pt>
              </c:numCache>
            </c:numRef>
          </c:yVal>
          <c:smooth val="0"/>
          <c:extLst>
            <c:ext xmlns:c16="http://schemas.microsoft.com/office/drawing/2014/chart" uri="{C3380CC4-5D6E-409C-BE32-E72D297353CC}">
              <c16:uniqueId val="{00000000-8B1E-462B-B068-362A59B79EE7}"/>
            </c:ext>
          </c:extLst>
        </c:ser>
        <c:dLbls>
          <c:showLegendKey val="0"/>
          <c:showVal val="0"/>
          <c:showCatName val="0"/>
          <c:showSerName val="0"/>
          <c:showPercent val="0"/>
          <c:showBubbleSize val="0"/>
        </c:dLbls>
        <c:axId val="871560880"/>
        <c:axId val="871542576"/>
      </c:scatterChart>
      <c:valAx>
        <c:axId val="871560880"/>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1542576"/>
        <c:crosses val="autoZero"/>
        <c:crossBetween val="midCat"/>
      </c:valAx>
      <c:valAx>
        <c:axId val="87154257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156088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8740157499999996" l="0.7" r="0.7" t="0.78740157499999996"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'Serum-Milk-Korr'!$CA$2:$CA$3</c:f>
              <c:strCache>
                <c:ptCount val="2"/>
                <c:pt idx="0">
                  <c:v>br-PFTrDS </c:v>
                </c:pt>
                <c:pt idx="1">
                  <c:v>milk</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0"/>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'Serum-Milk-Korr'!$BZ$4:$BZ$30</c:f>
              <c:numCache>
                <c:formatCode>0.00</c:formatCode>
                <c:ptCount val="27"/>
                <c:pt idx="4">
                  <c:v>1.1399999999999999</c:v>
                </c:pt>
                <c:pt idx="5">
                  <c:v>0.66100000000000003</c:v>
                </c:pt>
                <c:pt idx="6">
                  <c:v>8.6300000000000008</c:v>
                </c:pt>
                <c:pt idx="7">
                  <c:v>3.75</c:v>
                </c:pt>
                <c:pt idx="8">
                  <c:v>7.82</c:v>
                </c:pt>
                <c:pt idx="9">
                  <c:v>3.4</c:v>
                </c:pt>
                <c:pt idx="10">
                  <c:v>2.52</c:v>
                </c:pt>
                <c:pt idx="11">
                  <c:v>2.8</c:v>
                </c:pt>
                <c:pt idx="12">
                  <c:v>4.54</c:v>
                </c:pt>
                <c:pt idx="13">
                  <c:v>3</c:v>
                </c:pt>
                <c:pt idx="14">
                  <c:v>2.59</c:v>
                </c:pt>
                <c:pt idx="15">
                  <c:v>1.26</c:v>
                </c:pt>
                <c:pt idx="16">
                  <c:v>0.55400000000000005</c:v>
                </c:pt>
                <c:pt idx="17">
                  <c:v>0.51900000000000002</c:v>
                </c:pt>
              </c:numCache>
            </c:numRef>
          </c:xVal>
          <c:yVal>
            <c:numRef>
              <c:f>'Serum-Milk-Korr'!$CA$4:$CA$30</c:f>
              <c:numCache>
                <c:formatCode>0.00</c:formatCode>
                <c:ptCount val="27"/>
                <c:pt idx="0">
                  <c:v>0</c:v>
                </c:pt>
                <c:pt idx="1">
                  <c:v>0</c:v>
                </c:pt>
                <c:pt idx="2">
                  <c:v>0</c:v>
                </c:pt>
                <c:pt idx="3">
                  <c:v>5.0288467165350605E-2</c:v>
                </c:pt>
                <c:pt idx="4">
                  <c:v>2.2455549144666177E-2</c:v>
                </c:pt>
                <c:pt idx="5">
                  <c:v>2.9113419824988634E-2</c:v>
                </c:pt>
                <c:pt idx="6">
                  <c:v>0.18121911757366274</c:v>
                </c:pt>
                <c:pt idx="7">
                  <c:v>7.2378222425363542E-2</c:v>
                </c:pt>
                <c:pt idx="8">
                  <c:v>0.1612771691561265</c:v>
                </c:pt>
                <c:pt idx="9">
                  <c:v>5.0528676136253253E-2</c:v>
                </c:pt>
                <c:pt idx="10">
                  <c:v>2.7501892787467848E-2</c:v>
                </c:pt>
                <c:pt idx="11">
                  <c:v>3.4098407660503802E-2</c:v>
                </c:pt>
                <c:pt idx="12">
                  <c:v>7.1160662144487546E-2</c:v>
                </c:pt>
                <c:pt idx="13">
                  <c:v>4.9065624402986653E-2</c:v>
                </c:pt>
                <c:pt idx="14">
                  <c:v>4.6111374534836103E-2</c:v>
                </c:pt>
                <c:pt idx="15">
                  <c:v>1.2979008341621046E-2</c:v>
                </c:pt>
                <c:pt idx="16">
                  <c:v>0</c:v>
                </c:pt>
                <c:pt idx="17">
                  <c:v>0</c:v>
                </c:pt>
                <c:pt idx="18">
                  <c:v>0</c:v>
                </c:pt>
                <c:pt idx="19">
                  <c:v>0</c:v>
                </c:pt>
                <c:pt idx="20">
                  <c:v>0</c:v>
                </c:pt>
                <c:pt idx="21">
                  <c:v>0</c:v>
                </c:pt>
                <c:pt idx="22">
                  <c:v>0</c:v>
                </c:pt>
                <c:pt idx="23">
                  <c:v>0</c:v>
                </c:pt>
                <c:pt idx="24">
                  <c:v>0</c:v>
                </c:pt>
                <c:pt idx="25">
                  <c:v>0</c:v>
                </c:pt>
                <c:pt idx="26">
                  <c:v>0</c:v>
                </c:pt>
              </c:numCache>
            </c:numRef>
          </c:yVal>
          <c:smooth val="0"/>
          <c:extLst>
            <c:ext xmlns:c16="http://schemas.microsoft.com/office/drawing/2014/chart" uri="{C3380CC4-5D6E-409C-BE32-E72D297353CC}">
              <c16:uniqueId val="{00000000-AF39-448C-872F-94FA5F42BA43}"/>
            </c:ext>
          </c:extLst>
        </c:ser>
        <c:dLbls>
          <c:showLegendKey val="0"/>
          <c:showVal val="0"/>
          <c:showCatName val="0"/>
          <c:showSerName val="0"/>
          <c:showPercent val="0"/>
          <c:showBubbleSize val="0"/>
        </c:dLbls>
        <c:axId val="876223088"/>
        <c:axId val="876220176"/>
      </c:scatterChart>
      <c:valAx>
        <c:axId val="876223088"/>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6220176"/>
        <c:crosses val="autoZero"/>
        <c:crossBetween val="midCat"/>
      </c:valAx>
      <c:valAx>
        <c:axId val="87622017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622308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8740157499999996" l="0.7" r="0.7" t="0.78740157499999996"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'Serum-Milk-Korr'!$G$68</c:f>
              <c:strCache>
                <c:ptCount val="1"/>
                <c:pt idx="0">
                  <c:v>n-PFCAs</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0"/>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'Serum-Milk-Korr'!$F$69:$F$79</c:f>
              <c:numCache>
                <c:formatCode>General</c:formatCode>
                <c:ptCount val="11"/>
                <c:pt idx="0">
                  <c:v>4</c:v>
                </c:pt>
                <c:pt idx="1">
                  <c:v>5</c:v>
                </c:pt>
                <c:pt idx="2">
                  <c:v>6</c:v>
                </c:pt>
                <c:pt idx="3">
                  <c:v>7</c:v>
                </c:pt>
                <c:pt idx="4">
                  <c:v>8</c:v>
                </c:pt>
                <c:pt idx="5">
                  <c:v>9</c:v>
                </c:pt>
                <c:pt idx="6">
                  <c:v>10</c:v>
                </c:pt>
                <c:pt idx="7">
                  <c:v>11</c:v>
                </c:pt>
                <c:pt idx="8">
                  <c:v>12</c:v>
                </c:pt>
                <c:pt idx="9">
                  <c:v>13</c:v>
                </c:pt>
                <c:pt idx="10">
                  <c:v>14</c:v>
                </c:pt>
              </c:numCache>
            </c:numRef>
          </c:xVal>
          <c:yVal>
            <c:numRef>
              <c:f>'Serum-Milk-Korr'!$G$69:$G$79</c:f>
              <c:numCache>
                <c:formatCode>General</c:formatCode>
                <c:ptCount val="11"/>
                <c:pt idx="0">
                  <c:v>0.71819999999999995</c:v>
                </c:pt>
                <c:pt idx="4">
                  <c:v>0.77710000000000001</c:v>
                </c:pt>
                <c:pt idx="6">
                  <c:v>0.35210000000000002</c:v>
                </c:pt>
                <c:pt idx="7">
                  <c:v>0.23630000000000001</c:v>
                </c:pt>
                <c:pt idx="8">
                  <c:v>0.50519999999999998</c:v>
                </c:pt>
                <c:pt idx="9">
                  <c:v>0.69730000000000003</c:v>
                </c:pt>
                <c:pt idx="10">
                  <c:v>0.35439999999999999</c:v>
                </c:pt>
              </c:numCache>
            </c:numRef>
          </c:yVal>
          <c:smooth val="0"/>
          <c:extLst>
            <c:ext xmlns:c16="http://schemas.microsoft.com/office/drawing/2014/chart" uri="{C3380CC4-5D6E-409C-BE32-E72D297353CC}">
              <c16:uniqueId val="{00000000-3FA3-44DF-9C7B-BB26DE9C27A6}"/>
            </c:ext>
          </c:extLst>
        </c:ser>
        <c:ser>
          <c:idx val="1"/>
          <c:order val="1"/>
          <c:tx>
            <c:strRef>
              <c:f>'Serum-Milk-Korr'!$H$68</c:f>
              <c:strCache>
                <c:ptCount val="1"/>
                <c:pt idx="0">
                  <c:v>n-PFSAs</c:v>
                </c:pt>
              </c:strCache>
            </c:strRef>
          </c:tx>
          <c:spPr>
            <a:ln w="1905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1"/>
            <c:dispEq val="0"/>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'Serum-Milk-Korr'!$F$69:$F$79</c:f>
              <c:numCache>
                <c:formatCode>General</c:formatCode>
                <c:ptCount val="11"/>
                <c:pt idx="0">
                  <c:v>4</c:v>
                </c:pt>
                <c:pt idx="1">
                  <c:v>5</c:v>
                </c:pt>
                <c:pt idx="2">
                  <c:v>6</c:v>
                </c:pt>
                <c:pt idx="3">
                  <c:v>7</c:v>
                </c:pt>
                <c:pt idx="4">
                  <c:v>8</c:v>
                </c:pt>
                <c:pt idx="5">
                  <c:v>9</c:v>
                </c:pt>
                <c:pt idx="6">
                  <c:v>10</c:v>
                </c:pt>
                <c:pt idx="7">
                  <c:v>11</c:v>
                </c:pt>
                <c:pt idx="8">
                  <c:v>12</c:v>
                </c:pt>
                <c:pt idx="9">
                  <c:v>13</c:v>
                </c:pt>
                <c:pt idx="10">
                  <c:v>14</c:v>
                </c:pt>
              </c:numCache>
            </c:numRef>
          </c:xVal>
          <c:yVal>
            <c:numRef>
              <c:f>'Serum-Milk-Korr'!$H$69:$H$79</c:f>
              <c:numCache>
                <c:formatCode>General</c:formatCode>
                <c:ptCount val="11"/>
                <c:pt idx="2">
                  <c:v>0.86699999999999999</c:v>
                </c:pt>
                <c:pt idx="3">
                  <c:v>0.60929999999999995</c:v>
                </c:pt>
                <c:pt idx="4">
                  <c:v>0.72170000000000001</c:v>
                </c:pt>
                <c:pt idx="5">
                  <c:v>0.77959999999999996</c:v>
                </c:pt>
                <c:pt idx="6">
                  <c:v>0.7641</c:v>
                </c:pt>
                <c:pt idx="7">
                  <c:v>0.78639999999999999</c:v>
                </c:pt>
                <c:pt idx="8">
                  <c:v>0.84550000000000003</c:v>
                </c:pt>
              </c:numCache>
            </c:numRef>
          </c:yVal>
          <c:smooth val="0"/>
          <c:extLst>
            <c:ext xmlns:c16="http://schemas.microsoft.com/office/drawing/2014/chart" uri="{C3380CC4-5D6E-409C-BE32-E72D297353CC}">
              <c16:uniqueId val="{00000001-3FA3-44DF-9C7B-BB26DE9C27A6}"/>
            </c:ext>
          </c:extLst>
        </c:ser>
        <c:ser>
          <c:idx val="2"/>
          <c:order val="2"/>
          <c:tx>
            <c:strRef>
              <c:f>'Serum-Milk-Korr'!$I$68</c:f>
              <c:strCache>
                <c:ptCount val="1"/>
                <c:pt idx="0">
                  <c:v>br-PFCA</c:v>
                </c:pt>
              </c:strCache>
            </c:strRef>
          </c:tx>
          <c:spPr>
            <a:ln w="19050" cap="rnd">
              <a:noFill/>
              <a:round/>
            </a:ln>
            <a:effectLst/>
          </c:spPr>
          <c:marker>
            <c:symbol val="circle"/>
            <c:size val="5"/>
            <c:spPr>
              <a:solidFill>
                <a:schemeClr val="accent3"/>
              </a:solidFill>
              <a:ln w="9525">
                <a:solidFill>
                  <a:schemeClr val="accent3"/>
                </a:solidFill>
              </a:ln>
              <a:effectLst/>
            </c:spPr>
          </c:marker>
          <c:xVal>
            <c:numRef>
              <c:f>'Serum-Milk-Korr'!$F$69:$F$79</c:f>
              <c:numCache>
                <c:formatCode>General</c:formatCode>
                <c:ptCount val="11"/>
                <c:pt idx="0">
                  <c:v>4</c:v>
                </c:pt>
                <c:pt idx="1">
                  <c:v>5</c:v>
                </c:pt>
                <c:pt idx="2">
                  <c:v>6</c:v>
                </c:pt>
                <c:pt idx="3">
                  <c:v>7</c:v>
                </c:pt>
                <c:pt idx="4">
                  <c:v>8</c:v>
                </c:pt>
                <c:pt idx="5">
                  <c:v>9</c:v>
                </c:pt>
                <c:pt idx="6">
                  <c:v>10</c:v>
                </c:pt>
                <c:pt idx="7">
                  <c:v>11</c:v>
                </c:pt>
                <c:pt idx="8">
                  <c:v>12</c:v>
                </c:pt>
                <c:pt idx="9">
                  <c:v>13</c:v>
                </c:pt>
                <c:pt idx="10">
                  <c:v>14</c:v>
                </c:pt>
              </c:numCache>
            </c:numRef>
          </c:xVal>
          <c:yVal>
            <c:numRef>
              <c:f>'Serum-Milk-Korr'!$I$69:$I$79</c:f>
              <c:numCache>
                <c:formatCode>General</c:formatCode>
                <c:ptCount val="11"/>
                <c:pt idx="4">
                  <c:v>0.41980000000000001</c:v>
                </c:pt>
              </c:numCache>
            </c:numRef>
          </c:yVal>
          <c:smooth val="0"/>
          <c:extLst>
            <c:ext xmlns:c16="http://schemas.microsoft.com/office/drawing/2014/chart" uri="{C3380CC4-5D6E-409C-BE32-E72D297353CC}">
              <c16:uniqueId val="{00000002-3FA3-44DF-9C7B-BB26DE9C27A6}"/>
            </c:ext>
          </c:extLst>
        </c:ser>
        <c:ser>
          <c:idx val="3"/>
          <c:order val="3"/>
          <c:tx>
            <c:strRef>
              <c:f>'Serum-Milk-Korr'!$J$68</c:f>
              <c:strCache>
                <c:ptCount val="1"/>
                <c:pt idx="0">
                  <c:v>br-PFSAs</c:v>
                </c:pt>
              </c:strCache>
            </c:strRef>
          </c:tx>
          <c:spPr>
            <a:ln w="19050" cap="rnd">
              <a:noFill/>
              <a:round/>
            </a:ln>
            <a:effectLst/>
          </c:spPr>
          <c:marker>
            <c:symbol val="circle"/>
            <c:size val="5"/>
            <c:spPr>
              <a:solidFill>
                <a:schemeClr val="accent4"/>
              </a:solidFill>
              <a:ln w="9525">
                <a:solidFill>
                  <a:schemeClr val="accent4"/>
                </a:solidFill>
              </a:ln>
              <a:effectLst/>
            </c:spPr>
          </c:marker>
          <c:trendline>
            <c:spPr>
              <a:ln w="19050" cap="rnd">
                <a:solidFill>
                  <a:schemeClr val="accent4"/>
                </a:solidFill>
                <a:prstDash val="sysDot"/>
              </a:ln>
              <a:effectLst/>
            </c:spPr>
            <c:trendlineType val="linear"/>
            <c:dispRSqr val="1"/>
            <c:dispEq val="0"/>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'Serum-Milk-Korr'!$F$69:$F$79</c:f>
              <c:numCache>
                <c:formatCode>General</c:formatCode>
                <c:ptCount val="11"/>
                <c:pt idx="0">
                  <c:v>4</c:v>
                </c:pt>
                <c:pt idx="1">
                  <c:v>5</c:v>
                </c:pt>
                <c:pt idx="2">
                  <c:v>6</c:v>
                </c:pt>
                <c:pt idx="3">
                  <c:v>7</c:v>
                </c:pt>
                <c:pt idx="4">
                  <c:v>8</c:v>
                </c:pt>
                <c:pt idx="5">
                  <c:v>9</c:v>
                </c:pt>
                <c:pt idx="6">
                  <c:v>10</c:v>
                </c:pt>
                <c:pt idx="7">
                  <c:v>11</c:v>
                </c:pt>
                <c:pt idx="8">
                  <c:v>12</c:v>
                </c:pt>
                <c:pt idx="9">
                  <c:v>13</c:v>
                </c:pt>
                <c:pt idx="10">
                  <c:v>14</c:v>
                </c:pt>
              </c:numCache>
            </c:numRef>
          </c:xVal>
          <c:yVal>
            <c:numRef>
              <c:f>'Serum-Milk-Korr'!$J$69:$J$79</c:f>
              <c:numCache>
                <c:formatCode>General</c:formatCode>
                <c:ptCount val="11"/>
                <c:pt idx="4">
                  <c:v>0.72750000000000004</c:v>
                </c:pt>
                <c:pt idx="5">
                  <c:v>0.71419999999999995</c:v>
                </c:pt>
                <c:pt idx="6">
                  <c:v>0.70840000000000003</c:v>
                </c:pt>
                <c:pt idx="7">
                  <c:v>0.85729999999999995</c:v>
                </c:pt>
                <c:pt idx="8">
                  <c:v>0.88100000000000001</c:v>
                </c:pt>
                <c:pt idx="9">
                  <c:v>0.95679999999999998</c:v>
                </c:pt>
              </c:numCache>
            </c:numRef>
          </c:yVal>
          <c:smooth val="0"/>
          <c:extLst>
            <c:ext xmlns:c16="http://schemas.microsoft.com/office/drawing/2014/chart" uri="{C3380CC4-5D6E-409C-BE32-E72D297353CC}">
              <c16:uniqueId val="{00000003-3FA3-44DF-9C7B-BB26DE9C27A6}"/>
            </c:ext>
          </c:extLst>
        </c:ser>
        <c:dLbls>
          <c:showLegendKey val="0"/>
          <c:showVal val="0"/>
          <c:showCatName val="0"/>
          <c:showSerName val="0"/>
          <c:showPercent val="0"/>
          <c:showBubbleSize val="0"/>
        </c:dLbls>
        <c:axId val="1277207072"/>
        <c:axId val="1277202080"/>
      </c:scatterChart>
      <c:valAx>
        <c:axId val="12772070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7202080"/>
        <c:crosses val="autoZero"/>
        <c:crossBetween val="midCat"/>
      </c:valAx>
      <c:valAx>
        <c:axId val="1277202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720707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8740157499999996" l="0.7" r="0.7" t="0.78740157499999996"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92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layout>
                <c:manualLayout>
                  <c:x val="5.9204505686789151E-2"/>
                  <c:y val="-0.34509842519685041"/>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trendlineLbl>
          </c:trendline>
          <c:xVal>
            <c:numRef>
              <c:f>Serum!$B$42:$B$46</c:f>
              <c:numCache>
                <c:formatCode>General</c:formatCode>
                <c:ptCount val="5"/>
                <c:pt idx="0">
                  <c:v>1</c:v>
                </c:pt>
                <c:pt idx="1">
                  <c:v>5</c:v>
                </c:pt>
                <c:pt idx="2">
                  <c:v>17</c:v>
                </c:pt>
                <c:pt idx="3">
                  <c:v>45</c:v>
                </c:pt>
                <c:pt idx="4">
                  <c:v>80</c:v>
                </c:pt>
              </c:numCache>
            </c:numRef>
          </c:xVal>
          <c:yVal>
            <c:numRef>
              <c:f>Serum!$AV$42:$AV$46</c:f>
              <c:numCache>
                <c:formatCode>General</c:formatCode>
                <c:ptCount val="5"/>
                <c:pt idx="0">
                  <c:v>6.9514237783606907</c:v>
                </c:pt>
                <c:pt idx="1">
                  <c:v>6.7475853531197068</c:v>
                </c:pt>
                <c:pt idx="2">
                  <c:v>6.171456308702207</c:v>
                </c:pt>
                <c:pt idx="3">
                  <c:v>5.1775047463312882</c:v>
                </c:pt>
                <c:pt idx="4">
                  <c:v>4.4973622333537859</c:v>
                </c:pt>
              </c:numCache>
            </c:numRef>
          </c:yVal>
          <c:smooth val="0"/>
          <c:extLst>
            <c:ext xmlns:c16="http://schemas.microsoft.com/office/drawing/2014/chart" uri="{C3380CC4-5D6E-409C-BE32-E72D297353CC}">
              <c16:uniqueId val="{00000000-82AD-4197-B098-F7FC79F5FB9D}"/>
            </c:ext>
          </c:extLst>
        </c:ser>
        <c:dLbls>
          <c:showLegendKey val="0"/>
          <c:showVal val="0"/>
          <c:showCatName val="0"/>
          <c:showSerName val="0"/>
          <c:showPercent val="0"/>
          <c:showBubbleSize val="0"/>
        </c:dLbls>
        <c:axId val="633946207"/>
        <c:axId val="633963263"/>
      </c:scatterChart>
      <c:valAx>
        <c:axId val="6339462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633963263"/>
        <c:crosses val="autoZero"/>
        <c:crossBetween val="midCat"/>
      </c:valAx>
      <c:valAx>
        <c:axId val="6339632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633946207"/>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600"/>
      </a:pPr>
      <a:endParaRPr lang="en-US"/>
    </a:p>
  </c:txPr>
  <c:printSettings>
    <c:headerFooter/>
    <c:pageMargins b="0.78740157499999996" l="0.7" r="0.7" t="0.78740157499999996"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Organe!$D$2</c:f>
              <c:strCache>
                <c:ptCount val="1"/>
                <c:pt idx="0">
                  <c:v>PFBA</c:v>
                </c:pt>
              </c:strCache>
            </c:strRef>
          </c:tx>
          <c:spPr>
            <a:solidFill>
              <a:schemeClr val="accent1"/>
            </a:solidFill>
            <a:ln>
              <a:noFill/>
            </a:ln>
            <a:effectLst/>
          </c:spPr>
          <c:invertIfNegative val="0"/>
          <c:cat>
            <c:strRef>
              <c:extLst>
                <c:ext xmlns:c15="http://schemas.microsoft.com/office/drawing/2012/chart" uri="{02D57815-91ED-43cb-92C2-25804820EDAC}">
                  <c15:fullRef>
                    <c15:sqref>Organe!$C$35:$C$41</c15:sqref>
                  </c15:fullRef>
                </c:ext>
              </c:extLst>
              <c:f>Organe!$C$35</c:f>
              <c:strCache>
                <c:ptCount val="1"/>
                <c:pt idx="0">
                  <c:v>Liver</c:v>
                </c:pt>
              </c:strCache>
            </c:strRef>
          </c:cat>
          <c:val>
            <c:numRef>
              <c:extLst>
                <c:ext xmlns:c15="http://schemas.microsoft.com/office/drawing/2012/chart" uri="{02D57815-91ED-43cb-92C2-25804820EDAC}">
                  <c15:fullRef>
                    <c15:sqref>Organe!$D$35:$D$41</c15:sqref>
                  </c15:fullRef>
                </c:ext>
              </c:extLst>
              <c:f>Organe!$D$35</c:f>
              <c:numCache>
                <c:formatCode>0.0</c:formatCode>
                <c:ptCount val="1"/>
              </c:numCache>
            </c:numRef>
          </c:val>
          <c:extLst>
            <c:ext xmlns:c16="http://schemas.microsoft.com/office/drawing/2014/chart" uri="{C3380CC4-5D6E-409C-BE32-E72D297353CC}">
              <c16:uniqueId val="{00000000-D3BA-48A9-940B-FC4E916B4B23}"/>
            </c:ext>
          </c:extLst>
        </c:ser>
        <c:ser>
          <c:idx val="1"/>
          <c:order val="1"/>
          <c:tx>
            <c:strRef>
              <c:f>Organe!$E$2</c:f>
              <c:strCache>
                <c:ptCount val="1"/>
                <c:pt idx="0">
                  <c:v>PFPeA </c:v>
                </c:pt>
              </c:strCache>
            </c:strRef>
          </c:tx>
          <c:spPr>
            <a:solidFill>
              <a:schemeClr val="accent2"/>
            </a:solidFill>
            <a:ln>
              <a:noFill/>
            </a:ln>
            <a:effectLst/>
          </c:spPr>
          <c:invertIfNegative val="0"/>
          <c:cat>
            <c:strRef>
              <c:extLst>
                <c:ext xmlns:c15="http://schemas.microsoft.com/office/drawing/2012/chart" uri="{02D57815-91ED-43cb-92C2-25804820EDAC}">
                  <c15:fullRef>
                    <c15:sqref>Organe!$C$35:$C$41</c15:sqref>
                  </c15:fullRef>
                </c:ext>
              </c:extLst>
              <c:f>Organe!$C$35</c:f>
              <c:strCache>
                <c:ptCount val="1"/>
                <c:pt idx="0">
                  <c:v>Liver</c:v>
                </c:pt>
              </c:strCache>
            </c:strRef>
          </c:cat>
          <c:val>
            <c:numRef>
              <c:extLst>
                <c:ext xmlns:c15="http://schemas.microsoft.com/office/drawing/2012/chart" uri="{02D57815-91ED-43cb-92C2-25804820EDAC}">
                  <c15:fullRef>
                    <c15:sqref>Organe!$E$35:$E$41</c15:sqref>
                  </c15:fullRef>
                </c:ext>
              </c:extLst>
              <c:f>Organe!$E$35</c:f>
              <c:numCache>
                <c:formatCode>0.0</c:formatCode>
                <c:ptCount val="1"/>
              </c:numCache>
            </c:numRef>
          </c:val>
          <c:extLst>
            <c:ext xmlns:c16="http://schemas.microsoft.com/office/drawing/2014/chart" uri="{C3380CC4-5D6E-409C-BE32-E72D297353CC}">
              <c16:uniqueId val="{00000001-D3BA-48A9-940B-FC4E916B4B23}"/>
            </c:ext>
          </c:extLst>
        </c:ser>
        <c:ser>
          <c:idx val="2"/>
          <c:order val="2"/>
          <c:tx>
            <c:strRef>
              <c:f>Organe!$F$2</c:f>
              <c:strCache>
                <c:ptCount val="1"/>
                <c:pt idx="0">
                  <c:v>PFHxA </c:v>
                </c:pt>
              </c:strCache>
            </c:strRef>
          </c:tx>
          <c:spPr>
            <a:solidFill>
              <a:schemeClr val="accent3"/>
            </a:solidFill>
            <a:ln>
              <a:noFill/>
            </a:ln>
            <a:effectLst/>
          </c:spPr>
          <c:invertIfNegative val="0"/>
          <c:cat>
            <c:strRef>
              <c:extLst>
                <c:ext xmlns:c15="http://schemas.microsoft.com/office/drawing/2012/chart" uri="{02D57815-91ED-43cb-92C2-25804820EDAC}">
                  <c15:fullRef>
                    <c15:sqref>Organe!$C$35:$C$41</c15:sqref>
                  </c15:fullRef>
                </c:ext>
              </c:extLst>
              <c:f>Organe!$C$35</c:f>
              <c:strCache>
                <c:ptCount val="1"/>
                <c:pt idx="0">
                  <c:v>Liver</c:v>
                </c:pt>
              </c:strCache>
            </c:strRef>
          </c:cat>
          <c:val>
            <c:numRef>
              <c:extLst>
                <c:ext xmlns:c15="http://schemas.microsoft.com/office/drawing/2012/chart" uri="{02D57815-91ED-43cb-92C2-25804820EDAC}">
                  <c15:fullRef>
                    <c15:sqref>Organe!$F$35:$F$41</c15:sqref>
                  </c15:fullRef>
                </c:ext>
              </c:extLst>
              <c:f>Organe!$F$35</c:f>
              <c:numCache>
                <c:formatCode>0.0</c:formatCode>
                <c:ptCount val="1"/>
              </c:numCache>
            </c:numRef>
          </c:val>
          <c:extLst>
            <c:ext xmlns:c16="http://schemas.microsoft.com/office/drawing/2014/chart" uri="{C3380CC4-5D6E-409C-BE32-E72D297353CC}">
              <c16:uniqueId val="{00000002-D3BA-48A9-940B-FC4E916B4B23}"/>
            </c:ext>
          </c:extLst>
        </c:ser>
        <c:ser>
          <c:idx val="3"/>
          <c:order val="3"/>
          <c:tx>
            <c:strRef>
              <c:f>Organe!$G$2</c:f>
              <c:strCache>
                <c:ptCount val="1"/>
                <c:pt idx="0">
                  <c:v>PFHpA </c:v>
                </c:pt>
              </c:strCache>
            </c:strRef>
          </c:tx>
          <c:spPr>
            <a:solidFill>
              <a:schemeClr val="accent4"/>
            </a:solidFill>
            <a:ln>
              <a:noFill/>
            </a:ln>
            <a:effectLst/>
          </c:spPr>
          <c:invertIfNegative val="0"/>
          <c:cat>
            <c:strRef>
              <c:extLst>
                <c:ext xmlns:c15="http://schemas.microsoft.com/office/drawing/2012/chart" uri="{02D57815-91ED-43cb-92C2-25804820EDAC}">
                  <c15:fullRef>
                    <c15:sqref>Organe!$C$35:$C$41</c15:sqref>
                  </c15:fullRef>
                </c:ext>
              </c:extLst>
              <c:f>Organe!$C$35</c:f>
              <c:strCache>
                <c:ptCount val="1"/>
                <c:pt idx="0">
                  <c:v>Liver</c:v>
                </c:pt>
              </c:strCache>
            </c:strRef>
          </c:cat>
          <c:val>
            <c:numRef>
              <c:extLst>
                <c:ext xmlns:c15="http://schemas.microsoft.com/office/drawing/2012/chart" uri="{02D57815-91ED-43cb-92C2-25804820EDAC}">
                  <c15:fullRef>
                    <c15:sqref>Organe!$G$35:$G$41</c15:sqref>
                  </c15:fullRef>
                </c:ext>
              </c:extLst>
              <c:f>Organe!$G$35</c:f>
              <c:numCache>
                <c:formatCode>0.0</c:formatCode>
                <c:ptCount val="1"/>
              </c:numCache>
            </c:numRef>
          </c:val>
          <c:extLst>
            <c:ext xmlns:c16="http://schemas.microsoft.com/office/drawing/2014/chart" uri="{C3380CC4-5D6E-409C-BE32-E72D297353CC}">
              <c16:uniqueId val="{00000003-D3BA-48A9-940B-FC4E916B4B23}"/>
            </c:ext>
          </c:extLst>
        </c:ser>
        <c:ser>
          <c:idx val="4"/>
          <c:order val="4"/>
          <c:tx>
            <c:strRef>
              <c:f>Organe!$H$2</c:f>
              <c:strCache>
                <c:ptCount val="1"/>
                <c:pt idx="0">
                  <c:v>PFOA </c:v>
                </c:pt>
              </c:strCache>
            </c:strRef>
          </c:tx>
          <c:spPr>
            <a:solidFill>
              <a:schemeClr val="accent5"/>
            </a:solidFill>
            <a:ln>
              <a:noFill/>
            </a:ln>
            <a:effectLst/>
          </c:spPr>
          <c:invertIfNegative val="0"/>
          <c:cat>
            <c:strRef>
              <c:extLst>
                <c:ext xmlns:c15="http://schemas.microsoft.com/office/drawing/2012/chart" uri="{02D57815-91ED-43cb-92C2-25804820EDAC}">
                  <c15:fullRef>
                    <c15:sqref>Organe!$C$35:$C$41</c15:sqref>
                  </c15:fullRef>
                </c:ext>
              </c:extLst>
              <c:f>Organe!$C$35</c:f>
              <c:strCache>
                <c:ptCount val="1"/>
                <c:pt idx="0">
                  <c:v>Liver</c:v>
                </c:pt>
              </c:strCache>
            </c:strRef>
          </c:cat>
          <c:val>
            <c:numRef>
              <c:extLst>
                <c:ext xmlns:c15="http://schemas.microsoft.com/office/drawing/2012/chart" uri="{02D57815-91ED-43cb-92C2-25804820EDAC}">
                  <c15:fullRef>
                    <c15:sqref>Organe!$H$35:$H$41</c15:sqref>
                  </c15:fullRef>
                </c:ext>
              </c:extLst>
              <c:f>Organe!$H$35</c:f>
              <c:numCache>
                <c:formatCode>0.0</c:formatCode>
                <c:ptCount val="1"/>
              </c:numCache>
            </c:numRef>
          </c:val>
          <c:extLst>
            <c:ext xmlns:c16="http://schemas.microsoft.com/office/drawing/2014/chart" uri="{C3380CC4-5D6E-409C-BE32-E72D297353CC}">
              <c16:uniqueId val="{00000004-D3BA-48A9-940B-FC4E916B4B23}"/>
            </c:ext>
          </c:extLst>
        </c:ser>
        <c:ser>
          <c:idx val="5"/>
          <c:order val="5"/>
          <c:tx>
            <c:strRef>
              <c:f>Organe!$I$2</c:f>
              <c:strCache>
                <c:ptCount val="1"/>
                <c:pt idx="0">
                  <c:v>PFNA </c:v>
                </c:pt>
              </c:strCache>
            </c:strRef>
          </c:tx>
          <c:spPr>
            <a:solidFill>
              <a:schemeClr val="accent6"/>
            </a:solidFill>
            <a:ln>
              <a:noFill/>
            </a:ln>
            <a:effectLst/>
          </c:spPr>
          <c:invertIfNegative val="0"/>
          <c:cat>
            <c:strRef>
              <c:extLst>
                <c:ext xmlns:c15="http://schemas.microsoft.com/office/drawing/2012/chart" uri="{02D57815-91ED-43cb-92C2-25804820EDAC}">
                  <c15:fullRef>
                    <c15:sqref>Organe!$C$35:$C$41</c15:sqref>
                  </c15:fullRef>
                </c:ext>
              </c:extLst>
              <c:f>Organe!$C$35</c:f>
              <c:strCache>
                <c:ptCount val="1"/>
                <c:pt idx="0">
                  <c:v>Liver</c:v>
                </c:pt>
              </c:strCache>
            </c:strRef>
          </c:cat>
          <c:val>
            <c:numRef>
              <c:extLst>
                <c:ext xmlns:c15="http://schemas.microsoft.com/office/drawing/2012/chart" uri="{02D57815-91ED-43cb-92C2-25804820EDAC}">
                  <c15:fullRef>
                    <c15:sqref>Organe!$I$35:$I$41</c15:sqref>
                  </c15:fullRef>
                </c:ext>
              </c:extLst>
              <c:f>Organe!$I$35</c:f>
              <c:numCache>
                <c:formatCode>0.0</c:formatCode>
                <c:ptCount val="1"/>
              </c:numCache>
            </c:numRef>
          </c:val>
          <c:extLst>
            <c:ext xmlns:c16="http://schemas.microsoft.com/office/drawing/2014/chart" uri="{C3380CC4-5D6E-409C-BE32-E72D297353CC}">
              <c16:uniqueId val="{00000005-D3BA-48A9-940B-FC4E916B4B23}"/>
            </c:ext>
          </c:extLst>
        </c:ser>
        <c:ser>
          <c:idx val="6"/>
          <c:order val="6"/>
          <c:tx>
            <c:strRef>
              <c:f>Organe!$J$2</c:f>
              <c:strCache>
                <c:ptCount val="1"/>
                <c:pt idx="0">
                  <c:v>PFDA </c:v>
                </c:pt>
              </c:strCache>
            </c:strRef>
          </c:tx>
          <c:spPr>
            <a:solidFill>
              <a:schemeClr val="accent1">
                <a:lumMod val="60000"/>
              </a:schemeClr>
            </a:solidFill>
            <a:ln>
              <a:noFill/>
            </a:ln>
            <a:effectLst/>
          </c:spPr>
          <c:invertIfNegative val="0"/>
          <c:cat>
            <c:strRef>
              <c:extLst>
                <c:ext xmlns:c15="http://schemas.microsoft.com/office/drawing/2012/chart" uri="{02D57815-91ED-43cb-92C2-25804820EDAC}">
                  <c15:fullRef>
                    <c15:sqref>Organe!$C$35:$C$41</c15:sqref>
                  </c15:fullRef>
                </c:ext>
              </c:extLst>
              <c:f>Organe!$C$35</c:f>
              <c:strCache>
                <c:ptCount val="1"/>
                <c:pt idx="0">
                  <c:v>Liver</c:v>
                </c:pt>
              </c:strCache>
            </c:strRef>
          </c:cat>
          <c:val>
            <c:numRef>
              <c:extLst>
                <c:ext xmlns:c15="http://schemas.microsoft.com/office/drawing/2012/chart" uri="{02D57815-91ED-43cb-92C2-25804820EDAC}">
                  <c15:fullRef>
                    <c15:sqref>Organe!$J$35:$J$41</c15:sqref>
                  </c15:fullRef>
                </c:ext>
              </c:extLst>
              <c:f>Organe!$J$35</c:f>
              <c:numCache>
                <c:formatCode>0.0</c:formatCode>
                <c:ptCount val="1"/>
                <c:pt idx="0">
                  <c:v>0.71950000000000003</c:v>
                </c:pt>
              </c:numCache>
            </c:numRef>
          </c:val>
          <c:extLst>
            <c:ext xmlns:c16="http://schemas.microsoft.com/office/drawing/2014/chart" uri="{C3380CC4-5D6E-409C-BE32-E72D297353CC}">
              <c16:uniqueId val="{00000006-D3BA-48A9-940B-FC4E916B4B23}"/>
            </c:ext>
          </c:extLst>
        </c:ser>
        <c:ser>
          <c:idx val="7"/>
          <c:order val="7"/>
          <c:tx>
            <c:strRef>
              <c:f>Organe!$K$2</c:f>
              <c:strCache>
                <c:ptCount val="1"/>
                <c:pt idx="0">
                  <c:v>PFUnDA </c:v>
                </c:pt>
              </c:strCache>
            </c:strRef>
          </c:tx>
          <c:spPr>
            <a:solidFill>
              <a:schemeClr val="accent2">
                <a:lumMod val="60000"/>
              </a:schemeClr>
            </a:solidFill>
            <a:ln>
              <a:noFill/>
            </a:ln>
            <a:effectLst/>
          </c:spPr>
          <c:invertIfNegative val="0"/>
          <c:cat>
            <c:strRef>
              <c:extLst>
                <c:ext xmlns:c15="http://schemas.microsoft.com/office/drawing/2012/chart" uri="{02D57815-91ED-43cb-92C2-25804820EDAC}">
                  <c15:fullRef>
                    <c15:sqref>Organe!$C$35:$C$41</c15:sqref>
                  </c15:fullRef>
                </c:ext>
              </c:extLst>
              <c:f>Organe!$C$35</c:f>
              <c:strCache>
                <c:ptCount val="1"/>
                <c:pt idx="0">
                  <c:v>Liver</c:v>
                </c:pt>
              </c:strCache>
            </c:strRef>
          </c:cat>
          <c:val>
            <c:numRef>
              <c:extLst>
                <c:ext xmlns:c15="http://schemas.microsoft.com/office/drawing/2012/chart" uri="{02D57815-91ED-43cb-92C2-25804820EDAC}">
                  <c15:fullRef>
                    <c15:sqref>Organe!$K$35:$K$41</c15:sqref>
                  </c15:fullRef>
                </c:ext>
              </c:extLst>
              <c:f>Organe!$K$35</c:f>
              <c:numCache>
                <c:formatCode>0.0</c:formatCode>
                <c:ptCount val="1"/>
              </c:numCache>
            </c:numRef>
          </c:val>
          <c:extLst>
            <c:ext xmlns:c16="http://schemas.microsoft.com/office/drawing/2014/chart" uri="{C3380CC4-5D6E-409C-BE32-E72D297353CC}">
              <c16:uniqueId val="{00000008-D3BA-48A9-940B-FC4E916B4B23}"/>
            </c:ext>
          </c:extLst>
        </c:ser>
        <c:ser>
          <c:idx val="8"/>
          <c:order val="8"/>
          <c:tx>
            <c:strRef>
              <c:f>Organe!$L$2</c:f>
              <c:strCache>
                <c:ptCount val="1"/>
                <c:pt idx="0">
                  <c:v>PFDoDA </c:v>
                </c:pt>
              </c:strCache>
            </c:strRef>
          </c:tx>
          <c:spPr>
            <a:solidFill>
              <a:schemeClr val="accent3">
                <a:lumMod val="60000"/>
              </a:schemeClr>
            </a:solidFill>
            <a:ln>
              <a:noFill/>
            </a:ln>
            <a:effectLst/>
          </c:spPr>
          <c:invertIfNegative val="0"/>
          <c:cat>
            <c:strRef>
              <c:extLst>
                <c:ext xmlns:c15="http://schemas.microsoft.com/office/drawing/2012/chart" uri="{02D57815-91ED-43cb-92C2-25804820EDAC}">
                  <c15:fullRef>
                    <c15:sqref>Organe!$C$35:$C$41</c15:sqref>
                  </c15:fullRef>
                </c:ext>
              </c:extLst>
              <c:f>Organe!$C$35</c:f>
              <c:strCache>
                <c:ptCount val="1"/>
                <c:pt idx="0">
                  <c:v>Liver</c:v>
                </c:pt>
              </c:strCache>
            </c:strRef>
          </c:cat>
          <c:val>
            <c:numRef>
              <c:extLst>
                <c:ext xmlns:c15="http://schemas.microsoft.com/office/drawing/2012/chart" uri="{02D57815-91ED-43cb-92C2-25804820EDAC}">
                  <c15:fullRef>
                    <c15:sqref>Organe!$L$35:$L$41</c15:sqref>
                  </c15:fullRef>
                </c:ext>
              </c:extLst>
              <c:f>Organe!$L$35</c:f>
              <c:numCache>
                <c:formatCode>0.0</c:formatCode>
                <c:ptCount val="1"/>
              </c:numCache>
            </c:numRef>
          </c:val>
          <c:extLst>
            <c:ext xmlns:c16="http://schemas.microsoft.com/office/drawing/2014/chart" uri="{C3380CC4-5D6E-409C-BE32-E72D297353CC}">
              <c16:uniqueId val="{00000009-D3BA-48A9-940B-FC4E916B4B23}"/>
            </c:ext>
          </c:extLst>
        </c:ser>
        <c:ser>
          <c:idx val="9"/>
          <c:order val="9"/>
          <c:tx>
            <c:strRef>
              <c:f>Organe!$M$2</c:f>
              <c:strCache>
                <c:ptCount val="1"/>
                <c:pt idx="0">
                  <c:v>PFTrDA </c:v>
                </c:pt>
              </c:strCache>
            </c:strRef>
          </c:tx>
          <c:spPr>
            <a:solidFill>
              <a:schemeClr val="accent4">
                <a:lumMod val="60000"/>
              </a:schemeClr>
            </a:solidFill>
            <a:ln>
              <a:noFill/>
            </a:ln>
            <a:effectLst/>
          </c:spPr>
          <c:invertIfNegative val="0"/>
          <c:cat>
            <c:strRef>
              <c:extLst>
                <c:ext xmlns:c15="http://schemas.microsoft.com/office/drawing/2012/chart" uri="{02D57815-91ED-43cb-92C2-25804820EDAC}">
                  <c15:fullRef>
                    <c15:sqref>Organe!$C$35:$C$41</c15:sqref>
                  </c15:fullRef>
                </c:ext>
              </c:extLst>
              <c:f>Organe!$C$35</c:f>
              <c:strCache>
                <c:ptCount val="1"/>
                <c:pt idx="0">
                  <c:v>Liver</c:v>
                </c:pt>
              </c:strCache>
            </c:strRef>
          </c:cat>
          <c:val>
            <c:numRef>
              <c:extLst>
                <c:ext xmlns:c15="http://schemas.microsoft.com/office/drawing/2012/chart" uri="{02D57815-91ED-43cb-92C2-25804820EDAC}">
                  <c15:fullRef>
                    <c15:sqref>Organe!$M$35:$M$41</c15:sqref>
                  </c15:fullRef>
                </c:ext>
              </c:extLst>
              <c:f>Organe!$M$35</c:f>
              <c:numCache>
                <c:formatCode>0.0</c:formatCode>
                <c:ptCount val="1"/>
              </c:numCache>
            </c:numRef>
          </c:val>
          <c:extLst>
            <c:ext xmlns:c16="http://schemas.microsoft.com/office/drawing/2014/chart" uri="{C3380CC4-5D6E-409C-BE32-E72D297353CC}">
              <c16:uniqueId val="{0000000A-D3BA-48A9-940B-FC4E916B4B23}"/>
            </c:ext>
          </c:extLst>
        </c:ser>
        <c:ser>
          <c:idx val="10"/>
          <c:order val="10"/>
          <c:tx>
            <c:strRef>
              <c:f>Organe!$N$2</c:f>
              <c:strCache>
                <c:ptCount val="1"/>
                <c:pt idx="0">
                  <c:v>PFTeDA </c:v>
                </c:pt>
              </c:strCache>
            </c:strRef>
          </c:tx>
          <c:spPr>
            <a:solidFill>
              <a:schemeClr val="accent5">
                <a:lumMod val="60000"/>
              </a:schemeClr>
            </a:solidFill>
            <a:ln>
              <a:noFill/>
            </a:ln>
            <a:effectLst/>
          </c:spPr>
          <c:invertIfNegative val="0"/>
          <c:cat>
            <c:strRef>
              <c:extLst>
                <c:ext xmlns:c15="http://schemas.microsoft.com/office/drawing/2012/chart" uri="{02D57815-91ED-43cb-92C2-25804820EDAC}">
                  <c15:fullRef>
                    <c15:sqref>Organe!$C$35:$C$41</c15:sqref>
                  </c15:fullRef>
                </c:ext>
              </c:extLst>
              <c:f>Organe!$C$35</c:f>
              <c:strCache>
                <c:ptCount val="1"/>
                <c:pt idx="0">
                  <c:v>Liver</c:v>
                </c:pt>
              </c:strCache>
            </c:strRef>
          </c:cat>
          <c:val>
            <c:numRef>
              <c:extLst>
                <c:ext xmlns:c15="http://schemas.microsoft.com/office/drawing/2012/chart" uri="{02D57815-91ED-43cb-92C2-25804820EDAC}">
                  <c15:fullRef>
                    <c15:sqref>Organe!$N$35:$N$41</c15:sqref>
                  </c15:fullRef>
                </c:ext>
              </c:extLst>
              <c:f>Organe!$N$35</c:f>
              <c:numCache>
                <c:formatCode>0.0</c:formatCode>
                <c:ptCount val="1"/>
              </c:numCache>
            </c:numRef>
          </c:val>
          <c:extLst>
            <c:ext xmlns:c16="http://schemas.microsoft.com/office/drawing/2014/chart" uri="{C3380CC4-5D6E-409C-BE32-E72D297353CC}">
              <c16:uniqueId val="{0000000B-D3BA-48A9-940B-FC4E916B4B23}"/>
            </c:ext>
          </c:extLst>
        </c:ser>
        <c:ser>
          <c:idx val="11"/>
          <c:order val="11"/>
          <c:tx>
            <c:strRef>
              <c:f>Organe!$O$2</c:f>
              <c:strCache>
                <c:ptCount val="1"/>
                <c:pt idx="0">
                  <c:v>PFBS </c:v>
                </c:pt>
              </c:strCache>
            </c:strRef>
          </c:tx>
          <c:spPr>
            <a:solidFill>
              <a:schemeClr val="accent6">
                <a:lumMod val="60000"/>
              </a:schemeClr>
            </a:solidFill>
            <a:ln>
              <a:noFill/>
            </a:ln>
            <a:effectLst/>
          </c:spPr>
          <c:invertIfNegative val="0"/>
          <c:cat>
            <c:strRef>
              <c:extLst>
                <c:ext xmlns:c15="http://schemas.microsoft.com/office/drawing/2012/chart" uri="{02D57815-91ED-43cb-92C2-25804820EDAC}">
                  <c15:fullRef>
                    <c15:sqref>Organe!$C$35:$C$41</c15:sqref>
                  </c15:fullRef>
                </c:ext>
              </c:extLst>
              <c:f>Organe!$C$35</c:f>
              <c:strCache>
                <c:ptCount val="1"/>
                <c:pt idx="0">
                  <c:v>Liver</c:v>
                </c:pt>
              </c:strCache>
            </c:strRef>
          </c:cat>
          <c:val>
            <c:numRef>
              <c:extLst>
                <c:ext xmlns:c15="http://schemas.microsoft.com/office/drawing/2012/chart" uri="{02D57815-91ED-43cb-92C2-25804820EDAC}">
                  <c15:fullRef>
                    <c15:sqref>Organe!$O$35:$O$41</c15:sqref>
                  </c15:fullRef>
                </c:ext>
              </c:extLst>
              <c:f>Organe!$O$35</c:f>
              <c:numCache>
                <c:formatCode>0.0</c:formatCode>
                <c:ptCount val="1"/>
              </c:numCache>
            </c:numRef>
          </c:val>
          <c:extLst>
            <c:ext xmlns:c16="http://schemas.microsoft.com/office/drawing/2014/chart" uri="{C3380CC4-5D6E-409C-BE32-E72D297353CC}">
              <c16:uniqueId val="{0000000C-D3BA-48A9-940B-FC4E916B4B23}"/>
            </c:ext>
          </c:extLst>
        </c:ser>
        <c:ser>
          <c:idx val="12"/>
          <c:order val="12"/>
          <c:tx>
            <c:strRef>
              <c:f>Organe!$P$2</c:f>
              <c:strCache>
                <c:ptCount val="1"/>
                <c:pt idx="0">
                  <c:v>PFPeS </c:v>
                </c:pt>
              </c:strCache>
            </c:strRef>
          </c:tx>
          <c:spPr>
            <a:solidFill>
              <a:schemeClr val="accent1">
                <a:lumMod val="80000"/>
                <a:lumOff val="20000"/>
              </a:schemeClr>
            </a:solidFill>
            <a:ln>
              <a:noFill/>
            </a:ln>
            <a:effectLst/>
          </c:spPr>
          <c:invertIfNegative val="0"/>
          <c:cat>
            <c:strRef>
              <c:extLst>
                <c:ext xmlns:c15="http://schemas.microsoft.com/office/drawing/2012/chart" uri="{02D57815-91ED-43cb-92C2-25804820EDAC}">
                  <c15:fullRef>
                    <c15:sqref>Organe!$C$35:$C$41</c15:sqref>
                  </c15:fullRef>
                </c:ext>
              </c:extLst>
              <c:f>Organe!$C$35</c:f>
              <c:strCache>
                <c:ptCount val="1"/>
                <c:pt idx="0">
                  <c:v>Liver</c:v>
                </c:pt>
              </c:strCache>
            </c:strRef>
          </c:cat>
          <c:val>
            <c:numRef>
              <c:extLst>
                <c:ext xmlns:c15="http://schemas.microsoft.com/office/drawing/2012/chart" uri="{02D57815-91ED-43cb-92C2-25804820EDAC}">
                  <c15:fullRef>
                    <c15:sqref>Organe!$P$35:$P$41</c15:sqref>
                  </c15:fullRef>
                </c:ext>
              </c:extLst>
              <c:f>Organe!$P$35</c:f>
              <c:numCache>
                <c:formatCode>0.0</c:formatCode>
                <c:ptCount val="1"/>
              </c:numCache>
            </c:numRef>
          </c:val>
          <c:extLst>
            <c:ext xmlns:c16="http://schemas.microsoft.com/office/drawing/2014/chart" uri="{C3380CC4-5D6E-409C-BE32-E72D297353CC}">
              <c16:uniqueId val="{0000000D-D3BA-48A9-940B-FC4E916B4B23}"/>
            </c:ext>
          </c:extLst>
        </c:ser>
        <c:ser>
          <c:idx val="13"/>
          <c:order val="13"/>
          <c:tx>
            <c:strRef>
              <c:f>Organe!$Q$2</c:f>
              <c:strCache>
                <c:ptCount val="1"/>
                <c:pt idx="0">
                  <c:v>PFHxS </c:v>
                </c:pt>
              </c:strCache>
            </c:strRef>
          </c:tx>
          <c:spPr>
            <a:solidFill>
              <a:schemeClr val="accent2">
                <a:lumMod val="80000"/>
                <a:lumOff val="20000"/>
              </a:schemeClr>
            </a:solidFill>
            <a:ln>
              <a:noFill/>
            </a:ln>
            <a:effectLst/>
          </c:spPr>
          <c:invertIfNegative val="0"/>
          <c:cat>
            <c:strRef>
              <c:extLst>
                <c:ext xmlns:c15="http://schemas.microsoft.com/office/drawing/2012/chart" uri="{02D57815-91ED-43cb-92C2-25804820EDAC}">
                  <c15:fullRef>
                    <c15:sqref>Organe!$C$35:$C$41</c15:sqref>
                  </c15:fullRef>
                </c:ext>
              </c:extLst>
              <c:f>Organe!$C$35</c:f>
              <c:strCache>
                <c:ptCount val="1"/>
                <c:pt idx="0">
                  <c:v>Liver</c:v>
                </c:pt>
              </c:strCache>
            </c:strRef>
          </c:cat>
          <c:val>
            <c:numRef>
              <c:extLst>
                <c:ext xmlns:c15="http://schemas.microsoft.com/office/drawing/2012/chart" uri="{02D57815-91ED-43cb-92C2-25804820EDAC}">
                  <c15:fullRef>
                    <c15:sqref>Organe!$Q$35:$Q$41</c15:sqref>
                  </c15:fullRef>
                </c:ext>
              </c:extLst>
              <c:f>Organe!$Q$35</c:f>
              <c:numCache>
                <c:formatCode>0.0</c:formatCode>
                <c:ptCount val="1"/>
              </c:numCache>
            </c:numRef>
          </c:val>
          <c:extLst>
            <c:ext xmlns:c16="http://schemas.microsoft.com/office/drawing/2014/chart" uri="{C3380CC4-5D6E-409C-BE32-E72D297353CC}">
              <c16:uniqueId val="{0000000E-D3BA-48A9-940B-FC4E916B4B23}"/>
            </c:ext>
          </c:extLst>
        </c:ser>
        <c:ser>
          <c:idx val="14"/>
          <c:order val="14"/>
          <c:tx>
            <c:strRef>
              <c:f>Organe!$R$2</c:f>
              <c:strCache>
                <c:ptCount val="1"/>
                <c:pt idx="0">
                  <c:v>PFHpS </c:v>
                </c:pt>
              </c:strCache>
            </c:strRef>
          </c:tx>
          <c:spPr>
            <a:solidFill>
              <a:schemeClr val="accent3">
                <a:lumMod val="80000"/>
                <a:lumOff val="20000"/>
              </a:schemeClr>
            </a:solidFill>
            <a:ln>
              <a:noFill/>
            </a:ln>
            <a:effectLst/>
          </c:spPr>
          <c:invertIfNegative val="0"/>
          <c:cat>
            <c:strRef>
              <c:extLst>
                <c:ext xmlns:c15="http://schemas.microsoft.com/office/drawing/2012/chart" uri="{02D57815-91ED-43cb-92C2-25804820EDAC}">
                  <c15:fullRef>
                    <c15:sqref>Organe!$C$35:$C$41</c15:sqref>
                  </c15:fullRef>
                </c:ext>
              </c:extLst>
              <c:f>Organe!$C$35</c:f>
              <c:strCache>
                <c:ptCount val="1"/>
                <c:pt idx="0">
                  <c:v>Liver</c:v>
                </c:pt>
              </c:strCache>
            </c:strRef>
          </c:cat>
          <c:val>
            <c:numRef>
              <c:extLst>
                <c:ext xmlns:c15="http://schemas.microsoft.com/office/drawing/2012/chart" uri="{02D57815-91ED-43cb-92C2-25804820EDAC}">
                  <c15:fullRef>
                    <c15:sqref>Organe!$R$35:$R$41</c15:sqref>
                  </c15:fullRef>
                </c:ext>
              </c:extLst>
              <c:f>Organe!$R$35</c:f>
              <c:numCache>
                <c:formatCode>0.0</c:formatCode>
                <c:ptCount val="1"/>
              </c:numCache>
            </c:numRef>
          </c:val>
          <c:extLst>
            <c:ext xmlns:c16="http://schemas.microsoft.com/office/drawing/2014/chart" uri="{C3380CC4-5D6E-409C-BE32-E72D297353CC}">
              <c16:uniqueId val="{0000000F-D3BA-48A9-940B-FC4E916B4B23}"/>
            </c:ext>
          </c:extLst>
        </c:ser>
        <c:ser>
          <c:idx val="15"/>
          <c:order val="15"/>
          <c:tx>
            <c:strRef>
              <c:f>Organe!$S$2</c:f>
              <c:strCache>
                <c:ptCount val="1"/>
                <c:pt idx="0">
                  <c:v>PFOS </c:v>
                </c:pt>
              </c:strCache>
            </c:strRef>
          </c:tx>
          <c:spPr>
            <a:solidFill>
              <a:schemeClr val="accent3">
                <a:lumMod val="60000"/>
                <a:lumOff val="40000"/>
              </a:schemeClr>
            </a:solidFill>
            <a:ln>
              <a:noFill/>
            </a:ln>
            <a:effectLst/>
          </c:spPr>
          <c:invertIfNegative val="0"/>
          <c:cat>
            <c:strRef>
              <c:extLst>
                <c:ext xmlns:c15="http://schemas.microsoft.com/office/drawing/2012/chart" uri="{02D57815-91ED-43cb-92C2-25804820EDAC}">
                  <c15:fullRef>
                    <c15:sqref>Organe!$C$35:$C$41</c15:sqref>
                  </c15:fullRef>
                </c:ext>
              </c:extLst>
              <c:f>Organe!$C$35</c:f>
              <c:strCache>
                <c:ptCount val="1"/>
                <c:pt idx="0">
                  <c:v>Liver</c:v>
                </c:pt>
              </c:strCache>
            </c:strRef>
          </c:cat>
          <c:val>
            <c:numRef>
              <c:extLst>
                <c:ext xmlns:c15="http://schemas.microsoft.com/office/drawing/2012/chart" uri="{02D57815-91ED-43cb-92C2-25804820EDAC}">
                  <c15:fullRef>
                    <c15:sqref>Organe!$S$35:$S$41</c15:sqref>
                  </c15:fullRef>
                </c:ext>
              </c:extLst>
              <c:f>Organe!$S$35</c:f>
              <c:numCache>
                <c:formatCode>0.0</c:formatCode>
                <c:ptCount val="1"/>
                <c:pt idx="0">
                  <c:v>148.33333333333334</c:v>
                </c:pt>
              </c:numCache>
            </c:numRef>
          </c:val>
          <c:extLst>
            <c:ext xmlns:c16="http://schemas.microsoft.com/office/drawing/2014/chart" uri="{C3380CC4-5D6E-409C-BE32-E72D297353CC}">
              <c16:uniqueId val="{00000010-D3BA-48A9-940B-FC4E916B4B23}"/>
            </c:ext>
          </c:extLst>
        </c:ser>
        <c:ser>
          <c:idx val="16"/>
          <c:order val="16"/>
          <c:tx>
            <c:strRef>
              <c:f>Organe!$T$2</c:f>
              <c:strCache>
                <c:ptCount val="1"/>
                <c:pt idx="0">
                  <c:v>PFNS </c:v>
                </c:pt>
              </c:strCache>
            </c:strRef>
          </c:tx>
          <c:spPr>
            <a:solidFill>
              <a:schemeClr val="accent6"/>
            </a:solidFill>
            <a:ln>
              <a:noFill/>
            </a:ln>
            <a:effectLst/>
          </c:spPr>
          <c:invertIfNegative val="0"/>
          <c:cat>
            <c:strRef>
              <c:extLst>
                <c:ext xmlns:c15="http://schemas.microsoft.com/office/drawing/2012/chart" uri="{02D57815-91ED-43cb-92C2-25804820EDAC}">
                  <c15:fullRef>
                    <c15:sqref>Organe!$C$35:$C$41</c15:sqref>
                  </c15:fullRef>
                </c:ext>
              </c:extLst>
              <c:f>Organe!$C$35</c:f>
              <c:strCache>
                <c:ptCount val="1"/>
                <c:pt idx="0">
                  <c:v>Liver</c:v>
                </c:pt>
              </c:strCache>
            </c:strRef>
          </c:cat>
          <c:val>
            <c:numRef>
              <c:extLst>
                <c:ext xmlns:c15="http://schemas.microsoft.com/office/drawing/2012/chart" uri="{02D57815-91ED-43cb-92C2-25804820EDAC}">
                  <c15:fullRef>
                    <c15:sqref>Organe!$T$35:$T$41</c15:sqref>
                  </c15:fullRef>
                </c:ext>
              </c:extLst>
              <c:f>Organe!$T$35</c:f>
              <c:numCache>
                <c:formatCode>0.0</c:formatCode>
                <c:ptCount val="1"/>
                <c:pt idx="0">
                  <c:v>32.866666666666667</c:v>
                </c:pt>
              </c:numCache>
            </c:numRef>
          </c:val>
          <c:extLst>
            <c:ext xmlns:c16="http://schemas.microsoft.com/office/drawing/2014/chart" uri="{C3380CC4-5D6E-409C-BE32-E72D297353CC}">
              <c16:uniqueId val="{00000011-D3BA-48A9-940B-FC4E916B4B23}"/>
            </c:ext>
          </c:extLst>
        </c:ser>
        <c:ser>
          <c:idx val="17"/>
          <c:order val="17"/>
          <c:tx>
            <c:strRef>
              <c:f>Organe!$U$2</c:f>
              <c:strCache>
                <c:ptCount val="1"/>
                <c:pt idx="0">
                  <c:v>PFDS </c:v>
                </c:pt>
              </c:strCache>
            </c:strRef>
          </c:tx>
          <c:spPr>
            <a:solidFill>
              <a:schemeClr val="accent2">
                <a:lumMod val="75000"/>
              </a:schemeClr>
            </a:solidFill>
            <a:ln>
              <a:noFill/>
            </a:ln>
            <a:effectLst/>
          </c:spPr>
          <c:invertIfNegative val="0"/>
          <c:cat>
            <c:strRef>
              <c:extLst>
                <c:ext xmlns:c15="http://schemas.microsoft.com/office/drawing/2012/chart" uri="{02D57815-91ED-43cb-92C2-25804820EDAC}">
                  <c15:fullRef>
                    <c15:sqref>Organe!$C$35:$C$41</c15:sqref>
                  </c15:fullRef>
                </c:ext>
              </c:extLst>
              <c:f>Organe!$C$35</c:f>
              <c:strCache>
                <c:ptCount val="1"/>
                <c:pt idx="0">
                  <c:v>Liver</c:v>
                </c:pt>
              </c:strCache>
            </c:strRef>
          </c:cat>
          <c:val>
            <c:numRef>
              <c:extLst>
                <c:ext xmlns:c15="http://schemas.microsoft.com/office/drawing/2012/chart" uri="{02D57815-91ED-43cb-92C2-25804820EDAC}">
                  <c15:fullRef>
                    <c15:sqref>Organe!$U$35:$U$41</c15:sqref>
                  </c15:fullRef>
                </c:ext>
              </c:extLst>
              <c:f>Organe!$U$35</c:f>
              <c:numCache>
                <c:formatCode>0.0</c:formatCode>
                <c:ptCount val="1"/>
                <c:pt idx="0">
                  <c:v>9.1566666666666663</c:v>
                </c:pt>
              </c:numCache>
            </c:numRef>
          </c:val>
          <c:extLst>
            <c:ext xmlns:c16="http://schemas.microsoft.com/office/drawing/2014/chart" uri="{C3380CC4-5D6E-409C-BE32-E72D297353CC}">
              <c16:uniqueId val="{00000012-D3BA-48A9-940B-FC4E916B4B23}"/>
            </c:ext>
          </c:extLst>
        </c:ser>
        <c:ser>
          <c:idx val="18"/>
          <c:order val="18"/>
          <c:tx>
            <c:strRef>
              <c:f>Organe!$V$2</c:f>
              <c:strCache>
                <c:ptCount val="1"/>
                <c:pt idx="0">
                  <c:v>PFUnDS </c:v>
                </c:pt>
              </c:strCache>
            </c:strRef>
          </c:tx>
          <c:spPr>
            <a:solidFill>
              <a:schemeClr val="accent1">
                <a:lumMod val="80000"/>
              </a:schemeClr>
            </a:solidFill>
            <a:ln>
              <a:noFill/>
            </a:ln>
            <a:effectLst/>
          </c:spPr>
          <c:invertIfNegative val="0"/>
          <c:cat>
            <c:strRef>
              <c:extLst>
                <c:ext xmlns:c15="http://schemas.microsoft.com/office/drawing/2012/chart" uri="{02D57815-91ED-43cb-92C2-25804820EDAC}">
                  <c15:fullRef>
                    <c15:sqref>Organe!$C$35:$C$41</c15:sqref>
                  </c15:fullRef>
                </c:ext>
              </c:extLst>
              <c:f>Organe!$C$35</c:f>
              <c:strCache>
                <c:ptCount val="1"/>
                <c:pt idx="0">
                  <c:v>Liver</c:v>
                </c:pt>
              </c:strCache>
            </c:strRef>
          </c:cat>
          <c:val>
            <c:numRef>
              <c:extLst>
                <c:ext xmlns:c15="http://schemas.microsoft.com/office/drawing/2012/chart" uri="{02D57815-91ED-43cb-92C2-25804820EDAC}">
                  <c15:fullRef>
                    <c15:sqref>Organe!$V$35:$V$41</c15:sqref>
                  </c15:fullRef>
                </c:ext>
              </c:extLst>
              <c:f>Organe!$V$35</c:f>
              <c:numCache>
                <c:formatCode>0.0</c:formatCode>
                <c:ptCount val="1"/>
              </c:numCache>
            </c:numRef>
          </c:val>
          <c:extLst>
            <c:ext xmlns:c16="http://schemas.microsoft.com/office/drawing/2014/chart" uri="{C3380CC4-5D6E-409C-BE32-E72D297353CC}">
              <c16:uniqueId val="{00000013-D3BA-48A9-940B-FC4E916B4B23}"/>
            </c:ext>
          </c:extLst>
        </c:ser>
        <c:ser>
          <c:idx val="19"/>
          <c:order val="19"/>
          <c:tx>
            <c:strRef>
              <c:f>Organe!$W$2</c:f>
              <c:strCache>
                <c:ptCount val="1"/>
                <c:pt idx="0">
                  <c:v>PFDoDS </c:v>
                </c:pt>
              </c:strCache>
            </c:strRef>
          </c:tx>
          <c:spPr>
            <a:solidFill>
              <a:schemeClr val="accent2">
                <a:lumMod val="80000"/>
              </a:schemeClr>
            </a:solidFill>
            <a:ln>
              <a:noFill/>
            </a:ln>
            <a:effectLst/>
          </c:spPr>
          <c:invertIfNegative val="0"/>
          <c:cat>
            <c:strRef>
              <c:extLst>
                <c:ext xmlns:c15="http://schemas.microsoft.com/office/drawing/2012/chart" uri="{02D57815-91ED-43cb-92C2-25804820EDAC}">
                  <c15:fullRef>
                    <c15:sqref>Organe!$C$35:$C$41</c15:sqref>
                  </c15:fullRef>
                </c:ext>
              </c:extLst>
              <c:f>Organe!$C$35</c:f>
              <c:strCache>
                <c:ptCount val="1"/>
                <c:pt idx="0">
                  <c:v>Liver</c:v>
                </c:pt>
              </c:strCache>
            </c:strRef>
          </c:cat>
          <c:val>
            <c:numRef>
              <c:extLst>
                <c:ext xmlns:c15="http://schemas.microsoft.com/office/drawing/2012/chart" uri="{02D57815-91ED-43cb-92C2-25804820EDAC}">
                  <c15:fullRef>
                    <c15:sqref>Organe!$W$35:$W$41</c15:sqref>
                  </c15:fullRef>
                </c:ext>
              </c:extLst>
              <c:f>Organe!$W$35</c:f>
              <c:numCache>
                <c:formatCode>0.0</c:formatCode>
                <c:ptCount val="1"/>
              </c:numCache>
            </c:numRef>
          </c:val>
          <c:extLst>
            <c:ext xmlns:c16="http://schemas.microsoft.com/office/drawing/2014/chart" uri="{C3380CC4-5D6E-409C-BE32-E72D297353CC}">
              <c16:uniqueId val="{00000014-D3BA-48A9-940B-FC4E916B4B23}"/>
            </c:ext>
          </c:extLst>
        </c:ser>
        <c:ser>
          <c:idx val="20"/>
          <c:order val="20"/>
          <c:tx>
            <c:strRef>
              <c:f>Organe!$X$2</c:f>
              <c:strCache>
                <c:ptCount val="1"/>
                <c:pt idx="0">
                  <c:v>PFTrDS </c:v>
                </c:pt>
              </c:strCache>
            </c:strRef>
          </c:tx>
          <c:spPr>
            <a:solidFill>
              <a:schemeClr val="accent3">
                <a:lumMod val="80000"/>
              </a:schemeClr>
            </a:solidFill>
            <a:ln>
              <a:noFill/>
            </a:ln>
            <a:effectLst/>
          </c:spPr>
          <c:invertIfNegative val="0"/>
          <c:cat>
            <c:strRef>
              <c:extLst>
                <c:ext xmlns:c15="http://schemas.microsoft.com/office/drawing/2012/chart" uri="{02D57815-91ED-43cb-92C2-25804820EDAC}">
                  <c15:fullRef>
                    <c15:sqref>Organe!$C$35:$C$41</c15:sqref>
                  </c15:fullRef>
                </c:ext>
              </c:extLst>
              <c:f>Organe!$C$35</c:f>
              <c:strCache>
                <c:ptCount val="1"/>
                <c:pt idx="0">
                  <c:v>Liver</c:v>
                </c:pt>
              </c:strCache>
            </c:strRef>
          </c:cat>
          <c:val>
            <c:numRef>
              <c:extLst>
                <c:ext xmlns:c15="http://schemas.microsoft.com/office/drawing/2012/chart" uri="{02D57815-91ED-43cb-92C2-25804820EDAC}">
                  <c15:fullRef>
                    <c15:sqref>Organe!$X$35:$X$41</c15:sqref>
                  </c15:fullRef>
                </c:ext>
              </c:extLst>
              <c:f>Organe!$X$35</c:f>
              <c:numCache>
                <c:formatCode>0.0</c:formatCode>
                <c:ptCount val="1"/>
              </c:numCache>
            </c:numRef>
          </c:val>
          <c:extLst>
            <c:ext xmlns:c16="http://schemas.microsoft.com/office/drawing/2014/chart" uri="{C3380CC4-5D6E-409C-BE32-E72D297353CC}">
              <c16:uniqueId val="{00000015-D3BA-48A9-940B-FC4E916B4B23}"/>
            </c:ext>
          </c:extLst>
        </c:ser>
        <c:ser>
          <c:idx val="21"/>
          <c:order val="21"/>
          <c:tx>
            <c:strRef>
              <c:f>Organe!$Y$2</c:f>
              <c:strCache>
                <c:ptCount val="1"/>
                <c:pt idx="0">
                  <c:v>PFHxA</c:v>
                </c:pt>
              </c:strCache>
            </c:strRef>
          </c:tx>
          <c:spPr>
            <a:solidFill>
              <a:schemeClr val="accent4">
                <a:lumMod val="80000"/>
              </a:schemeClr>
            </a:solidFill>
            <a:ln>
              <a:noFill/>
            </a:ln>
            <a:effectLst/>
          </c:spPr>
          <c:invertIfNegative val="0"/>
          <c:cat>
            <c:strRef>
              <c:extLst>
                <c:ext xmlns:c15="http://schemas.microsoft.com/office/drawing/2012/chart" uri="{02D57815-91ED-43cb-92C2-25804820EDAC}">
                  <c15:fullRef>
                    <c15:sqref>Organe!$C$35:$C$41</c15:sqref>
                  </c15:fullRef>
                </c:ext>
              </c:extLst>
              <c:f>Organe!$C$35</c:f>
              <c:strCache>
                <c:ptCount val="1"/>
                <c:pt idx="0">
                  <c:v>Liver</c:v>
                </c:pt>
              </c:strCache>
            </c:strRef>
          </c:cat>
          <c:val>
            <c:numRef>
              <c:extLst>
                <c:ext xmlns:c15="http://schemas.microsoft.com/office/drawing/2012/chart" uri="{02D57815-91ED-43cb-92C2-25804820EDAC}">
                  <c15:fullRef>
                    <c15:sqref>Organe!$Y$35:$Y$41</c15:sqref>
                  </c15:fullRef>
                </c:ext>
              </c:extLst>
              <c:f>Organe!$Y$35</c:f>
              <c:numCache>
                <c:formatCode>0.0</c:formatCode>
                <c:ptCount val="1"/>
              </c:numCache>
            </c:numRef>
          </c:val>
          <c:extLst>
            <c:ext xmlns:c16="http://schemas.microsoft.com/office/drawing/2014/chart" uri="{C3380CC4-5D6E-409C-BE32-E72D297353CC}">
              <c16:uniqueId val="{00000016-D3BA-48A9-940B-FC4E916B4B23}"/>
            </c:ext>
          </c:extLst>
        </c:ser>
        <c:ser>
          <c:idx val="22"/>
          <c:order val="22"/>
          <c:tx>
            <c:strRef>
              <c:f>Organe!$Z$2</c:f>
              <c:strCache>
                <c:ptCount val="1"/>
                <c:pt idx="0">
                  <c:v>PFHpA </c:v>
                </c:pt>
              </c:strCache>
            </c:strRef>
          </c:tx>
          <c:spPr>
            <a:solidFill>
              <a:schemeClr val="accent5">
                <a:lumMod val="80000"/>
              </a:schemeClr>
            </a:solidFill>
            <a:ln>
              <a:noFill/>
            </a:ln>
            <a:effectLst/>
          </c:spPr>
          <c:invertIfNegative val="0"/>
          <c:cat>
            <c:strRef>
              <c:extLst>
                <c:ext xmlns:c15="http://schemas.microsoft.com/office/drawing/2012/chart" uri="{02D57815-91ED-43cb-92C2-25804820EDAC}">
                  <c15:fullRef>
                    <c15:sqref>Organe!$C$35:$C$41</c15:sqref>
                  </c15:fullRef>
                </c:ext>
              </c:extLst>
              <c:f>Organe!$C$35</c:f>
              <c:strCache>
                <c:ptCount val="1"/>
                <c:pt idx="0">
                  <c:v>Liver</c:v>
                </c:pt>
              </c:strCache>
            </c:strRef>
          </c:cat>
          <c:val>
            <c:numRef>
              <c:extLst>
                <c:ext xmlns:c15="http://schemas.microsoft.com/office/drawing/2012/chart" uri="{02D57815-91ED-43cb-92C2-25804820EDAC}">
                  <c15:fullRef>
                    <c15:sqref>Organe!$Z$35:$Z$41</c15:sqref>
                  </c15:fullRef>
                </c:ext>
              </c:extLst>
              <c:f>Organe!$Z$35</c:f>
              <c:numCache>
                <c:formatCode>0.0</c:formatCode>
                <c:ptCount val="1"/>
              </c:numCache>
            </c:numRef>
          </c:val>
          <c:extLst>
            <c:ext xmlns:c16="http://schemas.microsoft.com/office/drawing/2014/chart" uri="{C3380CC4-5D6E-409C-BE32-E72D297353CC}">
              <c16:uniqueId val="{00000017-D3BA-48A9-940B-FC4E916B4B23}"/>
            </c:ext>
          </c:extLst>
        </c:ser>
        <c:ser>
          <c:idx val="23"/>
          <c:order val="23"/>
          <c:tx>
            <c:strRef>
              <c:f>Organe!$AA$2</c:f>
              <c:strCache>
                <c:ptCount val="1"/>
                <c:pt idx="0">
                  <c:v>PFOA </c:v>
                </c:pt>
              </c:strCache>
            </c:strRef>
          </c:tx>
          <c:spPr>
            <a:solidFill>
              <a:schemeClr val="accent6">
                <a:lumMod val="80000"/>
              </a:schemeClr>
            </a:solidFill>
            <a:ln>
              <a:noFill/>
            </a:ln>
            <a:effectLst/>
          </c:spPr>
          <c:invertIfNegative val="0"/>
          <c:cat>
            <c:strRef>
              <c:extLst>
                <c:ext xmlns:c15="http://schemas.microsoft.com/office/drawing/2012/chart" uri="{02D57815-91ED-43cb-92C2-25804820EDAC}">
                  <c15:fullRef>
                    <c15:sqref>Organe!$C$35:$C$41</c15:sqref>
                  </c15:fullRef>
                </c:ext>
              </c:extLst>
              <c:f>Organe!$C$35</c:f>
              <c:strCache>
                <c:ptCount val="1"/>
                <c:pt idx="0">
                  <c:v>Liver</c:v>
                </c:pt>
              </c:strCache>
            </c:strRef>
          </c:cat>
          <c:val>
            <c:numRef>
              <c:extLst>
                <c:ext xmlns:c15="http://schemas.microsoft.com/office/drawing/2012/chart" uri="{02D57815-91ED-43cb-92C2-25804820EDAC}">
                  <c15:fullRef>
                    <c15:sqref>Organe!$AA$35:$AA$41</c15:sqref>
                  </c15:fullRef>
                </c:ext>
              </c:extLst>
              <c:f>Organe!$AA$35</c:f>
              <c:numCache>
                <c:formatCode>0.0</c:formatCode>
                <c:ptCount val="1"/>
              </c:numCache>
            </c:numRef>
          </c:val>
          <c:extLst>
            <c:ext xmlns:c16="http://schemas.microsoft.com/office/drawing/2014/chart" uri="{C3380CC4-5D6E-409C-BE32-E72D297353CC}">
              <c16:uniqueId val="{00000018-D3BA-48A9-940B-FC4E916B4B23}"/>
            </c:ext>
          </c:extLst>
        </c:ser>
        <c:ser>
          <c:idx val="24"/>
          <c:order val="24"/>
          <c:tx>
            <c:strRef>
              <c:f>Organe!$AB$2</c:f>
              <c:strCache>
                <c:ptCount val="1"/>
                <c:pt idx="0">
                  <c:v>PFNA </c:v>
                </c:pt>
              </c:strCache>
            </c:strRef>
          </c:tx>
          <c:spPr>
            <a:solidFill>
              <a:schemeClr val="accent1">
                <a:lumMod val="60000"/>
                <a:lumOff val="40000"/>
              </a:schemeClr>
            </a:solidFill>
            <a:ln>
              <a:noFill/>
            </a:ln>
            <a:effectLst/>
          </c:spPr>
          <c:invertIfNegative val="0"/>
          <c:cat>
            <c:strRef>
              <c:extLst>
                <c:ext xmlns:c15="http://schemas.microsoft.com/office/drawing/2012/chart" uri="{02D57815-91ED-43cb-92C2-25804820EDAC}">
                  <c15:fullRef>
                    <c15:sqref>Organe!$C$35:$C$41</c15:sqref>
                  </c15:fullRef>
                </c:ext>
              </c:extLst>
              <c:f>Organe!$C$35</c:f>
              <c:strCache>
                <c:ptCount val="1"/>
                <c:pt idx="0">
                  <c:v>Liver</c:v>
                </c:pt>
              </c:strCache>
            </c:strRef>
          </c:cat>
          <c:val>
            <c:numRef>
              <c:extLst>
                <c:ext xmlns:c15="http://schemas.microsoft.com/office/drawing/2012/chart" uri="{02D57815-91ED-43cb-92C2-25804820EDAC}">
                  <c15:fullRef>
                    <c15:sqref>Organe!$AB$35:$AB$41</c15:sqref>
                  </c15:fullRef>
                </c:ext>
              </c:extLst>
              <c:f>Organe!$AB$35</c:f>
              <c:numCache>
                <c:formatCode>0.0</c:formatCode>
                <c:ptCount val="1"/>
              </c:numCache>
            </c:numRef>
          </c:val>
          <c:extLst>
            <c:ext xmlns:c16="http://schemas.microsoft.com/office/drawing/2014/chart" uri="{C3380CC4-5D6E-409C-BE32-E72D297353CC}">
              <c16:uniqueId val="{00000019-D3BA-48A9-940B-FC4E916B4B23}"/>
            </c:ext>
          </c:extLst>
        </c:ser>
        <c:ser>
          <c:idx val="25"/>
          <c:order val="25"/>
          <c:tx>
            <c:strRef>
              <c:f>Organe!$AC$2</c:f>
              <c:strCache>
                <c:ptCount val="1"/>
                <c:pt idx="0">
                  <c:v>PFDA </c:v>
                </c:pt>
              </c:strCache>
            </c:strRef>
          </c:tx>
          <c:spPr>
            <a:solidFill>
              <a:schemeClr val="accent2">
                <a:lumMod val="60000"/>
                <a:lumOff val="40000"/>
              </a:schemeClr>
            </a:solidFill>
            <a:ln>
              <a:noFill/>
            </a:ln>
            <a:effectLst/>
          </c:spPr>
          <c:invertIfNegative val="0"/>
          <c:cat>
            <c:strRef>
              <c:extLst>
                <c:ext xmlns:c15="http://schemas.microsoft.com/office/drawing/2012/chart" uri="{02D57815-91ED-43cb-92C2-25804820EDAC}">
                  <c15:fullRef>
                    <c15:sqref>Organe!$C$35:$C$41</c15:sqref>
                  </c15:fullRef>
                </c:ext>
              </c:extLst>
              <c:f>Organe!$C$35</c:f>
              <c:strCache>
                <c:ptCount val="1"/>
                <c:pt idx="0">
                  <c:v>Liver</c:v>
                </c:pt>
              </c:strCache>
            </c:strRef>
          </c:cat>
          <c:val>
            <c:numRef>
              <c:extLst>
                <c:ext xmlns:c15="http://schemas.microsoft.com/office/drawing/2012/chart" uri="{02D57815-91ED-43cb-92C2-25804820EDAC}">
                  <c15:fullRef>
                    <c15:sqref>Organe!$AC$35:$AC$41</c15:sqref>
                  </c15:fullRef>
                </c:ext>
              </c:extLst>
              <c:f>Organe!$AC$35</c:f>
              <c:numCache>
                <c:formatCode>0.0</c:formatCode>
                <c:ptCount val="1"/>
              </c:numCache>
            </c:numRef>
          </c:val>
          <c:extLst>
            <c:ext xmlns:c16="http://schemas.microsoft.com/office/drawing/2014/chart" uri="{C3380CC4-5D6E-409C-BE32-E72D297353CC}">
              <c16:uniqueId val="{0000001A-D3BA-48A9-940B-FC4E916B4B23}"/>
            </c:ext>
          </c:extLst>
        </c:ser>
        <c:ser>
          <c:idx val="26"/>
          <c:order val="26"/>
          <c:tx>
            <c:strRef>
              <c:f>Organe!$AD$2</c:f>
              <c:strCache>
                <c:ptCount val="1"/>
                <c:pt idx="0">
                  <c:v>PFUnDA </c:v>
                </c:pt>
              </c:strCache>
            </c:strRef>
          </c:tx>
          <c:spPr>
            <a:solidFill>
              <a:schemeClr val="accent3">
                <a:lumMod val="60000"/>
                <a:lumOff val="40000"/>
              </a:schemeClr>
            </a:solidFill>
            <a:ln>
              <a:noFill/>
            </a:ln>
            <a:effectLst/>
          </c:spPr>
          <c:invertIfNegative val="0"/>
          <c:cat>
            <c:strRef>
              <c:extLst>
                <c:ext xmlns:c15="http://schemas.microsoft.com/office/drawing/2012/chart" uri="{02D57815-91ED-43cb-92C2-25804820EDAC}">
                  <c15:fullRef>
                    <c15:sqref>Organe!$C$35:$C$41</c15:sqref>
                  </c15:fullRef>
                </c:ext>
              </c:extLst>
              <c:f>Organe!$C$35</c:f>
              <c:strCache>
                <c:ptCount val="1"/>
                <c:pt idx="0">
                  <c:v>Liver</c:v>
                </c:pt>
              </c:strCache>
            </c:strRef>
          </c:cat>
          <c:val>
            <c:numRef>
              <c:extLst>
                <c:ext xmlns:c15="http://schemas.microsoft.com/office/drawing/2012/chart" uri="{02D57815-91ED-43cb-92C2-25804820EDAC}">
                  <c15:fullRef>
                    <c15:sqref>Organe!$AD$35:$AD$41</c15:sqref>
                  </c15:fullRef>
                </c:ext>
              </c:extLst>
              <c:f>Organe!$AD$35</c:f>
              <c:numCache>
                <c:formatCode>0.0</c:formatCode>
                <c:ptCount val="1"/>
              </c:numCache>
            </c:numRef>
          </c:val>
          <c:extLst>
            <c:ext xmlns:c16="http://schemas.microsoft.com/office/drawing/2014/chart" uri="{C3380CC4-5D6E-409C-BE32-E72D297353CC}">
              <c16:uniqueId val="{0000001B-D3BA-48A9-940B-FC4E916B4B23}"/>
            </c:ext>
          </c:extLst>
        </c:ser>
        <c:ser>
          <c:idx val="27"/>
          <c:order val="27"/>
          <c:tx>
            <c:strRef>
              <c:f>Organe!$AE$2</c:f>
              <c:strCache>
                <c:ptCount val="1"/>
                <c:pt idx="0">
                  <c:v>PFDoDA </c:v>
                </c:pt>
              </c:strCache>
            </c:strRef>
          </c:tx>
          <c:spPr>
            <a:solidFill>
              <a:schemeClr val="accent4">
                <a:lumMod val="60000"/>
                <a:lumOff val="40000"/>
              </a:schemeClr>
            </a:solidFill>
            <a:ln>
              <a:noFill/>
            </a:ln>
            <a:effectLst/>
          </c:spPr>
          <c:invertIfNegative val="0"/>
          <c:cat>
            <c:strRef>
              <c:extLst>
                <c:ext xmlns:c15="http://schemas.microsoft.com/office/drawing/2012/chart" uri="{02D57815-91ED-43cb-92C2-25804820EDAC}">
                  <c15:fullRef>
                    <c15:sqref>Organe!$C$35:$C$41</c15:sqref>
                  </c15:fullRef>
                </c:ext>
              </c:extLst>
              <c:f>Organe!$C$35</c:f>
              <c:strCache>
                <c:ptCount val="1"/>
                <c:pt idx="0">
                  <c:v>Liver</c:v>
                </c:pt>
              </c:strCache>
            </c:strRef>
          </c:cat>
          <c:val>
            <c:numRef>
              <c:extLst>
                <c:ext xmlns:c15="http://schemas.microsoft.com/office/drawing/2012/chart" uri="{02D57815-91ED-43cb-92C2-25804820EDAC}">
                  <c15:fullRef>
                    <c15:sqref>Organe!$AE$35:$AE$41</c15:sqref>
                  </c15:fullRef>
                </c:ext>
              </c:extLst>
              <c:f>Organe!$AE$35</c:f>
              <c:numCache>
                <c:formatCode>0.0</c:formatCode>
                <c:ptCount val="1"/>
              </c:numCache>
            </c:numRef>
          </c:val>
          <c:extLst>
            <c:ext xmlns:c16="http://schemas.microsoft.com/office/drawing/2014/chart" uri="{C3380CC4-5D6E-409C-BE32-E72D297353CC}">
              <c16:uniqueId val="{0000001C-D3BA-48A9-940B-FC4E916B4B23}"/>
            </c:ext>
          </c:extLst>
        </c:ser>
        <c:ser>
          <c:idx val="28"/>
          <c:order val="28"/>
          <c:tx>
            <c:strRef>
              <c:f>Organe!$AF$2</c:f>
              <c:strCache>
                <c:ptCount val="1"/>
                <c:pt idx="0">
                  <c:v>PFTrDA </c:v>
                </c:pt>
              </c:strCache>
            </c:strRef>
          </c:tx>
          <c:spPr>
            <a:solidFill>
              <a:schemeClr val="accent5">
                <a:lumMod val="60000"/>
                <a:lumOff val="40000"/>
              </a:schemeClr>
            </a:solidFill>
            <a:ln>
              <a:noFill/>
            </a:ln>
            <a:effectLst/>
          </c:spPr>
          <c:invertIfNegative val="0"/>
          <c:cat>
            <c:strRef>
              <c:extLst>
                <c:ext xmlns:c15="http://schemas.microsoft.com/office/drawing/2012/chart" uri="{02D57815-91ED-43cb-92C2-25804820EDAC}">
                  <c15:fullRef>
                    <c15:sqref>Organe!$C$35:$C$41</c15:sqref>
                  </c15:fullRef>
                </c:ext>
              </c:extLst>
              <c:f>Organe!$C$35</c:f>
              <c:strCache>
                <c:ptCount val="1"/>
                <c:pt idx="0">
                  <c:v>Liver</c:v>
                </c:pt>
              </c:strCache>
            </c:strRef>
          </c:cat>
          <c:val>
            <c:numRef>
              <c:extLst>
                <c:ext xmlns:c15="http://schemas.microsoft.com/office/drawing/2012/chart" uri="{02D57815-91ED-43cb-92C2-25804820EDAC}">
                  <c15:fullRef>
                    <c15:sqref>Organe!$AF$35:$AF$41</c15:sqref>
                  </c15:fullRef>
                </c:ext>
              </c:extLst>
              <c:f>Organe!$AF$35</c:f>
              <c:numCache>
                <c:formatCode>0.0</c:formatCode>
                <c:ptCount val="1"/>
              </c:numCache>
            </c:numRef>
          </c:val>
          <c:extLst>
            <c:ext xmlns:c16="http://schemas.microsoft.com/office/drawing/2014/chart" uri="{C3380CC4-5D6E-409C-BE32-E72D297353CC}">
              <c16:uniqueId val="{0000001D-D3BA-48A9-940B-FC4E916B4B23}"/>
            </c:ext>
          </c:extLst>
        </c:ser>
        <c:ser>
          <c:idx val="29"/>
          <c:order val="29"/>
          <c:tx>
            <c:strRef>
              <c:f>Organe!$AG$2</c:f>
              <c:strCache>
                <c:ptCount val="1"/>
                <c:pt idx="0">
                  <c:v>PFTeDA </c:v>
                </c:pt>
              </c:strCache>
            </c:strRef>
          </c:tx>
          <c:spPr>
            <a:solidFill>
              <a:schemeClr val="accent6">
                <a:lumMod val="60000"/>
                <a:lumOff val="40000"/>
              </a:schemeClr>
            </a:solidFill>
            <a:ln>
              <a:noFill/>
            </a:ln>
            <a:effectLst/>
          </c:spPr>
          <c:invertIfNegative val="0"/>
          <c:cat>
            <c:strRef>
              <c:extLst>
                <c:ext xmlns:c15="http://schemas.microsoft.com/office/drawing/2012/chart" uri="{02D57815-91ED-43cb-92C2-25804820EDAC}">
                  <c15:fullRef>
                    <c15:sqref>Organe!$C$35:$C$41</c15:sqref>
                  </c15:fullRef>
                </c:ext>
              </c:extLst>
              <c:f>Organe!$C$35</c:f>
              <c:strCache>
                <c:ptCount val="1"/>
                <c:pt idx="0">
                  <c:v>Liver</c:v>
                </c:pt>
              </c:strCache>
            </c:strRef>
          </c:cat>
          <c:val>
            <c:numRef>
              <c:extLst>
                <c:ext xmlns:c15="http://schemas.microsoft.com/office/drawing/2012/chart" uri="{02D57815-91ED-43cb-92C2-25804820EDAC}">
                  <c15:fullRef>
                    <c15:sqref>Organe!$AG$35:$AG$41</c15:sqref>
                  </c15:fullRef>
                </c:ext>
              </c:extLst>
              <c:f>Organe!$AG$35</c:f>
              <c:numCache>
                <c:formatCode>0.0</c:formatCode>
                <c:ptCount val="1"/>
              </c:numCache>
            </c:numRef>
          </c:val>
          <c:extLst>
            <c:ext xmlns:c16="http://schemas.microsoft.com/office/drawing/2014/chart" uri="{C3380CC4-5D6E-409C-BE32-E72D297353CC}">
              <c16:uniqueId val="{0000001E-D3BA-48A9-940B-FC4E916B4B23}"/>
            </c:ext>
          </c:extLst>
        </c:ser>
        <c:ser>
          <c:idx val="30"/>
          <c:order val="30"/>
          <c:tx>
            <c:strRef>
              <c:f>Organe!$AH$2</c:f>
              <c:strCache>
                <c:ptCount val="1"/>
                <c:pt idx="0">
                  <c:v>PFPeS</c:v>
                </c:pt>
              </c:strCache>
            </c:strRef>
          </c:tx>
          <c:spPr>
            <a:solidFill>
              <a:schemeClr val="accent1">
                <a:lumMod val="50000"/>
              </a:schemeClr>
            </a:solidFill>
            <a:ln>
              <a:noFill/>
            </a:ln>
            <a:effectLst/>
          </c:spPr>
          <c:invertIfNegative val="0"/>
          <c:cat>
            <c:strRef>
              <c:extLst>
                <c:ext xmlns:c15="http://schemas.microsoft.com/office/drawing/2012/chart" uri="{02D57815-91ED-43cb-92C2-25804820EDAC}">
                  <c15:fullRef>
                    <c15:sqref>Organe!$C$35:$C$41</c15:sqref>
                  </c15:fullRef>
                </c:ext>
              </c:extLst>
              <c:f>Organe!$C$35</c:f>
              <c:strCache>
                <c:ptCount val="1"/>
                <c:pt idx="0">
                  <c:v>Liver</c:v>
                </c:pt>
              </c:strCache>
            </c:strRef>
          </c:cat>
          <c:val>
            <c:numRef>
              <c:extLst>
                <c:ext xmlns:c15="http://schemas.microsoft.com/office/drawing/2012/chart" uri="{02D57815-91ED-43cb-92C2-25804820EDAC}">
                  <c15:fullRef>
                    <c15:sqref>Organe!$AH$35:$AH$41</c15:sqref>
                  </c15:fullRef>
                </c:ext>
              </c:extLst>
              <c:f>Organe!$AH$35</c:f>
              <c:numCache>
                <c:formatCode>0.0</c:formatCode>
                <c:ptCount val="1"/>
              </c:numCache>
            </c:numRef>
          </c:val>
          <c:extLst>
            <c:ext xmlns:c16="http://schemas.microsoft.com/office/drawing/2014/chart" uri="{C3380CC4-5D6E-409C-BE32-E72D297353CC}">
              <c16:uniqueId val="{0000001F-D3BA-48A9-940B-FC4E916B4B23}"/>
            </c:ext>
          </c:extLst>
        </c:ser>
        <c:ser>
          <c:idx val="31"/>
          <c:order val="31"/>
          <c:tx>
            <c:strRef>
              <c:f>Organe!$AI$2</c:f>
              <c:strCache>
                <c:ptCount val="1"/>
                <c:pt idx="0">
                  <c:v>PFHxS</c:v>
                </c:pt>
              </c:strCache>
            </c:strRef>
          </c:tx>
          <c:spPr>
            <a:solidFill>
              <a:schemeClr val="accent2">
                <a:lumMod val="50000"/>
              </a:schemeClr>
            </a:solidFill>
            <a:ln>
              <a:noFill/>
            </a:ln>
            <a:effectLst/>
          </c:spPr>
          <c:invertIfNegative val="0"/>
          <c:cat>
            <c:strRef>
              <c:extLst>
                <c:ext xmlns:c15="http://schemas.microsoft.com/office/drawing/2012/chart" uri="{02D57815-91ED-43cb-92C2-25804820EDAC}">
                  <c15:fullRef>
                    <c15:sqref>Organe!$C$35:$C$41</c15:sqref>
                  </c15:fullRef>
                </c:ext>
              </c:extLst>
              <c:f>Organe!$C$35</c:f>
              <c:strCache>
                <c:ptCount val="1"/>
                <c:pt idx="0">
                  <c:v>Liver</c:v>
                </c:pt>
              </c:strCache>
            </c:strRef>
          </c:cat>
          <c:val>
            <c:numRef>
              <c:extLst>
                <c:ext xmlns:c15="http://schemas.microsoft.com/office/drawing/2012/chart" uri="{02D57815-91ED-43cb-92C2-25804820EDAC}">
                  <c15:fullRef>
                    <c15:sqref>Organe!$AI$35:$AI$41</c15:sqref>
                  </c15:fullRef>
                </c:ext>
              </c:extLst>
              <c:f>Organe!$AI$35</c:f>
              <c:numCache>
                <c:formatCode>0.0</c:formatCode>
                <c:ptCount val="1"/>
              </c:numCache>
            </c:numRef>
          </c:val>
          <c:extLst>
            <c:ext xmlns:c16="http://schemas.microsoft.com/office/drawing/2014/chart" uri="{C3380CC4-5D6E-409C-BE32-E72D297353CC}">
              <c16:uniqueId val="{00000020-D3BA-48A9-940B-FC4E916B4B23}"/>
            </c:ext>
          </c:extLst>
        </c:ser>
        <c:ser>
          <c:idx val="32"/>
          <c:order val="32"/>
          <c:tx>
            <c:strRef>
              <c:f>Organe!$AJ$2</c:f>
              <c:strCache>
                <c:ptCount val="1"/>
                <c:pt idx="0">
                  <c:v>PFHpS</c:v>
                </c:pt>
              </c:strCache>
            </c:strRef>
          </c:tx>
          <c:spPr>
            <a:solidFill>
              <a:schemeClr val="accent3">
                <a:lumMod val="50000"/>
              </a:schemeClr>
            </a:solidFill>
            <a:ln>
              <a:noFill/>
            </a:ln>
            <a:effectLst/>
          </c:spPr>
          <c:invertIfNegative val="0"/>
          <c:cat>
            <c:strRef>
              <c:extLst>
                <c:ext xmlns:c15="http://schemas.microsoft.com/office/drawing/2012/chart" uri="{02D57815-91ED-43cb-92C2-25804820EDAC}">
                  <c15:fullRef>
                    <c15:sqref>Organe!$C$35:$C$41</c15:sqref>
                  </c15:fullRef>
                </c:ext>
              </c:extLst>
              <c:f>Organe!$C$35</c:f>
              <c:strCache>
                <c:ptCount val="1"/>
                <c:pt idx="0">
                  <c:v>Liver</c:v>
                </c:pt>
              </c:strCache>
            </c:strRef>
          </c:cat>
          <c:val>
            <c:numRef>
              <c:extLst>
                <c:ext xmlns:c15="http://schemas.microsoft.com/office/drawing/2012/chart" uri="{02D57815-91ED-43cb-92C2-25804820EDAC}">
                  <c15:fullRef>
                    <c15:sqref>Organe!$AJ$35:$AJ$41</c15:sqref>
                  </c15:fullRef>
                </c:ext>
              </c:extLst>
              <c:f>Organe!$AJ$35</c:f>
              <c:numCache>
                <c:formatCode>0.0</c:formatCode>
                <c:ptCount val="1"/>
              </c:numCache>
            </c:numRef>
          </c:val>
          <c:extLst>
            <c:ext xmlns:c16="http://schemas.microsoft.com/office/drawing/2014/chart" uri="{C3380CC4-5D6E-409C-BE32-E72D297353CC}">
              <c16:uniqueId val="{00000021-D3BA-48A9-940B-FC4E916B4B23}"/>
            </c:ext>
          </c:extLst>
        </c:ser>
        <c:ser>
          <c:idx val="33"/>
          <c:order val="33"/>
          <c:tx>
            <c:strRef>
              <c:f>Organe!$AK$2</c:f>
              <c:strCache>
                <c:ptCount val="1"/>
                <c:pt idx="0">
                  <c:v>PFOS </c:v>
                </c:pt>
              </c:strCache>
            </c:strRef>
          </c:tx>
          <c:spPr>
            <a:pattFill prst="wdDnDiag">
              <a:fgClr>
                <a:schemeClr val="accent3">
                  <a:lumMod val="60000"/>
                  <a:lumOff val="40000"/>
                </a:schemeClr>
              </a:fgClr>
              <a:bgClr>
                <a:schemeClr val="bg1">
                  <a:lumMod val="95000"/>
                </a:schemeClr>
              </a:bgClr>
            </a:pattFill>
            <a:ln>
              <a:noFill/>
            </a:ln>
            <a:effectLst/>
          </c:spPr>
          <c:invertIfNegative val="0"/>
          <c:cat>
            <c:strRef>
              <c:extLst>
                <c:ext xmlns:c15="http://schemas.microsoft.com/office/drawing/2012/chart" uri="{02D57815-91ED-43cb-92C2-25804820EDAC}">
                  <c15:fullRef>
                    <c15:sqref>Organe!$C$35:$C$41</c15:sqref>
                  </c15:fullRef>
                </c:ext>
              </c:extLst>
              <c:f>Organe!$C$35</c:f>
              <c:strCache>
                <c:ptCount val="1"/>
                <c:pt idx="0">
                  <c:v>Liver</c:v>
                </c:pt>
              </c:strCache>
            </c:strRef>
          </c:cat>
          <c:val>
            <c:numRef>
              <c:extLst>
                <c:ext xmlns:c15="http://schemas.microsoft.com/office/drawing/2012/chart" uri="{02D57815-91ED-43cb-92C2-25804820EDAC}">
                  <c15:fullRef>
                    <c15:sqref>Organe!$AK$35:$AK$41</c15:sqref>
                  </c15:fullRef>
                </c:ext>
              </c:extLst>
              <c:f>Organe!$AK$35</c:f>
              <c:numCache>
                <c:formatCode>0.0</c:formatCode>
                <c:ptCount val="1"/>
                <c:pt idx="0">
                  <c:v>36.033333333333339</c:v>
                </c:pt>
              </c:numCache>
            </c:numRef>
          </c:val>
          <c:extLst>
            <c:ext xmlns:c16="http://schemas.microsoft.com/office/drawing/2014/chart" uri="{C3380CC4-5D6E-409C-BE32-E72D297353CC}">
              <c16:uniqueId val="{00000022-D3BA-48A9-940B-FC4E916B4B23}"/>
            </c:ext>
          </c:extLst>
        </c:ser>
        <c:ser>
          <c:idx val="34"/>
          <c:order val="34"/>
          <c:tx>
            <c:strRef>
              <c:f>Organe!$AL$2</c:f>
              <c:strCache>
                <c:ptCount val="1"/>
                <c:pt idx="0">
                  <c:v>PFNS </c:v>
                </c:pt>
              </c:strCache>
            </c:strRef>
          </c:tx>
          <c:spPr>
            <a:pattFill prst="wdUpDiag">
              <a:fgClr>
                <a:schemeClr val="accent6"/>
              </a:fgClr>
              <a:bgClr>
                <a:schemeClr val="bg1"/>
              </a:bgClr>
            </a:pattFill>
            <a:ln>
              <a:noFill/>
            </a:ln>
            <a:effectLst/>
          </c:spPr>
          <c:invertIfNegative val="0"/>
          <c:cat>
            <c:strRef>
              <c:extLst>
                <c:ext xmlns:c15="http://schemas.microsoft.com/office/drawing/2012/chart" uri="{02D57815-91ED-43cb-92C2-25804820EDAC}">
                  <c15:fullRef>
                    <c15:sqref>Organe!$C$35:$C$41</c15:sqref>
                  </c15:fullRef>
                </c:ext>
              </c:extLst>
              <c:f>Organe!$C$35</c:f>
              <c:strCache>
                <c:ptCount val="1"/>
                <c:pt idx="0">
                  <c:v>Liver</c:v>
                </c:pt>
              </c:strCache>
            </c:strRef>
          </c:cat>
          <c:val>
            <c:numRef>
              <c:extLst>
                <c:ext xmlns:c15="http://schemas.microsoft.com/office/drawing/2012/chart" uri="{02D57815-91ED-43cb-92C2-25804820EDAC}">
                  <c15:fullRef>
                    <c15:sqref>Organe!$AL$35:$AL$41</c15:sqref>
                  </c15:fullRef>
                </c:ext>
              </c:extLst>
              <c:f>Organe!$AL$35</c:f>
              <c:numCache>
                <c:formatCode>0.0</c:formatCode>
                <c:ptCount val="1"/>
                <c:pt idx="0">
                  <c:v>166.66666666666666</c:v>
                </c:pt>
              </c:numCache>
            </c:numRef>
          </c:val>
          <c:extLst>
            <c:ext xmlns:c16="http://schemas.microsoft.com/office/drawing/2014/chart" uri="{C3380CC4-5D6E-409C-BE32-E72D297353CC}">
              <c16:uniqueId val="{00000023-D3BA-48A9-940B-FC4E916B4B23}"/>
            </c:ext>
          </c:extLst>
        </c:ser>
        <c:ser>
          <c:idx val="35"/>
          <c:order val="35"/>
          <c:tx>
            <c:strRef>
              <c:f>Organe!$AM$2</c:f>
              <c:strCache>
                <c:ptCount val="1"/>
                <c:pt idx="0">
                  <c:v>PFDS </c:v>
                </c:pt>
              </c:strCache>
            </c:strRef>
          </c:tx>
          <c:spPr>
            <a:pattFill prst="wdDnDiag">
              <a:fgClr>
                <a:schemeClr val="accent2">
                  <a:lumMod val="75000"/>
                </a:schemeClr>
              </a:fgClr>
              <a:bgClr>
                <a:schemeClr val="bg1">
                  <a:lumMod val="95000"/>
                </a:schemeClr>
              </a:bgClr>
            </a:pattFill>
            <a:ln>
              <a:noFill/>
            </a:ln>
            <a:effectLst/>
          </c:spPr>
          <c:invertIfNegative val="0"/>
          <c:cat>
            <c:strRef>
              <c:extLst>
                <c:ext xmlns:c15="http://schemas.microsoft.com/office/drawing/2012/chart" uri="{02D57815-91ED-43cb-92C2-25804820EDAC}">
                  <c15:fullRef>
                    <c15:sqref>Organe!$C$35:$C$41</c15:sqref>
                  </c15:fullRef>
                </c:ext>
              </c:extLst>
              <c:f>Organe!$C$35</c:f>
              <c:strCache>
                <c:ptCount val="1"/>
                <c:pt idx="0">
                  <c:v>Liver</c:v>
                </c:pt>
              </c:strCache>
            </c:strRef>
          </c:cat>
          <c:val>
            <c:numRef>
              <c:extLst>
                <c:ext xmlns:c15="http://schemas.microsoft.com/office/drawing/2012/chart" uri="{02D57815-91ED-43cb-92C2-25804820EDAC}">
                  <c15:fullRef>
                    <c15:sqref>Organe!$AM$35:$AM$41</c15:sqref>
                  </c15:fullRef>
                </c:ext>
              </c:extLst>
              <c:f>Organe!$AM$35</c:f>
              <c:numCache>
                <c:formatCode>0.0</c:formatCode>
                <c:ptCount val="1"/>
                <c:pt idx="0">
                  <c:v>24.466666666666669</c:v>
                </c:pt>
              </c:numCache>
            </c:numRef>
          </c:val>
          <c:extLst>
            <c:ext xmlns:c16="http://schemas.microsoft.com/office/drawing/2014/chart" uri="{C3380CC4-5D6E-409C-BE32-E72D297353CC}">
              <c16:uniqueId val="{00000024-D3BA-48A9-940B-FC4E916B4B23}"/>
            </c:ext>
          </c:extLst>
        </c:ser>
        <c:ser>
          <c:idx val="36"/>
          <c:order val="36"/>
          <c:tx>
            <c:strRef>
              <c:f>Organe!$AN$2</c:f>
              <c:strCache>
                <c:ptCount val="1"/>
                <c:pt idx="0">
                  <c:v>PFUnDS </c:v>
                </c:pt>
              </c:strCache>
            </c:strRef>
          </c:tx>
          <c:spPr>
            <a:pattFill prst="wdUpDiag">
              <a:fgClr>
                <a:schemeClr val="accent1">
                  <a:lumMod val="60000"/>
                  <a:lumOff val="40000"/>
                </a:schemeClr>
              </a:fgClr>
              <a:bgClr>
                <a:schemeClr val="bg1">
                  <a:lumMod val="95000"/>
                </a:schemeClr>
              </a:bgClr>
            </a:pattFill>
            <a:ln>
              <a:noFill/>
            </a:ln>
            <a:effectLst/>
          </c:spPr>
          <c:invertIfNegative val="0"/>
          <c:cat>
            <c:strRef>
              <c:extLst>
                <c:ext xmlns:c15="http://schemas.microsoft.com/office/drawing/2012/chart" uri="{02D57815-91ED-43cb-92C2-25804820EDAC}">
                  <c15:fullRef>
                    <c15:sqref>Organe!$C$35:$C$41</c15:sqref>
                  </c15:fullRef>
                </c:ext>
              </c:extLst>
              <c:f>Organe!$C$35</c:f>
              <c:strCache>
                <c:ptCount val="1"/>
                <c:pt idx="0">
                  <c:v>Liver</c:v>
                </c:pt>
              </c:strCache>
            </c:strRef>
          </c:cat>
          <c:val>
            <c:numRef>
              <c:extLst>
                <c:ext xmlns:c15="http://schemas.microsoft.com/office/drawing/2012/chart" uri="{02D57815-91ED-43cb-92C2-25804820EDAC}">
                  <c15:fullRef>
                    <c15:sqref>Organe!$AN$35:$AN$41</c15:sqref>
                  </c15:fullRef>
                </c:ext>
              </c:extLst>
              <c:f>Organe!$AN$35</c:f>
              <c:numCache>
                <c:formatCode>0.0</c:formatCode>
                <c:ptCount val="1"/>
                <c:pt idx="0">
                  <c:v>0.66633333333333333</c:v>
                </c:pt>
              </c:numCache>
            </c:numRef>
          </c:val>
          <c:extLst>
            <c:ext xmlns:c16="http://schemas.microsoft.com/office/drawing/2014/chart" uri="{C3380CC4-5D6E-409C-BE32-E72D297353CC}">
              <c16:uniqueId val="{00000025-D3BA-48A9-940B-FC4E916B4B23}"/>
            </c:ext>
          </c:extLst>
        </c:ser>
        <c:ser>
          <c:idx val="37"/>
          <c:order val="37"/>
          <c:tx>
            <c:strRef>
              <c:f>Organe!$AO$2</c:f>
              <c:strCache>
                <c:ptCount val="1"/>
                <c:pt idx="0">
                  <c:v>PFDoDS </c:v>
                </c:pt>
              </c:strCache>
            </c:strRef>
          </c:tx>
          <c:spPr>
            <a:solidFill>
              <a:schemeClr val="accent2">
                <a:lumMod val="70000"/>
                <a:lumOff val="30000"/>
              </a:schemeClr>
            </a:solidFill>
            <a:ln>
              <a:noFill/>
            </a:ln>
            <a:effectLst/>
          </c:spPr>
          <c:invertIfNegative val="0"/>
          <c:cat>
            <c:strRef>
              <c:extLst>
                <c:ext xmlns:c15="http://schemas.microsoft.com/office/drawing/2012/chart" uri="{02D57815-91ED-43cb-92C2-25804820EDAC}">
                  <c15:fullRef>
                    <c15:sqref>Organe!$C$35:$C$41</c15:sqref>
                  </c15:fullRef>
                </c:ext>
              </c:extLst>
              <c:f>Organe!$C$35</c:f>
              <c:strCache>
                <c:ptCount val="1"/>
                <c:pt idx="0">
                  <c:v>Liver</c:v>
                </c:pt>
              </c:strCache>
            </c:strRef>
          </c:cat>
          <c:val>
            <c:numRef>
              <c:extLst>
                <c:ext xmlns:c15="http://schemas.microsoft.com/office/drawing/2012/chart" uri="{02D57815-91ED-43cb-92C2-25804820EDAC}">
                  <c15:fullRef>
                    <c15:sqref>Organe!$AO$35:$AO$41</c15:sqref>
                  </c15:fullRef>
                </c:ext>
              </c:extLst>
              <c:f>Organe!$AO$35</c:f>
              <c:numCache>
                <c:formatCode>0.0</c:formatCode>
                <c:ptCount val="1"/>
              </c:numCache>
            </c:numRef>
          </c:val>
          <c:extLst>
            <c:ext xmlns:c16="http://schemas.microsoft.com/office/drawing/2014/chart" uri="{C3380CC4-5D6E-409C-BE32-E72D297353CC}">
              <c16:uniqueId val="{00000026-D3BA-48A9-940B-FC4E916B4B23}"/>
            </c:ext>
          </c:extLst>
        </c:ser>
        <c:ser>
          <c:idx val="38"/>
          <c:order val="38"/>
          <c:tx>
            <c:strRef>
              <c:f>Organe!$AP$2</c:f>
              <c:strCache>
                <c:ptCount val="1"/>
                <c:pt idx="0">
                  <c:v>PFTrDS </c:v>
                </c:pt>
              </c:strCache>
            </c:strRef>
          </c:tx>
          <c:spPr>
            <a:solidFill>
              <a:schemeClr val="accent3">
                <a:lumMod val="70000"/>
                <a:lumOff val="30000"/>
              </a:schemeClr>
            </a:solidFill>
            <a:ln>
              <a:noFill/>
            </a:ln>
            <a:effectLst/>
          </c:spPr>
          <c:invertIfNegative val="0"/>
          <c:cat>
            <c:strRef>
              <c:extLst>
                <c:ext xmlns:c15="http://schemas.microsoft.com/office/drawing/2012/chart" uri="{02D57815-91ED-43cb-92C2-25804820EDAC}">
                  <c15:fullRef>
                    <c15:sqref>Organe!$C$35:$C$41</c15:sqref>
                  </c15:fullRef>
                </c:ext>
              </c:extLst>
              <c:f>Organe!$C$35</c:f>
              <c:strCache>
                <c:ptCount val="1"/>
                <c:pt idx="0">
                  <c:v>Liver</c:v>
                </c:pt>
              </c:strCache>
            </c:strRef>
          </c:cat>
          <c:val>
            <c:numRef>
              <c:extLst>
                <c:ext xmlns:c15="http://schemas.microsoft.com/office/drawing/2012/chart" uri="{02D57815-91ED-43cb-92C2-25804820EDAC}">
                  <c15:fullRef>
                    <c15:sqref>Organe!$AP$35:$AP$41</c15:sqref>
                  </c15:fullRef>
                </c:ext>
              </c:extLst>
              <c:f>Organe!$AP$35</c:f>
              <c:numCache>
                <c:formatCode>0.0</c:formatCode>
                <c:ptCount val="1"/>
              </c:numCache>
            </c:numRef>
          </c:val>
          <c:extLst>
            <c:ext xmlns:c16="http://schemas.microsoft.com/office/drawing/2014/chart" uri="{C3380CC4-5D6E-409C-BE32-E72D297353CC}">
              <c16:uniqueId val="{00000027-D3BA-48A9-940B-FC4E916B4B23}"/>
            </c:ext>
          </c:extLst>
        </c:ser>
        <c:dLbls>
          <c:showLegendKey val="0"/>
          <c:showVal val="0"/>
          <c:showCatName val="0"/>
          <c:showSerName val="0"/>
          <c:showPercent val="0"/>
          <c:showBubbleSize val="0"/>
        </c:dLbls>
        <c:gapWidth val="150"/>
        <c:overlap val="100"/>
        <c:axId val="2073931023"/>
        <c:axId val="2073928527"/>
      </c:barChart>
      <c:catAx>
        <c:axId val="2073931023"/>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2073928527"/>
        <c:crosses val="autoZero"/>
        <c:auto val="1"/>
        <c:lblAlgn val="ctr"/>
        <c:lblOffset val="100"/>
        <c:noMultiLvlLbl val="0"/>
      </c:catAx>
      <c:valAx>
        <c:axId val="2073928527"/>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US"/>
                  <a:t>PFAA content (µg/kg)</a:t>
                </a:r>
              </a:p>
            </c:rich>
          </c:tx>
          <c:layout>
            <c:manualLayout>
              <c:xMode val="edge"/>
              <c:yMode val="edge"/>
              <c:x val="0"/>
              <c:y val="0.37405150626716821"/>
            </c:manualLayout>
          </c:layout>
          <c:overlay val="0"/>
          <c:spPr>
            <a:noFill/>
            <a:ln>
              <a:noFill/>
            </a:ln>
            <a:effectLst/>
          </c:spPr>
          <c:txPr>
            <a:bodyPr rot="-540000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2073931023"/>
        <c:crosses val="autoZero"/>
        <c:crossBetween val="between"/>
      </c:valAx>
      <c:spPr>
        <a:noFill/>
        <a:ln>
          <a:solidFill>
            <a:sysClr val="windowText" lastClr="000000"/>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8740157499999996" l="0.7" r="0.7" t="0.78740157499999996"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8820413608759076E-2"/>
          <c:y val="2.3535518992631663E-2"/>
          <c:w val="0.81251171524445065"/>
          <c:h val="0.92205709335099151"/>
        </c:manualLayout>
      </c:layout>
      <c:barChart>
        <c:barDir val="col"/>
        <c:grouping val="stacked"/>
        <c:varyColors val="0"/>
        <c:ser>
          <c:idx val="1"/>
          <c:order val="1"/>
          <c:tx>
            <c:strRef>
              <c:f>Organe!$E$2</c:f>
              <c:strCache>
                <c:ptCount val="1"/>
                <c:pt idx="0">
                  <c:v>PFPeA </c:v>
                </c:pt>
              </c:strCache>
            </c:strRef>
          </c:tx>
          <c:spPr>
            <a:solidFill>
              <a:schemeClr val="bg1">
                <a:lumMod val="50000"/>
              </a:schemeClr>
            </a:solidFill>
            <a:ln>
              <a:noFill/>
            </a:ln>
            <a:effectLst/>
          </c:spPr>
          <c:invertIfNegative val="0"/>
          <c:cat>
            <c:strRef>
              <c:extLst>
                <c:ext xmlns:c15="http://schemas.microsoft.com/office/drawing/2012/chart" uri="{02D57815-91ED-43cb-92C2-25804820EDAC}">
                  <c15:fullRef>
                    <c15:sqref>Organe!$C$35:$C$41</c15:sqref>
                  </c15:fullRef>
                </c:ext>
              </c:extLst>
              <c:f>Organe!$C$36:$C$41</c:f>
              <c:strCache>
                <c:ptCount val="6"/>
                <c:pt idx="0">
                  <c:v>Kidney</c:v>
                </c:pt>
                <c:pt idx="1">
                  <c:v>Lung</c:v>
                </c:pt>
                <c:pt idx="2">
                  <c:v>Brain</c:v>
                </c:pt>
                <c:pt idx="3">
                  <c:v>Heart</c:v>
                </c:pt>
                <c:pt idx="4">
                  <c:v>Spleen</c:v>
                </c:pt>
                <c:pt idx="5">
                  <c:v>Breast Muscle</c:v>
                </c:pt>
              </c:strCache>
            </c:strRef>
          </c:cat>
          <c:val>
            <c:numRef>
              <c:extLst>
                <c:ext xmlns:c15="http://schemas.microsoft.com/office/drawing/2012/chart" uri="{02D57815-91ED-43cb-92C2-25804820EDAC}">
                  <c15:fullRef>
                    <c15:sqref>Organe!$E$35:$E$41</c15:sqref>
                  </c15:fullRef>
                </c:ext>
              </c:extLst>
              <c:f>Organe!$E$36:$E$41</c:f>
              <c:numCache>
                <c:formatCode>0.0</c:formatCode>
                <c:ptCount val="6"/>
                <c:pt idx="5">
                  <c:v>0.56999999999999995</c:v>
                </c:pt>
              </c:numCache>
            </c:numRef>
          </c:val>
          <c:extLst>
            <c:ext xmlns:c16="http://schemas.microsoft.com/office/drawing/2014/chart" uri="{C3380CC4-5D6E-409C-BE32-E72D297353CC}">
              <c16:uniqueId val="{00000001-23D2-47D5-B19F-081366F7B9CA}"/>
            </c:ext>
          </c:extLst>
        </c:ser>
        <c:ser>
          <c:idx val="4"/>
          <c:order val="4"/>
          <c:tx>
            <c:strRef>
              <c:f>Organe!$H$2</c:f>
              <c:strCache>
                <c:ptCount val="1"/>
                <c:pt idx="0">
                  <c:v>PFOA </c:v>
                </c:pt>
              </c:strCache>
            </c:strRef>
          </c:tx>
          <c:spPr>
            <a:solidFill>
              <a:schemeClr val="tx1">
                <a:lumMod val="65000"/>
                <a:lumOff val="35000"/>
              </a:schemeClr>
            </a:solidFill>
            <a:ln>
              <a:noFill/>
            </a:ln>
            <a:effectLst/>
          </c:spPr>
          <c:invertIfNegative val="0"/>
          <c:cat>
            <c:strRef>
              <c:extLst>
                <c:ext xmlns:c15="http://schemas.microsoft.com/office/drawing/2012/chart" uri="{02D57815-91ED-43cb-92C2-25804820EDAC}">
                  <c15:fullRef>
                    <c15:sqref>Organe!$C$35:$C$41</c15:sqref>
                  </c15:fullRef>
                </c:ext>
              </c:extLst>
              <c:f>Organe!$C$36:$C$41</c:f>
              <c:strCache>
                <c:ptCount val="6"/>
                <c:pt idx="0">
                  <c:v>Kidney</c:v>
                </c:pt>
                <c:pt idx="1">
                  <c:v>Lung</c:v>
                </c:pt>
                <c:pt idx="2">
                  <c:v>Brain</c:v>
                </c:pt>
                <c:pt idx="3">
                  <c:v>Heart</c:v>
                </c:pt>
                <c:pt idx="4">
                  <c:v>Spleen</c:v>
                </c:pt>
                <c:pt idx="5">
                  <c:v>Breast Muscle</c:v>
                </c:pt>
              </c:strCache>
            </c:strRef>
          </c:cat>
          <c:val>
            <c:numRef>
              <c:extLst>
                <c:ext xmlns:c15="http://schemas.microsoft.com/office/drawing/2012/chart" uri="{02D57815-91ED-43cb-92C2-25804820EDAC}">
                  <c15:fullRef>
                    <c15:sqref>Organe!$H$35:$H$41</c15:sqref>
                  </c15:fullRef>
                </c:ext>
              </c:extLst>
              <c:f>Organe!$H$36:$H$41</c:f>
              <c:numCache>
                <c:formatCode>0.0</c:formatCode>
                <c:ptCount val="6"/>
                <c:pt idx="2">
                  <c:v>11.13</c:v>
                </c:pt>
              </c:numCache>
            </c:numRef>
          </c:val>
          <c:extLst>
            <c:ext xmlns:c16="http://schemas.microsoft.com/office/drawing/2014/chart" uri="{C3380CC4-5D6E-409C-BE32-E72D297353CC}">
              <c16:uniqueId val="{00000004-23D2-47D5-B19F-081366F7B9CA}"/>
            </c:ext>
          </c:extLst>
        </c:ser>
        <c:ser>
          <c:idx val="15"/>
          <c:order val="15"/>
          <c:tx>
            <c:strRef>
              <c:f>Organe!$S$2</c:f>
              <c:strCache>
                <c:ptCount val="1"/>
                <c:pt idx="0">
                  <c:v>PFOS </c:v>
                </c:pt>
              </c:strCache>
            </c:strRef>
          </c:tx>
          <c:spPr>
            <a:solidFill>
              <a:schemeClr val="accent3">
                <a:lumMod val="60000"/>
                <a:lumOff val="40000"/>
              </a:schemeClr>
            </a:solidFill>
            <a:ln>
              <a:noFill/>
            </a:ln>
            <a:effectLst/>
          </c:spPr>
          <c:invertIfNegative val="0"/>
          <c:cat>
            <c:strRef>
              <c:extLst>
                <c:ext xmlns:c15="http://schemas.microsoft.com/office/drawing/2012/chart" uri="{02D57815-91ED-43cb-92C2-25804820EDAC}">
                  <c15:fullRef>
                    <c15:sqref>Organe!$C$35:$C$41</c15:sqref>
                  </c15:fullRef>
                </c:ext>
              </c:extLst>
              <c:f>Organe!$C$36:$C$41</c:f>
              <c:strCache>
                <c:ptCount val="6"/>
                <c:pt idx="0">
                  <c:v>Kidney</c:v>
                </c:pt>
                <c:pt idx="1">
                  <c:v>Lung</c:v>
                </c:pt>
                <c:pt idx="2">
                  <c:v>Brain</c:v>
                </c:pt>
                <c:pt idx="3">
                  <c:v>Heart</c:v>
                </c:pt>
                <c:pt idx="4">
                  <c:v>Spleen</c:v>
                </c:pt>
                <c:pt idx="5">
                  <c:v>Breast Muscle</c:v>
                </c:pt>
              </c:strCache>
            </c:strRef>
          </c:cat>
          <c:val>
            <c:numRef>
              <c:extLst>
                <c:ext xmlns:c15="http://schemas.microsoft.com/office/drawing/2012/chart" uri="{02D57815-91ED-43cb-92C2-25804820EDAC}">
                  <c15:fullRef>
                    <c15:sqref>Organe!$S$35:$S$41</c15:sqref>
                  </c15:fullRef>
                </c:ext>
              </c:extLst>
              <c:f>Organe!$S$36:$S$41</c:f>
              <c:numCache>
                <c:formatCode>0.0</c:formatCode>
                <c:ptCount val="6"/>
                <c:pt idx="0">
                  <c:v>23.5</c:v>
                </c:pt>
                <c:pt idx="1">
                  <c:v>15.100000000000001</c:v>
                </c:pt>
                <c:pt idx="2">
                  <c:v>5.81</c:v>
                </c:pt>
                <c:pt idx="3">
                  <c:v>11.416666666666666</c:v>
                </c:pt>
                <c:pt idx="4">
                  <c:v>10.543333333333335</c:v>
                </c:pt>
                <c:pt idx="5">
                  <c:v>3.3466666666666662</c:v>
                </c:pt>
              </c:numCache>
            </c:numRef>
          </c:val>
          <c:extLst>
            <c:ext xmlns:c16="http://schemas.microsoft.com/office/drawing/2014/chart" uri="{C3380CC4-5D6E-409C-BE32-E72D297353CC}">
              <c16:uniqueId val="{0000000F-23D2-47D5-B19F-081366F7B9CA}"/>
            </c:ext>
          </c:extLst>
        </c:ser>
        <c:ser>
          <c:idx val="16"/>
          <c:order val="16"/>
          <c:tx>
            <c:strRef>
              <c:f>Organe!$T$2</c:f>
              <c:strCache>
                <c:ptCount val="1"/>
                <c:pt idx="0">
                  <c:v>PFNS </c:v>
                </c:pt>
              </c:strCache>
            </c:strRef>
          </c:tx>
          <c:spPr>
            <a:solidFill>
              <a:schemeClr val="accent6"/>
            </a:solidFill>
            <a:ln>
              <a:noFill/>
            </a:ln>
            <a:effectLst/>
          </c:spPr>
          <c:invertIfNegative val="0"/>
          <c:cat>
            <c:strRef>
              <c:extLst>
                <c:ext xmlns:c15="http://schemas.microsoft.com/office/drawing/2012/chart" uri="{02D57815-91ED-43cb-92C2-25804820EDAC}">
                  <c15:fullRef>
                    <c15:sqref>Organe!$C$35:$C$41</c15:sqref>
                  </c15:fullRef>
                </c:ext>
              </c:extLst>
              <c:f>Organe!$C$36:$C$41</c:f>
              <c:strCache>
                <c:ptCount val="6"/>
                <c:pt idx="0">
                  <c:v>Kidney</c:v>
                </c:pt>
                <c:pt idx="1">
                  <c:v>Lung</c:v>
                </c:pt>
                <c:pt idx="2">
                  <c:v>Brain</c:v>
                </c:pt>
                <c:pt idx="3">
                  <c:v>Heart</c:v>
                </c:pt>
                <c:pt idx="4">
                  <c:v>Spleen</c:v>
                </c:pt>
                <c:pt idx="5">
                  <c:v>Breast Muscle</c:v>
                </c:pt>
              </c:strCache>
            </c:strRef>
          </c:cat>
          <c:val>
            <c:numRef>
              <c:extLst>
                <c:ext xmlns:c15="http://schemas.microsoft.com/office/drawing/2012/chart" uri="{02D57815-91ED-43cb-92C2-25804820EDAC}">
                  <c15:fullRef>
                    <c15:sqref>Organe!$T$35:$T$41</c15:sqref>
                  </c15:fullRef>
                </c:ext>
              </c:extLst>
              <c:f>Organe!$T$36:$T$41</c:f>
              <c:numCache>
                <c:formatCode>0.0</c:formatCode>
                <c:ptCount val="6"/>
                <c:pt idx="0">
                  <c:v>4.5733333333333333</c:v>
                </c:pt>
                <c:pt idx="1">
                  <c:v>5.376666666666666</c:v>
                </c:pt>
                <c:pt idx="2">
                  <c:v>2.8366666666666664</c:v>
                </c:pt>
                <c:pt idx="3">
                  <c:v>2.2766666666666668</c:v>
                </c:pt>
                <c:pt idx="4">
                  <c:v>2.9133333333333336</c:v>
                </c:pt>
                <c:pt idx="5">
                  <c:v>1.0423333333333333</c:v>
                </c:pt>
              </c:numCache>
            </c:numRef>
          </c:val>
          <c:extLst>
            <c:ext xmlns:c16="http://schemas.microsoft.com/office/drawing/2014/chart" uri="{C3380CC4-5D6E-409C-BE32-E72D297353CC}">
              <c16:uniqueId val="{00000010-23D2-47D5-B19F-081366F7B9CA}"/>
            </c:ext>
          </c:extLst>
        </c:ser>
        <c:ser>
          <c:idx val="17"/>
          <c:order val="17"/>
          <c:tx>
            <c:strRef>
              <c:f>Organe!$U$2</c:f>
              <c:strCache>
                <c:ptCount val="1"/>
                <c:pt idx="0">
                  <c:v>PFDS </c:v>
                </c:pt>
              </c:strCache>
            </c:strRef>
          </c:tx>
          <c:spPr>
            <a:solidFill>
              <a:schemeClr val="accent2">
                <a:lumMod val="75000"/>
              </a:schemeClr>
            </a:solidFill>
            <a:ln>
              <a:noFill/>
            </a:ln>
            <a:effectLst/>
          </c:spPr>
          <c:invertIfNegative val="0"/>
          <c:cat>
            <c:strRef>
              <c:extLst>
                <c:ext xmlns:c15="http://schemas.microsoft.com/office/drawing/2012/chart" uri="{02D57815-91ED-43cb-92C2-25804820EDAC}">
                  <c15:fullRef>
                    <c15:sqref>Organe!$C$35:$C$41</c15:sqref>
                  </c15:fullRef>
                </c:ext>
              </c:extLst>
              <c:f>Organe!$C$36:$C$41</c:f>
              <c:strCache>
                <c:ptCount val="6"/>
                <c:pt idx="0">
                  <c:v>Kidney</c:v>
                </c:pt>
                <c:pt idx="1">
                  <c:v>Lung</c:v>
                </c:pt>
                <c:pt idx="2">
                  <c:v>Brain</c:v>
                </c:pt>
                <c:pt idx="3">
                  <c:v>Heart</c:v>
                </c:pt>
                <c:pt idx="4">
                  <c:v>Spleen</c:v>
                </c:pt>
                <c:pt idx="5">
                  <c:v>Breast Muscle</c:v>
                </c:pt>
              </c:strCache>
            </c:strRef>
          </c:cat>
          <c:val>
            <c:numRef>
              <c:extLst>
                <c:ext xmlns:c15="http://schemas.microsoft.com/office/drawing/2012/chart" uri="{02D57815-91ED-43cb-92C2-25804820EDAC}">
                  <c15:fullRef>
                    <c15:sqref>Organe!$U$35:$U$41</c15:sqref>
                  </c15:fullRef>
                </c:ext>
              </c:extLst>
              <c:f>Organe!$U$36:$U$41</c:f>
              <c:numCache>
                <c:formatCode>0.0</c:formatCode>
                <c:ptCount val="6"/>
                <c:pt idx="0">
                  <c:v>1.0983333333333334</c:v>
                </c:pt>
                <c:pt idx="1">
                  <c:v>1.8380000000000003</c:v>
                </c:pt>
                <c:pt idx="2">
                  <c:v>4.2066666666666661</c:v>
                </c:pt>
                <c:pt idx="3">
                  <c:v>0.47766666666666668</c:v>
                </c:pt>
                <c:pt idx="4">
                  <c:v>0.99399999999999988</c:v>
                </c:pt>
                <c:pt idx="5">
                  <c:v>0.42</c:v>
                </c:pt>
              </c:numCache>
            </c:numRef>
          </c:val>
          <c:extLst>
            <c:ext xmlns:c16="http://schemas.microsoft.com/office/drawing/2014/chart" uri="{C3380CC4-5D6E-409C-BE32-E72D297353CC}">
              <c16:uniqueId val="{00000011-23D2-47D5-B19F-081366F7B9CA}"/>
            </c:ext>
          </c:extLst>
        </c:ser>
        <c:ser>
          <c:idx val="18"/>
          <c:order val="18"/>
          <c:tx>
            <c:strRef>
              <c:f>Organe!$V$2</c:f>
              <c:strCache>
                <c:ptCount val="1"/>
                <c:pt idx="0">
                  <c:v>PFUnDS </c:v>
                </c:pt>
              </c:strCache>
            </c:strRef>
          </c:tx>
          <c:spPr>
            <a:solidFill>
              <a:schemeClr val="accent1">
                <a:lumMod val="60000"/>
                <a:lumOff val="40000"/>
              </a:schemeClr>
            </a:solidFill>
            <a:ln>
              <a:noFill/>
            </a:ln>
            <a:effectLst/>
          </c:spPr>
          <c:invertIfNegative val="0"/>
          <c:cat>
            <c:strRef>
              <c:extLst>
                <c:ext xmlns:c15="http://schemas.microsoft.com/office/drawing/2012/chart" uri="{02D57815-91ED-43cb-92C2-25804820EDAC}">
                  <c15:fullRef>
                    <c15:sqref>Organe!$C$35:$C$41</c15:sqref>
                  </c15:fullRef>
                </c:ext>
              </c:extLst>
              <c:f>Organe!$C$36:$C$41</c:f>
              <c:strCache>
                <c:ptCount val="6"/>
                <c:pt idx="0">
                  <c:v>Kidney</c:v>
                </c:pt>
                <c:pt idx="1">
                  <c:v>Lung</c:v>
                </c:pt>
                <c:pt idx="2">
                  <c:v>Brain</c:v>
                </c:pt>
                <c:pt idx="3">
                  <c:v>Heart</c:v>
                </c:pt>
                <c:pt idx="4">
                  <c:v>Spleen</c:v>
                </c:pt>
                <c:pt idx="5">
                  <c:v>Breast Muscle</c:v>
                </c:pt>
              </c:strCache>
            </c:strRef>
          </c:cat>
          <c:val>
            <c:numRef>
              <c:extLst>
                <c:ext xmlns:c15="http://schemas.microsoft.com/office/drawing/2012/chart" uri="{02D57815-91ED-43cb-92C2-25804820EDAC}">
                  <c15:fullRef>
                    <c15:sqref>Organe!$V$35:$V$41</c15:sqref>
                  </c15:fullRef>
                </c:ext>
              </c:extLst>
              <c:f>Organe!$V$36:$V$41</c:f>
              <c:numCache>
                <c:formatCode>0.0</c:formatCode>
                <c:ptCount val="6"/>
                <c:pt idx="2">
                  <c:v>1.1046666666666667</c:v>
                </c:pt>
              </c:numCache>
            </c:numRef>
          </c:val>
          <c:extLst>
            <c:ext xmlns:c16="http://schemas.microsoft.com/office/drawing/2014/chart" uri="{C3380CC4-5D6E-409C-BE32-E72D297353CC}">
              <c16:uniqueId val="{00000012-23D2-47D5-B19F-081366F7B9CA}"/>
            </c:ext>
          </c:extLst>
        </c:ser>
        <c:ser>
          <c:idx val="19"/>
          <c:order val="19"/>
          <c:tx>
            <c:strRef>
              <c:f>Organe!$W$2</c:f>
              <c:strCache>
                <c:ptCount val="1"/>
                <c:pt idx="0">
                  <c:v>PFDoDS </c:v>
                </c:pt>
              </c:strCache>
            </c:strRef>
          </c:tx>
          <c:spPr>
            <a:solidFill>
              <a:schemeClr val="tx2">
                <a:lumMod val="40000"/>
                <a:lumOff val="60000"/>
              </a:schemeClr>
            </a:solidFill>
            <a:ln>
              <a:noFill/>
            </a:ln>
            <a:effectLst/>
          </c:spPr>
          <c:invertIfNegative val="0"/>
          <c:cat>
            <c:strRef>
              <c:extLst>
                <c:ext xmlns:c15="http://schemas.microsoft.com/office/drawing/2012/chart" uri="{02D57815-91ED-43cb-92C2-25804820EDAC}">
                  <c15:fullRef>
                    <c15:sqref>Organe!$C$35:$C$41</c15:sqref>
                  </c15:fullRef>
                </c:ext>
              </c:extLst>
              <c:f>Organe!$C$36:$C$41</c:f>
              <c:strCache>
                <c:ptCount val="6"/>
                <c:pt idx="0">
                  <c:v>Kidney</c:v>
                </c:pt>
                <c:pt idx="1">
                  <c:v>Lung</c:v>
                </c:pt>
                <c:pt idx="2">
                  <c:v>Brain</c:v>
                </c:pt>
                <c:pt idx="3">
                  <c:v>Heart</c:v>
                </c:pt>
                <c:pt idx="4">
                  <c:v>Spleen</c:v>
                </c:pt>
                <c:pt idx="5">
                  <c:v>Breast Muscle</c:v>
                </c:pt>
              </c:strCache>
            </c:strRef>
          </c:cat>
          <c:val>
            <c:numRef>
              <c:extLst>
                <c:ext xmlns:c15="http://schemas.microsoft.com/office/drawing/2012/chart" uri="{02D57815-91ED-43cb-92C2-25804820EDAC}">
                  <c15:fullRef>
                    <c15:sqref>Organe!$W$35:$W$41</c15:sqref>
                  </c15:fullRef>
                </c:ext>
              </c:extLst>
              <c:f>Organe!$W$36:$W$41</c:f>
              <c:numCache>
                <c:formatCode>0.0</c:formatCode>
                <c:ptCount val="6"/>
                <c:pt idx="2">
                  <c:v>1.7699999999999998</c:v>
                </c:pt>
              </c:numCache>
            </c:numRef>
          </c:val>
          <c:extLst>
            <c:ext xmlns:c16="http://schemas.microsoft.com/office/drawing/2014/chart" uri="{C3380CC4-5D6E-409C-BE32-E72D297353CC}">
              <c16:uniqueId val="{00000013-23D2-47D5-B19F-081366F7B9CA}"/>
            </c:ext>
          </c:extLst>
        </c:ser>
        <c:ser>
          <c:idx val="20"/>
          <c:order val="20"/>
          <c:tx>
            <c:strRef>
              <c:f>Organe!$X$2</c:f>
              <c:strCache>
                <c:ptCount val="1"/>
                <c:pt idx="0">
                  <c:v>PFTrDS </c:v>
                </c:pt>
              </c:strCache>
            </c:strRef>
          </c:tx>
          <c:spPr>
            <a:solidFill>
              <a:srgbClr val="002060"/>
            </a:solidFill>
            <a:ln>
              <a:noFill/>
            </a:ln>
            <a:effectLst/>
          </c:spPr>
          <c:invertIfNegative val="0"/>
          <c:cat>
            <c:strRef>
              <c:extLst>
                <c:ext xmlns:c15="http://schemas.microsoft.com/office/drawing/2012/chart" uri="{02D57815-91ED-43cb-92C2-25804820EDAC}">
                  <c15:fullRef>
                    <c15:sqref>Organe!$C$35:$C$41</c15:sqref>
                  </c15:fullRef>
                </c:ext>
              </c:extLst>
              <c:f>Organe!$C$36:$C$41</c:f>
              <c:strCache>
                <c:ptCount val="6"/>
                <c:pt idx="0">
                  <c:v>Kidney</c:v>
                </c:pt>
                <c:pt idx="1">
                  <c:v>Lung</c:v>
                </c:pt>
                <c:pt idx="2">
                  <c:v>Brain</c:v>
                </c:pt>
                <c:pt idx="3">
                  <c:v>Heart</c:v>
                </c:pt>
                <c:pt idx="4">
                  <c:v>Spleen</c:v>
                </c:pt>
                <c:pt idx="5">
                  <c:v>Breast Muscle</c:v>
                </c:pt>
              </c:strCache>
            </c:strRef>
          </c:cat>
          <c:val>
            <c:numRef>
              <c:extLst>
                <c:ext xmlns:c15="http://schemas.microsoft.com/office/drawing/2012/chart" uri="{02D57815-91ED-43cb-92C2-25804820EDAC}">
                  <c15:fullRef>
                    <c15:sqref>Organe!$X$35:$X$41</c15:sqref>
                  </c15:fullRef>
                </c:ext>
              </c:extLst>
              <c:f>Organe!$X$36:$X$41</c:f>
              <c:numCache>
                <c:formatCode>0.0</c:formatCode>
                <c:ptCount val="6"/>
                <c:pt idx="2">
                  <c:v>0.19699999999999998</c:v>
                </c:pt>
              </c:numCache>
            </c:numRef>
          </c:val>
          <c:extLst>
            <c:ext xmlns:c16="http://schemas.microsoft.com/office/drawing/2014/chart" uri="{C3380CC4-5D6E-409C-BE32-E72D297353CC}">
              <c16:uniqueId val="{00000014-23D2-47D5-B19F-081366F7B9CA}"/>
            </c:ext>
          </c:extLst>
        </c:ser>
        <c:ser>
          <c:idx val="33"/>
          <c:order val="33"/>
          <c:tx>
            <c:strRef>
              <c:f>Organe!$AK$2</c:f>
              <c:strCache>
                <c:ptCount val="1"/>
                <c:pt idx="0">
                  <c:v>PFOS </c:v>
                </c:pt>
              </c:strCache>
            </c:strRef>
          </c:tx>
          <c:spPr>
            <a:pattFill prst="wdDnDiag">
              <a:fgClr>
                <a:schemeClr val="accent3">
                  <a:lumMod val="60000"/>
                  <a:lumOff val="40000"/>
                </a:schemeClr>
              </a:fgClr>
              <a:bgClr>
                <a:schemeClr val="bg1">
                  <a:lumMod val="95000"/>
                </a:schemeClr>
              </a:bgClr>
            </a:pattFill>
            <a:ln>
              <a:noFill/>
            </a:ln>
            <a:effectLst/>
          </c:spPr>
          <c:invertIfNegative val="0"/>
          <c:cat>
            <c:strRef>
              <c:extLst>
                <c:ext xmlns:c15="http://schemas.microsoft.com/office/drawing/2012/chart" uri="{02D57815-91ED-43cb-92C2-25804820EDAC}">
                  <c15:fullRef>
                    <c15:sqref>Organe!$C$35:$C$41</c15:sqref>
                  </c15:fullRef>
                </c:ext>
              </c:extLst>
              <c:f>Organe!$C$36:$C$41</c:f>
              <c:strCache>
                <c:ptCount val="6"/>
                <c:pt idx="0">
                  <c:v>Kidney</c:v>
                </c:pt>
                <c:pt idx="1">
                  <c:v>Lung</c:v>
                </c:pt>
                <c:pt idx="2">
                  <c:v>Brain</c:v>
                </c:pt>
                <c:pt idx="3">
                  <c:v>Heart</c:v>
                </c:pt>
                <c:pt idx="4">
                  <c:v>Spleen</c:v>
                </c:pt>
                <c:pt idx="5">
                  <c:v>Breast Muscle</c:v>
                </c:pt>
              </c:strCache>
            </c:strRef>
          </c:cat>
          <c:val>
            <c:numRef>
              <c:extLst>
                <c:ext xmlns:c15="http://schemas.microsoft.com/office/drawing/2012/chart" uri="{02D57815-91ED-43cb-92C2-25804820EDAC}">
                  <c15:fullRef>
                    <c15:sqref>Organe!$AK$35:$AK$41</c15:sqref>
                  </c15:fullRef>
                </c:ext>
              </c:extLst>
              <c:f>Organe!$AK$36:$AK$41</c:f>
              <c:numCache>
                <c:formatCode>0.0</c:formatCode>
                <c:ptCount val="6"/>
                <c:pt idx="0">
                  <c:v>4.3999999999999995</c:v>
                </c:pt>
                <c:pt idx="1">
                  <c:v>3.51</c:v>
                </c:pt>
                <c:pt idx="2">
                  <c:v>0.35066666666666668</c:v>
                </c:pt>
                <c:pt idx="3">
                  <c:v>2.81</c:v>
                </c:pt>
                <c:pt idx="4">
                  <c:v>1.1756666666666666</c:v>
                </c:pt>
                <c:pt idx="5">
                  <c:v>0.40633333333333327</c:v>
                </c:pt>
              </c:numCache>
            </c:numRef>
          </c:val>
          <c:extLst>
            <c:ext xmlns:c16="http://schemas.microsoft.com/office/drawing/2014/chart" uri="{C3380CC4-5D6E-409C-BE32-E72D297353CC}">
              <c16:uniqueId val="{00000021-23D2-47D5-B19F-081366F7B9CA}"/>
            </c:ext>
          </c:extLst>
        </c:ser>
        <c:ser>
          <c:idx val="34"/>
          <c:order val="34"/>
          <c:tx>
            <c:strRef>
              <c:f>Organe!$AL$2</c:f>
              <c:strCache>
                <c:ptCount val="1"/>
                <c:pt idx="0">
                  <c:v>PFNS </c:v>
                </c:pt>
              </c:strCache>
            </c:strRef>
          </c:tx>
          <c:spPr>
            <a:pattFill prst="wdUpDiag">
              <a:fgClr>
                <a:schemeClr val="accent6"/>
              </a:fgClr>
              <a:bgClr>
                <a:schemeClr val="bg1">
                  <a:lumMod val="95000"/>
                </a:schemeClr>
              </a:bgClr>
            </a:pattFill>
            <a:ln>
              <a:noFill/>
            </a:ln>
            <a:effectLst/>
          </c:spPr>
          <c:invertIfNegative val="0"/>
          <c:cat>
            <c:strRef>
              <c:extLst>
                <c:ext xmlns:c15="http://schemas.microsoft.com/office/drawing/2012/chart" uri="{02D57815-91ED-43cb-92C2-25804820EDAC}">
                  <c15:fullRef>
                    <c15:sqref>Organe!$C$35:$C$41</c15:sqref>
                  </c15:fullRef>
                </c:ext>
              </c:extLst>
              <c:f>Organe!$C$36:$C$41</c:f>
              <c:strCache>
                <c:ptCount val="6"/>
                <c:pt idx="0">
                  <c:v>Kidney</c:v>
                </c:pt>
                <c:pt idx="1">
                  <c:v>Lung</c:v>
                </c:pt>
                <c:pt idx="2">
                  <c:v>Brain</c:v>
                </c:pt>
                <c:pt idx="3">
                  <c:v>Heart</c:v>
                </c:pt>
                <c:pt idx="4">
                  <c:v>Spleen</c:v>
                </c:pt>
                <c:pt idx="5">
                  <c:v>Breast Muscle</c:v>
                </c:pt>
              </c:strCache>
            </c:strRef>
          </c:cat>
          <c:val>
            <c:numRef>
              <c:extLst>
                <c:ext xmlns:c15="http://schemas.microsoft.com/office/drawing/2012/chart" uri="{02D57815-91ED-43cb-92C2-25804820EDAC}">
                  <c15:fullRef>
                    <c15:sqref>Organe!$AL$35:$AL$41</c15:sqref>
                  </c15:fullRef>
                </c:ext>
              </c:extLst>
              <c:f>Organe!$AL$36:$AL$41</c:f>
              <c:numCache>
                <c:formatCode>0.0</c:formatCode>
                <c:ptCount val="6"/>
                <c:pt idx="0">
                  <c:v>14.233333333333334</c:v>
                </c:pt>
                <c:pt idx="1">
                  <c:v>16.133333333333333</c:v>
                </c:pt>
                <c:pt idx="2">
                  <c:v>2.6</c:v>
                </c:pt>
                <c:pt idx="3">
                  <c:v>9.89</c:v>
                </c:pt>
                <c:pt idx="4">
                  <c:v>5.7833333333333341</c:v>
                </c:pt>
                <c:pt idx="5">
                  <c:v>2.2133333333333334</c:v>
                </c:pt>
              </c:numCache>
            </c:numRef>
          </c:val>
          <c:extLst>
            <c:ext xmlns:c16="http://schemas.microsoft.com/office/drawing/2014/chart" uri="{C3380CC4-5D6E-409C-BE32-E72D297353CC}">
              <c16:uniqueId val="{00000022-23D2-47D5-B19F-081366F7B9CA}"/>
            </c:ext>
          </c:extLst>
        </c:ser>
        <c:ser>
          <c:idx val="35"/>
          <c:order val="35"/>
          <c:tx>
            <c:strRef>
              <c:f>Organe!$AM$2</c:f>
              <c:strCache>
                <c:ptCount val="1"/>
                <c:pt idx="0">
                  <c:v>PFDS </c:v>
                </c:pt>
              </c:strCache>
            </c:strRef>
          </c:tx>
          <c:spPr>
            <a:pattFill prst="wdDnDiag">
              <a:fgClr>
                <a:schemeClr val="accent2">
                  <a:lumMod val="75000"/>
                </a:schemeClr>
              </a:fgClr>
              <a:bgClr>
                <a:schemeClr val="bg1">
                  <a:lumMod val="95000"/>
                </a:schemeClr>
              </a:bgClr>
            </a:pattFill>
            <a:ln>
              <a:noFill/>
            </a:ln>
            <a:effectLst/>
          </c:spPr>
          <c:invertIfNegative val="0"/>
          <c:cat>
            <c:strRef>
              <c:extLst>
                <c:ext xmlns:c15="http://schemas.microsoft.com/office/drawing/2012/chart" uri="{02D57815-91ED-43cb-92C2-25804820EDAC}">
                  <c15:fullRef>
                    <c15:sqref>Organe!$C$35:$C$41</c15:sqref>
                  </c15:fullRef>
                </c:ext>
              </c:extLst>
              <c:f>Organe!$C$36:$C$41</c:f>
              <c:strCache>
                <c:ptCount val="6"/>
                <c:pt idx="0">
                  <c:v>Kidney</c:v>
                </c:pt>
                <c:pt idx="1">
                  <c:v>Lung</c:v>
                </c:pt>
                <c:pt idx="2">
                  <c:v>Brain</c:v>
                </c:pt>
                <c:pt idx="3">
                  <c:v>Heart</c:v>
                </c:pt>
                <c:pt idx="4">
                  <c:v>Spleen</c:v>
                </c:pt>
                <c:pt idx="5">
                  <c:v>Breast Muscle</c:v>
                </c:pt>
              </c:strCache>
            </c:strRef>
          </c:cat>
          <c:val>
            <c:numRef>
              <c:extLst>
                <c:ext xmlns:c15="http://schemas.microsoft.com/office/drawing/2012/chart" uri="{02D57815-91ED-43cb-92C2-25804820EDAC}">
                  <c15:fullRef>
                    <c15:sqref>Organe!$AM$35:$AM$41</c15:sqref>
                  </c15:fullRef>
                </c:ext>
              </c:extLst>
              <c:f>Organe!$AM$36:$AM$41</c:f>
              <c:numCache>
                <c:formatCode>0.0</c:formatCode>
                <c:ptCount val="6"/>
                <c:pt idx="0">
                  <c:v>1.2276666666666667</c:v>
                </c:pt>
                <c:pt idx="1">
                  <c:v>1.9033333333333333</c:v>
                </c:pt>
                <c:pt idx="3">
                  <c:v>1.1623333333333334</c:v>
                </c:pt>
                <c:pt idx="4">
                  <c:v>0.24233333333333332</c:v>
                </c:pt>
              </c:numCache>
            </c:numRef>
          </c:val>
          <c:extLst>
            <c:ext xmlns:c16="http://schemas.microsoft.com/office/drawing/2014/chart" uri="{C3380CC4-5D6E-409C-BE32-E72D297353CC}">
              <c16:uniqueId val="{00000023-23D2-47D5-B19F-081366F7B9CA}"/>
            </c:ext>
          </c:extLst>
        </c:ser>
        <c:ser>
          <c:idx val="36"/>
          <c:order val="36"/>
          <c:tx>
            <c:strRef>
              <c:f>Organe!$AN$2</c:f>
              <c:strCache>
                <c:ptCount val="1"/>
                <c:pt idx="0">
                  <c:v>PFUnDS </c:v>
                </c:pt>
              </c:strCache>
            </c:strRef>
          </c:tx>
          <c:spPr>
            <a:pattFill prst="wdUpDiag">
              <a:fgClr>
                <a:schemeClr val="accent1">
                  <a:lumMod val="60000"/>
                  <a:lumOff val="40000"/>
                </a:schemeClr>
              </a:fgClr>
              <a:bgClr>
                <a:schemeClr val="accent3">
                  <a:lumMod val="20000"/>
                  <a:lumOff val="80000"/>
                </a:schemeClr>
              </a:bgClr>
            </a:pattFill>
            <a:ln>
              <a:noFill/>
            </a:ln>
            <a:effectLst/>
          </c:spPr>
          <c:invertIfNegative val="0"/>
          <c:cat>
            <c:strRef>
              <c:extLst>
                <c:ext xmlns:c15="http://schemas.microsoft.com/office/drawing/2012/chart" uri="{02D57815-91ED-43cb-92C2-25804820EDAC}">
                  <c15:fullRef>
                    <c15:sqref>Organe!$C$35:$C$41</c15:sqref>
                  </c15:fullRef>
                </c:ext>
              </c:extLst>
              <c:f>Organe!$C$36:$C$41</c:f>
              <c:strCache>
                <c:ptCount val="6"/>
                <c:pt idx="0">
                  <c:v>Kidney</c:v>
                </c:pt>
                <c:pt idx="1">
                  <c:v>Lung</c:v>
                </c:pt>
                <c:pt idx="2">
                  <c:v>Brain</c:v>
                </c:pt>
                <c:pt idx="3">
                  <c:v>Heart</c:v>
                </c:pt>
                <c:pt idx="4">
                  <c:v>Spleen</c:v>
                </c:pt>
                <c:pt idx="5">
                  <c:v>Breast Muscle</c:v>
                </c:pt>
              </c:strCache>
            </c:strRef>
          </c:cat>
          <c:val>
            <c:numRef>
              <c:extLst>
                <c:ext xmlns:c15="http://schemas.microsoft.com/office/drawing/2012/chart" uri="{02D57815-91ED-43cb-92C2-25804820EDAC}">
                  <c15:fullRef>
                    <c15:sqref>Organe!$AN$35:$AN$41</c15:sqref>
                  </c15:fullRef>
                </c:ext>
              </c:extLst>
              <c:f>Organe!$AN$36:$AN$41</c:f>
              <c:numCache>
                <c:formatCode>0.0</c:formatCode>
                <c:ptCount val="6"/>
              </c:numCache>
            </c:numRef>
          </c:val>
          <c:extLst>
            <c:ext xmlns:c16="http://schemas.microsoft.com/office/drawing/2014/chart" uri="{C3380CC4-5D6E-409C-BE32-E72D297353CC}">
              <c16:uniqueId val="{00000024-23D2-47D5-B19F-081366F7B9CA}"/>
            </c:ext>
          </c:extLst>
        </c:ser>
        <c:dLbls>
          <c:showLegendKey val="0"/>
          <c:showVal val="0"/>
          <c:showCatName val="0"/>
          <c:showSerName val="0"/>
          <c:showPercent val="0"/>
          <c:showBubbleSize val="0"/>
        </c:dLbls>
        <c:gapWidth val="150"/>
        <c:overlap val="100"/>
        <c:axId val="2073931023"/>
        <c:axId val="2073928527"/>
        <c:extLst>
          <c:ext xmlns:c15="http://schemas.microsoft.com/office/drawing/2012/chart" uri="{02D57815-91ED-43cb-92C2-25804820EDAC}">
            <c15:filteredBarSeries>
              <c15:ser>
                <c:idx val="0"/>
                <c:order val="0"/>
                <c:tx>
                  <c:strRef>
                    <c:extLst>
                      <c:ext uri="{02D57815-91ED-43cb-92C2-25804820EDAC}">
                        <c15:formulaRef>
                          <c15:sqref>Organe!$D$2</c15:sqref>
                        </c15:formulaRef>
                      </c:ext>
                    </c:extLst>
                    <c:strCache>
                      <c:ptCount val="1"/>
                      <c:pt idx="0">
                        <c:v>PFBA</c:v>
                      </c:pt>
                    </c:strCache>
                  </c:strRef>
                </c:tx>
                <c:spPr>
                  <a:solidFill>
                    <a:schemeClr val="accent1"/>
                  </a:solidFill>
                  <a:ln>
                    <a:noFill/>
                  </a:ln>
                  <a:effectLst/>
                </c:spPr>
                <c:invertIfNegative val="0"/>
                <c:cat>
                  <c:strRef>
                    <c:extLst>
                      <c:ext uri="{02D57815-91ED-43cb-92C2-25804820EDAC}">
                        <c15:fullRef>
                          <c15:sqref>Organe!$C$35:$C$41</c15:sqref>
                        </c15:fullRef>
                        <c15:formulaRef>
                          <c15:sqref>Organe!$C$36:$C$41</c15:sqref>
                        </c15:formulaRef>
                      </c:ext>
                    </c:extLst>
                    <c:strCache>
                      <c:ptCount val="6"/>
                      <c:pt idx="0">
                        <c:v>Kidney</c:v>
                      </c:pt>
                      <c:pt idx="1">
                        <c:v>Lung</c:v>
                      </c:pt>
                      <c:pt idx="2">
                        <c:v>Brain</c:v>
                      </c:pt>
                      <c:pt idx="3">
                        <c:v>Heart</c:v>
                      </c:pt>
                      <c:pt idx="4">
                        <c:v>Spleen</c:v>
                      </c:pt>
                      <c:pt idx="5">
                        <c:v>Breast Muscle</c:v>
                      </c:pt>
                    </c:strCache>
                  </c:strRef>
                </c:cat>
                <c:val>
                  <c:numRef>
                    <c:extLst>
                      <c:ext uri="{02D57815-91ED-43cb-92C2-25804820EDAC}">
                        <c15:fullRef>
                          <c15:sqref>Organe!$D$35:$D$41</c15:sqref>
                        </c15:fullRef>
                        <c15:formulaRef>
                          <c15:sqref>Organe!$D$36:$D$41</c15:sqref>
                        </c15:formulaRef>
                      </c:ext>
                    </c:extLst>
                    <c:numCache>
                      <c:formatCode>0.0</c:formatCode>
                      <c:ptCount val="6"/>
                    </c:numCache>
                  </c:numRef>
                </c:val>
                <c:extLst>
                  <c:ext xmlns:c16="http://schemas.microsoft.com/office/drawing/2014/chart" uri="{C3380CC4-5D6E-409C-BE32-E72D297353CC}">
                    <c16:uniqueId val="{00000000-23D2-47D5-B19F-081366F7B9CA}"/>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Organe!$F$2</c15:sqref>
                        </c15:formulaRef>
                      </c:ext>
                    </c:extLst>
                    <c:strCache>
                      <c:ptCount val="1"/>
                      <c:pt idx="0">
                        <c:v>PFHxA </c:v>
                      </c:pt>
                    </c:strCache>
                  </c:strRef>
                </c:tx>
                <c:spPr>
                  <a:solidFill>
                    <a:schemeClr val="accent3"/>
                  </a:solidFill>
                  <a:ln>
                    <a:noFill/>
                  </a:ln>
                  <a:effectLst/>
                </c:spPr>
                <c:invertIfNegative val="0"/>
                <c:cat>
                  <c:strRef>
                    <c:extLst>
                      <c:ext xmlns:c15="http://schemas.microsoft.com/office/drawing/2012/chart" uri="{02D57815-91ED-43cb-92C2-25804820EDAC}">
                        <c15:fullRef>
                          <c15:sqref>Organe!$C$35:$C$41</c15:sqref>
                        </c15:fullRef>
                        <c15:formulaRef>
                          <c15:sqref>Organe!$C$36:$C$41</c15:sqref>
                        </c15:formulaRef>
                      </c:ext>
                    </c:extLst>
                    <c:strCache>
                      <c:ptCount val="6"/>
                      <c:pt idx="0">
                        <c:v>Kidney</c:v>
                      </c:pt>
                      <c:pt idx="1">
                        <c:v>Lung</c:v>
                      </c:pt>
                      <c:pt idx="2">
                        <c:v>Brain</c:v>
                      </c:pt>
                      <c:pt idx="3">
                        <c:v>Heart</c:v>
                      </c:pt>
                      <c:pt idx="4">
                        <c:v>Spleen</c:v>
                      </c:pt>
                      <c:pt idx="5">
                        <c:v>Breast Muscle</c:v>
                      </c:pt>
                    </c:strCache>
                  </c:strRef>
                </c:cat>
                <c:val>
                  <c:numRef>
                    <c:extLst>
                      <c:ext xmlns:c15="http://schemas.microsoft.com/office/drawing/2012/chart" uri="{02D57815-91ED-43cb-92C2-25804820EDAC}">
                        <c15:fullRef>
                          <c15:sqref>Organe!$F$35:$F$41</c15:sqref>
                        </c15:fullRef>
                        <c15:formulaRef>
                          <c15:sqref>Organe!$F$36:$F$41</c15:sqref>
                        </c15:formulaRef>
                      </c:ext>
                    </c:extLst>
                    <c:numCache>
                      <c:formatCode>0.0</c:formatCode>
                      <c:ptCount val="6"/>
                    </c:numCache>
                  </c:numRef>
                </c:val>
                <c:extLst xmlns:c15="http://schemas.microsoft.com/office/drawing/2012/chart">
                  <c:ext xmlns:c16="http://schemas.microsoft.com/office/drawing/2014/chart" uri="{C3380CC4-5D6E-409C-BE32-E72D297353CC}">
                    <c16:uniqueId val="{00000002-23D2-47D5-B19F-081366F7B9CA}"/>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Organe!$G$2</c15:sqref>
                        </c15:formulaRef>
                      </c:ext>
                    </c:extLst>
                    <c:strCache>
                      <c:ptCount val="1"/>
                      <c:pt idx="0">
                        <c:v>PFHpA </c:v>
                      </c:pt>
                    </c:strCache>
                  </c:strRef>
                </c:tx>
                <c:spPr>
                  <a:solidFill>
                    <a:schemeClr val="accent4"/>
                  </a:solidFill>
                  <a:ln>
                    <a:noFill/>
                  </a:ln>
                  <a:effectLst/>
                </c:spPr>
                <c:invertIfNegative val="0"/>
                <c:cat>
                  <c:strRef>
                    <c:extLst>
                      <c:ext xmlns:c15="http://schemas.microsoft.com/office/drawing/2012/chart" uri="{02D57815-91ED-43cb-92C2-25804820EDAC}">
                        <c15:fullRef>
                          <c15:sqref>Organe!$C$35:$C$41</c15:sqref>
                        </c15:fullRef>
                        <c15:formulaRef>
                          <c15:sqref>Organe!$C$36:$C$41</c15:sqref>
                        </c15:formulaRef>
                      </c:ext>
                    </c:extLst>
                    <c:strCache>
                      <c:ptCount val="6"/>
                      <c:pt idx="0">
                        <c:v>Kidney</c:v>
                      </c:pt>
                      <c:pt idx="1">
                        <c:v>Lung</c:v>
                      </c:pt>
                      <c:pt idx="2">
                        <c:v>Brain</c:v>
                      </c:pt>
                      <c:pt idx="3">
                        <c:v>Heart</c:v>
                      </c:pt>
                      <c:pt idx="4">
                        <c:v>Spleen</c:v>
                      </c:pt>
                      <c:pt idx="5">
                        <c:v>Breast Muscle</c:v>
                      </c:pt>
                    </c:strCache>
                  </c:strRef>
                </c:cat>
                <c:val>
                  <c:numRef>
                    <c:extLst>
                      <c:ext xmlns:c15="http://schemas.microsoft.com/office/drawing/2012/chart" uri="{02D57815-91ED-43cb-92C2-25804820EDAC}">
                        <c15:fullRef>
                          <c15:sqref>Organe!$G$35:$G$41</c15:sqref>
                        </c15:fullRef>
                        <c15:formulaRef>
                          <c15:sqref>Organe!$G$36:$G$41</c15:sqref>
                        </c15:formulaRef>
                      </c:ext>
                    </c:extLst>
                    <c:numCache>
                      <c:formatCode>0.0</c:formatCode>
                      <c:ptCount val="6"/>
                    </c:numCache>
                  </c:numRef>
                </c:val>
                <c:extLst xmlns:c15="http://schemas.microsoft.com/office/drawing/2012/chart">
                  <c:ext xmlns:c16="http://schemas.microsoft.com/office/drawing/2014/chart" uri="{C3380CC4-5D6E-409C-BE32-E72D297353CC}">
                    <c16:uniqueId val="{00000003-23D2-47D5-B19F-081366F7B9CA}"/>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Organe!$I$2</c15:sqref>
                        </c15:formulaRef>
                      </c:ext>
                    </c:extLst>
                    <c:strCache>
                      <c:ptCount val="1"/>
                      <c:pt idx="0">
                        <c:v>PFNA </c:v>
                      </c:pt>
                    </c:strCache>
                  </c:strRef>
                </c:tx>
                <c:spPr>
                  <a:solidFill>
                    <a:schemeClr val="accent6"/>
                  </a:solidFill>
                  <a:ln>
                    <a:noFill/>
                  </a:ln>
                  <a:effectLst/>
                </c:spPr>
                <c:invertIfNegative val="0"/>
                <c:cat>
                  <c:strRef>
                    <c:extLst>
                      <c:ext xmlns:c15="http://schemas.microsoft.com/office/drawing/2012/chart" uri="{02D57815-91ED-43cb-92C2-25804820EDAC}">
                        <c15:fullRef>
                          <c15:sqref>Organe!$C$35:$C$41</c15:sqref>
                        </c15:fullRef>
                        <c15:formulaRef>
                          <c15:sqref>Organe!$C$36:$C$41</c15:sqref>
                        </c15:formulaRef>
                      </c:ext>
                    </c:extLst>
                    <c:strCache>
                      <c:ptCount val="6"/>
                      <c:pt idx="0">
                        <c:v>Kidney</c:v>
                      </c:pt>
                      <c:pt idx="1">
                        <c:v>Lung</c:v>
                      </c:pt>
                      <c:pt idx="2">
                        <c:v>Brain</c:v>
                      </c:pt>
                      <c:pt idx="3">
                        <c:v>Heart</c:v>
                      </c:pt>
                      <c:pt idx="4">
                        <c:v>Spleen</c:v>
                      </c:pt>
                      <c:pt idx="5">
                        <c:v>Breast Muscle</c:v>
                      </c:pt>
                    </c:strCache>
                  </c:strRef>
                </c:cat>
                <c:val>
                  <c:numRef>
                    <c:extLst>
                      <c:ext xmlns:c15="http://schemas.microsoft.com/office/drawing/2012/chart" uri="{02D57815-91ED-43cb-92C2-25804820EDAC}">
                        <c15:fullRef>
                          <c15:sqref>Organe!$I$35:$I$41</c15:sqref>
                        </c15:fullRef>
                        <c15:formulaRef>
                          <c15:sqref>Organe!$I$36:$I$41</c15:sqref>
                        </c15:formulaRef>
                      </c:ext>
                    </c:extLst>
                    <c:numCache>
                      <c:formatCode>0.0</c:formatCode>
                      <c:ptCount val="6"/>
                    </c:numCache>
                  </c:numRef>
                </c:val>
                <c:extLst xmlns:c15="http://schemas.microsoft.com/office/drawing/2012/chart">
                  <c:ext xmlns:c16="http://schemas.microsoft.com/office/drawing/2014/chart" uri="{C3380CC4-5D6E-409C-BE32-E72D297353CC}">
                    <c16:uniqueId val="{00000005-23D2-47D5-B19F-081366F7B9CA}"/>
                  </c:ext>
                </c:extLst>
              </c15:ser>
            </c15:filteredBarSeries>
            <c15:filteredBarSeries>
              <c15:ser>
                <c:idx val="6"/>
                <c:order val="6"/>
                <c:tx>
                  <c:strRef>
                    <c:extLst xmlns:c15="http://schemas.microsoft.com/office/drawing/2012/chart">
                      <c:ext xmlns:c15="http://schemas.microsoft.com/office/drawing/2012/chart" uri="{02D57815-91ED-43cb-92C2-25804820EDAC}">
                        <c15:formulaRef>
                          <c15:sqref>Organe!$J$2</c15:sqref>
                        </c15:formulaRef>
                      </c:ext>
                    </c:extLst>
                    <c:strCache>
                      <c:ptCount val="1"/>
                      <c:pt idx="0">
                        <c:v>PFDA </c:v>
                      </c:pt>
                    </c:strCache>
                  </c:strRef>
                </c:tx>
                <c:spPr>
                  <a:solidFill>
                    <a:schemeClr val="accent4">
                      <a:lumMod val="40000"/>
                      <a:lumOff val="60000"/>
                    </a:schemeClr>
                  </a:solidFill>
                  <a:ln>
                    <a:noFill/>
                  </a:ln>
                  <a:effectLst/>
                </c:spPr>
                <c:invertIfNegative val="0"/>
                <c:cat>
                  <c:strRef>
                    <c:extLst>
                      <c:ext xmlns:c15="http://schemas.microsoft.com/office/drawing/2012/chart" uri="{02D57815-91ED-43cb-92C2-25804820EDAC}">
                        <c15:fullRef>
                          <c15:sqref>Organe!$C$35:$C$41</c15:sqref>
                        </c15:fullRef>
                        <c15:formulaRef>
                          <c15:sqref>Organe!$C$36:$C$41</c15:sqref>
                        </c15:formulaRef>
                      </c:ext>
                    </c:extLst>
                    <c:strCache>
                      <c:ptCount val="6"/>
                      <c:pt idx="0">
                        <c:v>Kidney</c:v>
                      </c:pt>
                      <c:pt idx="1">
                        <c:v>Lung</c:v>
                      </c:pt>
                      <c:pt idx="2">
                        <c:v>Brain</c:v>
                      </c:pt>
                      <c:pt idx="3">
                        <c:v>Heart</c:v>
                      </c:pt>
                      <c:pt idx="4">
                        <c:v>Spleen</c:v>
                      </c:pt>
                      <c:pt idx="5">
                        <c:v>Breast Muscle</c:v>
                      </c:pt>
                    </c:strCache>
                  </c:strRef>
                </c:cat>
                <c:val>
                  <c:numRef>
                    <c:extLst>
                      <c:ext xmlns:c15="http://schemas.microsoft.com/office/drawing/2012/chart" uri="{02D57815-91ED-43cb-92C2-25804820EDAC}">
                        <c15:fullRef>
                          <c15:sqref>Organe!$J$35:$J$41</c15:sqref>
                        </c15:fullRef>
                        <c15:formulaRef>
                          <c15:sqref>Organe!$J$36:$J$41</c15:sqref>
                        </c15:formulaRef>
                      </c:ext>
                    </c:extLst>
                    <c:numCache>
                      <c:formatCode>0.0</c:formatCode>
                      <c:ptCount val="6"/>
                    </c:numCache>
                  </c:numRef>
                </c:val>
                <c:extLst xmlns:c15="http://schemas.microsoft.com/office/drawing/2012/chart">
                  <c:ext xmlns:c16="http://schemas.microsoft.com/office/drawing/2014/chart" uri="{C3380CC4-5D6E-409C-BE32-E72D297353CC}">
                    <c16:uniqueId val="{00000006-23D2-47D5-B19F-081366F7B9CA}"/>
                  </c:ext>
                </c:extLst>
              </c15:ser>
            </c15:filteredBarSeries>
            <c15:filteredBarSeries>
              <c15:ser>
                <c:idx val="7"/>
                <c:order val="7"/>
                <c:tx>
                  <c:strRef>
                    <c:extLst xmlns:c15="http://schemas.microsoft.com/office/drawing/2012/chart">
                      <c:ext xmlns:c15="http://schemas.microsoft.com/office/drawing/2012/chart" uri="{02D57815-91ED-43cb-92C2-25804820EDAC}">
                        <c15:formulaRef>
                          <c15:sqref>Organe!$K$2</c15:sqref>
                        </c15:formulaRef>
                      </c:ext>
                    </c:extLst>
                    <c:strCache>
                      <c:ptCount val="1"/>
                      <c:pt idx="0">
                        <c:v>PFUnDA </c:v>
                      </c:pt>
                    </c:strCache>
                  </c:strRef>
                </c:tx>
                <c:spPr>
                  <a:solidFill>
                    <a:schemeClr val="accent2">
                      <a:lumMod val="60000"/>
                    </a:schemeClr>
                  </a:solidFill>
                  <a:ln>
                    <a:noFill/>
                  </a:ln>
                  <a:effectLst/>
                </c:spPr>
                <c:invertIfNegative val="0"/>
                <c:cat>
                  <c:strRef>
                    <c:extLst>
                      <c:ext xmlns:c15="http://schemas.microsoft.com/office/drawing/2012/chart" uri="{02D57815-91ED-43cb-92C2-25804820EDAC}">
                        <c15:fullRef>
                          <c15:sqref>Organe!$C$35:$C$41</c15:sqref>
                        </c15:fullRef>
                        <c15:formulaRef>
                          <c15:sqref>Organe!$C$36:$C$41</c15:sqref>
                        </c15:formulaRef>
                      </c:ext>
                    </c:extLst>
                    <c:strCache>
                      <c:ptCount val="6"/>
                      <c:pt idx="0">
                        <c:v>Kidney</c:v>
                      </c:pt>
                      <c:pt idx="1">
                        <c:v>Lung</c:v>
                      </c:pt>
                      <c:pt idx="2">
                        <c:v>Brain</c:v>
                      </c:pt>
                      <c:pt idx="3">
                        <c:v>Heart</c:v>
                      </c:pt>
                      <c:pt idx="4">
                        <c:v>Spleen</c:v>
                      </c:pt>
                      <c:pt idx="5">
                        <c:v>Breast Muscle</c:v>
                      </c:pt>
                    </c:strCache>
                  </c:strRef>
                </c:cat>
                <c:val>
                  <c:numRef>
                    <c:extLst>
                      <c:ext xmlns:c15="http://schemas.microsoft.com/office/drawing/2012/chart" uri="{02D57815-91ED-43cb-92C2-25804820EDAC}">
                        <c15:fullRef>
                          <c15:sqref>Organe!$K$35:$K$41</c15:sqref>
                        </c15:fullRef>
                        <c15:formulaRef>
                          <c15:sqref>Organe!$K$36:$K$41</c15:sqref>
                        </c15:formulaRef>
                      </c:ext>
                    </c:extLst>
                    <c:numCache>
                      <c:formatCode>0.0</c:formatCode>
                      <c:ptCount val="6"/>
                    </c:numCache>
                  </c:numRef>
                </c:val>
                <c:extLst xmlns:c15="http://schemas.microsoft.com/office/drawing/2012/chart">
                  <c:ext xmlns:c16="http://schemas.microsoft.com/office/drawing/2014/chart" uri="{C3380CC4-5D6E-409C-BE32-E72D297353CC}">
                    <c16:uniqueId val="{00000007-23D2-47D5-B19F-081366F7B9CA}"/>
                  </c:ext>
                </c:extLst>
              </c15:ser>
            </c15:filteredBarSeries>
            <c15:filteredBarSeries>
              <c15:ser>
                <c:idx val="8"/>
                <c:order val="8"/>
                <c:tx>
                  <c:strRef>
                    <c:extLst xmlns:c15="http://schemas.microsoft.com/office/drawing/2012/chart">
                      <c:ext xmlns:c15="http://schemas.microsoft.com/office/drawing/2012/chart" uri="{02D57815-91ED-43cb-92C2-25804820EDAC}">
                        <c15:formulaRef>
                          <c15:sqref>Organe!$L$2</c15:sqref>
                        </c15:formulaRef>
                      </c:ext>
                    </c:extLst>
                    <c:strCache>
                      <c:ptCount val="1"/>
                      <c:pt idx="0">
                        <c:v>PFDoDA </c:v>
                      </c:pt>
                    </c:strCache>
                  </c:strRef>
                </c:tx>
                <c:spPr>
                  <a:solidFill>
                    <a:schemeClr val="accent3">
                      <a:lumMod val="60000"/>
                    </a:schemeClr>
                  </a:solidFill>
                  <a:ln>
                    <a:noFill/>
                  </a:ln>
                  <a:effectLst/>
                </c:spPr>
                <c:invertIfNegative val="0"/>
                <c:cat>
                  <c:strRef>
                    <c:extLst>
                      <c:ext xmlns:c15="http://schemas.microsoft.com/office/drawing/2012/chart" uri="{02D57815-91ED-43cb-92C2-25804820EDAC}">
                        <c15:fullRef>
                          <c15:sqref>Organe!$C$35:$C$41</c15:sqref>
                        </c15:fullRef>
                        <c15:formulaRef>
                          <c15:sqref>Organe!$C$36:$C$41</c15:sqref>
                        </c15:formulaRef>
                      </c:ext>
                    </c:extLst>
                    <c:strCache>
                      <c:ptCount val="6"/>
                      <c:pt idx="0">
                        <c:v>Kidney</c:v>
                      </c:pt>
                      <c:pt idx="1">
                        <c:v>Lung</c:v>
                      </c:pt>
                      <c:pt idx="2">
                        <c:v>Brain</c:v>
                      </c:pt>
                      <c:pt idx="3">
                        <c:v>Heart</c:v>
                      </c:pt>
                      <c:pt idx="4">
                        <c:v>Spleen</c:v>
                      </c:pt>
                      <c:pt idx="5">
                        <c:v>Breast Muscle</c:v>
                      </c:pt>
                    </c:strCache>
                  </c:strRef>
                </c:cat>
                <c:val>
                  <c:numRef>
                    <c:extLst>
                      <c:ext xmlns:c15="http://schemas.microsoft.com/office/drawing/2012/chart" uri="{02D57815-91ED-43cb-92C2-25804820EDAC}">
                        <c15:fullRef>
                          <c15:sqref>Organe!$L$35:$L$41</c15:sqref>
                        </c15:fullRef>
                        <c15:formulaRef>
                          <c15:sqref>Organe!$L$36:$L$41</c15:sqref>
                        </c15:formulaRef>
                      </c:ext>
                    </c:extLst>
                    <c:numCache>
                      <c:formatCode>0.0</c:formatCode>
                      <c:ptCount val="6"/>
                    </c:numCache>
                  </c:numRef>
                </c:val>
                <c:extLst xmlns:c15="http://schemas.microsoft.com/office/drawing/2012/chart">
                  <c:ext xmlns:c16="http://schemas.microsoft.com/office/drawing/2014/chart" uri="{C3380CC4-5D6E-409C-BE32-E72D297353CC}">
                    <c16:uniqueId val="{00000008-23D2-47D5-B19F-081366F7B9CA}"/>
                  </c:ext>
                </c:extLst>
              </c15:ser>
            </c15:filteredBarSeries>
            <c15:filteredBarSeries>
              <c15:ser>
                <c:idx val="9"/>
                <c:order val="9"/>
                <c:tx>
                  <c:strRef>
                    <c:extLst xmlns:c15="http://schemas.microsoft.com/office/drawing/2012/chart">
                      <c:ext xmlns:c15="http://schemas.microsoft.com/office/drawing/2012/chart" uri="{02D57815-91ED-43cb-92C2-25804820EDAC}">
                        <c15:formulaRef>
                          <c15:sqref>Organe!$M$2</c15:sqref>
                        </c15:formulaRef>
                      </c:ext>
                    </c:extLst>
                    <c:strCache>
                      <c:ptCount val="1"/>
                      <c:pt idx="0">
                        <c:v>PFTrDA </c:v>
                      </c:pt>
                    </c:strCache>
                  </c:strRef>
                </c:tx>
                <c:spPr>
                  <a:solidFill>
                    <a:schemeClr val="accent4">
                      <a:lumMod val="60000"/>
                    </a:schemeClr>
                  </a:solidFill>
                  <a:ln>
                    <a:noFill/>
                  </a:ln>
                  <a:effectLst/>
                </c:spPr>
                <c:invertIfNegative val="0"/>
                <c:cat>
                  <c:strRef>
                    <c:extLst>
                      <c:ext xmlns:c15="http://schemas.microsoft.com/office/drawing/2012/chart" uri="{02D57815-91ED-43cb-92C2-25804820EDAC}">
                        <c15:fullRef>
                          <c15:sqref>Organe!$C$35:$C$41</c15:sqref>
                        </c15:fullRef>
                        <c15:formulaRef>
                          <c15:sqref>Organe!$C$36:$C$41</c15:sqref>
                        </c15:formulaRef>
                      </c:ext>
                    </c:extLst>
                    <c:strCache>
                      <c:ptCount val="6"/>
                      <c:pt idx="0">
                        <c:v>Kidney</c:v>
                      </c:pt>
                      <c:pt idx="1">
                        <c:v>Lung</c:v>
                      </c:pt>
                      <c:pt idx="2">
                        <c:v>Brain</c:v>
                      </c:pt>
                      <c:pt idx="3">
                        <c:v>Heart</c:v>
                      </c:pt>
                      <c:pt idx="4">
                        <c:v>Spleen</c:v>
                      </c:pt>
                      <c:pt idx="5">
                        <c:v>Breast Muscle</c:v>
                      </c:pt>
                    </c:strCache>
                  </c:strRef>
                </c:cat>
                <c:val>
                  <c:numRef>
                    <c:extLst>
                      <c:ext xmlns:c15="http://schemas.microsoft.com/office/drawing/2012/chart" uri="{02D57815-91ED-43cb-92C2-25804820EDAC}">
                        <c15:fullRef>
                          <c15:sqref>Organe!$M$35:$M$41</c15:sqref>
                        </c15:fullRef>
                        <c15:formulaRef>
                          <c15:sqref>Organe!$M$36:$M$41</c15:sqref>
                        </c15:formulaRef>
                      </c:ext>
                    </c:extLst>
                    <c:numCache>
                      <c:formatCode>0.0</c:formatCode>
                      <c:ptCount val="6"/>
                    </c:numCache>
                  </c:numRef>
                </c:val>
                <c:extLst xmlns:c15="http://schemas.microsoft.com/office/drawing/2012/chart">
                  <c:ext xmlns:c16="http://schemas.microsoft.com/office/drawing/2014/chart" uri="{C3380CC4-5D6E-409C-BE32-E72D297353CC}">
                    <c16:uniqueId val="{00000009-23D2-47D5-B19F-081366F7B9CA}"/>
                  </c:ext>
                </c:extLst>
              </c15:ser>
            </c15:filteredBarSeries>
            <c15:filteredBarSeries>
              <c15:ser>
                <c:idx val="10"/>
                <c:order val="10"/>
                <c:tx>
                  <c:strRef>
                    <c:extLst xmlns:c15="http://schemas.microsoft.com/office/drawing/2012/chart">
                      <c:ext xmlns:c15="http://schemas.microsoft.com/office/drawing/2012/chart" uri="{02D57815-91ED-43cb-92C2-25804820EDAC}">
                        <c15:formulaRef>
                          <c15:sqref>Organe!$N$2</c15:sqref>
                        </c15:formulaRef>
                      </c:ext>
                    </c:extLst>
                    <c:strCache>
                      <c:ptCount val="1"/>
                      <c:pt idx="0">
                        <c:v>PFTeDA </c:v>
                      </c:pt>
                    </c:strCache>
                  </c:strRef>
                </c:tx>
                <c:spPr>
                  <a:solidFill>
                    <a:schemeClr val="accent5">
                      <a:lumMod val="60000"/>
                    </a:schemeClr>
                  </a:solidFill>
                  <a:ln>
                    <a:noFill/>
                  </a:ln>
                  <a:effectLst/>
                </c:spPr>
                <c:invertIfNegative val="0"/>
                <c:cat>
                  <c:strRef>
                    <c:extLst>
                      <c:ext xmlns:c15="http://schemas.microsoft.com/office/drawing/2012/chart" uri="{02D57815-91ED-43cb-92C2-25804820EDAC}">
                        <c15:fullRef>
                          <c15:sqref>Organe!$C$35:$C$41</c15:sqref>
                        </c15:fullRef>
                        <c15:formulaRef>
                          <c15:sqref>Organe!$C$36:$C$41</c15:sqref>
                        </c15:formulaRef>
                      </c:ext>
                    </c:extLst>
                    <c:strCache>
                      <c:ptCount val="6"/>
                      <c:pt idx="0">
                        <c:v>Kidney</c:v>
                      </c:pt>
                      <c:pt idx="1">
                        <c:v>Lung</c:v>
                      </c:pt>
                      <c:pt idx="2">
                        <c:v>Brain</c:v>
                      </c:pt>
                      <c:pt idx="3">
                        <c:v>Heart</c:v>
                      </c:pt>
                      <c:pt idx="4">
                        <c:v>Spleen</c:v>
                      </c:pt>
                      <c:pt idx="5">
                        <c:v>Breast Muscle</c:v>
                      </c:pt>
                    </c:strCache>
                  </c:strRef>
                </c:cat>
                <c:val>
                  <c:numRef>
                    <c:extLst>
                      <c:ext xmlns:c15="http://schemas.microsoft.com/office/drawing/2012/chart" uri="{02D57815-91ED-43cb-92C2-25804820EDAC}">
                        <c15:fullRef>
                          <c15:sqref>Organe!$N$35:$N$41</c15:sqref>
                        </c15:fullRef>
                        <c15:formulaRef>
                          <c15:sqref>Organe!$N$36:$N$41</c15:sqref>
                        </c15:formulaRef>
                      </c:ext>
                    </c:extLst>
                    <c:numCache>
                      <c:formatCode>0.0</c:formatCode>
                      <c:ptCount val="6"/>
                    </c:numCache>
                  </c:numRef>
                </c:val>
                <c:extLst xmlns:c15="http://schemas.microsoft.com/office/drawing/2012/chart">
                  <c:ext xmlns:c16="http://schemas.microsoft.com/office/drawing/2014/chart" uri="{C3380CC4-5D6E-409C-BE32-E72D297353CC}">
                    <c16:uniqueId val="{0000000A-23D2-47D5-B19F-081366F7B9CA}"/>
                  </c:ext>
                </c:extLst>
              </c15:ser>
            </c15:filteredBarSeries>
            <c15:filteredBarSeries>
              <c15:ser>
                <c:idx val="11"/>
                <c:order val="11"/>
                <c:tx>
                  <c:strRef>
                    <c:extLst xmlns:c15="http://schemas.microsoft.com/office/drawing/2012/chart">
                      <c:ext xmlns:c15="http://schemas.microsoft.com/office/drawing/2012/chart" uri="{02D57815-91ED-43cb-92C2-25804820EDAC}">
                        <c15:formulaRef>
                          <c15:sqref>Organe!$O$2</c15:sqref>
                        </c15:formulaRef>
                      </c:ext>
                    </c:extLst>
                    <c:strCache>
                      <c:ptCount val="1"/>
                      <c:pt idx="0">
                        <c:v>PFBS </c:v>
                      </c:pt>
                    </c:strCache>
                  </c:strRef>
                </c:tx>
                <c:spPr>
                  <a:solidFill>
                    <a:schemeClr val="accent6">
                      <a:lumMod val="60000"/>
                    </a:schemeClr>
                  </a:solidFill>
                  <a:ln>
                    <a:noFill/>
                  </a:ln>
                  <a:effectLst/>
                </c:spPr>
                <c:invertIfNegative val="0"/>
                <c:cat>
                  <c:strRef>
                    <c:extLst>
                      <c:ext xmlns:c15="http://schemas.microsoft.com/office/drawing/2012/chart" uri="{02D57815-91ED-43cb-92C2-25804820EDAC}">
                        <c15:fullRef>
                          <c15:sqref>Organe!$C$35:$C$41</c15:sqref>
                        </c15:fullRef>
                        <c15:formulaRef>
                          <c15:sqref>Organe!$C$36:$C$41</c15:sqref>
                        </c15:formulaRef>
                      </c:ext>
                    </c:extLst>
                    <c:strCache>
                      <c:ptCount val="6"/>
                      <c:pt idx="0">
                        <c:v>Kidney</c:v>
                      </c:pt>
                      <c:pt idx="1">
                        <c:v>Lung</c:v>
                      </c:pt>
                      <c:pt idx="2">
                        <c:v>Brain</c:v>
                      </c:pt>
                      <c:pt idx="3">
                        <c:v>Heart</c:v>
                      </c:pt>
                      <c:pt idx="4">
                        <c:v>Spleen</c:v>
                      </c:pt>
                      <c:pt idx="5">
                        <c:v>Breast Muscle</c:v>
                      </c:pt>
                    </c:strCache>
                  </c:strRef>
                </c:cat>
                <c:val>
                  <c:numRef>
                    <c:extLst>
                      <c:ext xmlns:c15="http://schemas.microsoft.com/office/drawing/2012/chart" uri="{02D57815-91ED-43cb-92C2-25804820EDAC}">
                        <c15:fullRef>
                          <c15:sqref>Organe!$O$35:$O$41</c15:sqref>
                        </c15:fullRef>
                        <c15:formulaRef>
                          <c15:sqref>Organe!$O$36:$O$41</c15:sqref>
                        </c15:formulaRef>
                      </c:ext>
                    </c:extLst>
                    <c:numCache>
                      <c:formatCode>0.0</c:formatCode>
                      <c:ptCount val="6"/>
                    </c:numCache>
                  </c:numRef>
                </c:val>
                <c:extLst xmlns:c15="http://schemas.microsoft.com/office/drawing/2012/chart">
                  <c:ext xmlns:c16="http://schemas.microsoft.com/office/drawing/2014/chart" uri="{C3380CC4-5D6E-409C-BE32-E72D297353CC}">
                    <c16:uniqueId val="{0000000B-23D2-47D5-B19F-081366F7B9CA}"/>
                  </c:ext>
                </c:extLst>
              </c15:ser>
            </c15:filteredBarSeries>
            <c15:filteredBarSeries>
              <c15:ser>
                <c:idx val="12"/>
                <c:order val="12"/>
                <c:tx>
                  <c:strRef>
                    <c:extLst xmlns:c15="http://schemas.microsoft.com/office/drawing/2012/chart">
                      <c:ext xmlns:c15="http://schemas.microsoft.com/office/drawing/2012/chart" uri="{02D57815-91ED-43cb-92C2-25804820EDAC}">
                        <c15:formulaRef>
                          <c15:sqref>Organe!$P$2</c15:sqref>
                        </c15:formulaRef>
                      </c:ext>
                    </c:extLst>
                    <c:strCache>
                      <c:ptCount val="1"/>
                      <c:pt idx="0">
                        <c:v>PFPeS </c:v>
                      </c:pt>
                    </c:strCache>
                  </c:strRef>
                </c:tx>
                <c:spPr>
                  <a:solidFill>
                    <a:schemeClr val="accent1">
                      <a:lumMod val="80000"/>
                      <a:lumOff val="20000"/>
                    </a:schemeClr>
                  </a:solidFill>
                  <a:ln>
                    <a:noFill/>
                  </a:ln>
                  <a:effectLst/>
                </c:spPr>
                <c:invertIfNegative val="0"/>
                <c:cat>
                  <c:strRef>
                    <c:extLst>
                      <c:ext xmlns:c15="http://schemas.microsoft.com/office/drawing/2012/chart" uri="{02D57815-91ED-43cb-92C2-25804820EDAC}">
                        <c15:fullRef>
                          <c15:sqref>Organe!$C$35:$C$41</c15:sqref>
                        </c15:fullRef>
                        <c15:formulaRef>
                          <c15:sqref>Organe!$C$36:$C$41</c15:sqref>
                        </c15:formulaRef>
                      </c:ext>
                    </c:extLst>
                    <c:strCache>
                      <c:ptCount val="6"/>
                      <c:pt idx="0">
                        <c:v>Kidney</c:v>
                      </c:pt>
                      <c:pt idx="1">
                        <c:v>Lung</c:v>
                      </c:pt>
                      <c:pt idx="2">
                        <c:v>Brain</c:v>
                      </c:pt>
                      <c:pt idx="3">
                        <c:v>Heart</c:v>
                      </c:pt>
                      <c:pt idx="4">
                        <c:v>Spleen</c:v>
                      </c:pt>
                      <c:pt idx="5">
                        <c:v>Breast Muscle</c:v>
                      </c:pt>
                    </c:strCache>
                  </c:strRef>
                </c:cat>
                <c:val>
                  <c:numRef>
                    <c:extLst>
                      <c:ext xmlns:c15="http://schemas.microsoft.com/office/drawing/2012/chart" uri="{02D57815-91ED-43cb-92C2-25804820EDAC}">
                        <c15:fullRef>
                          <c15:sqref>Organe!$P$35:$P$41</c15:sqref>
                        </c15:fullRef>
                        <c15:formulaRef>
                          <c15:sqref>Organe!$P$36:$P$41</c15:sqref>
                        </c15:formulaRef>
                      </c:ext>
                    </c:extLst>
                    <c:numCache>
                      <c:formatCode>0.0</c:formatCode>
                      <c:ptCount val="6"/>
                    </c:numCache>
                  </c:numRef>
                </c:val>
                <c:extLst xmlns:c15="http://schemas.microsoft.com/office/drawing/2012/chart">
                  <c:ext xmlns:c16="http://schemas.microsoft.com/office/drawing/2014/chart" uri="{C3380CC4-5D6E-409C-BE32-E72D297353CC}">
                    <c16:uniqueId val="{0000000C-23D2-47D5-B19F-081366F7B9CA}"/>
                  </c:ext>
                </c:extLst>
              </c15:ser>
            </c15:filteredBarSeries>
            <c15:filteredBarSeries>
              <c15:ser>
                <c:idx val="13"/>
                <c:order val="13"/>
                <c:tx>
                  <c:strRef>
                    <c:extLst xmlns:c15="http://schemas.microsoft.com/office/drawing/2012/chart">
                      <c:ext xmlns:c15="http://schemas.microsoft.com/office/drawing/2012/chart" uri="{02D57815-91ED-43cb-92C2-25804820EDAC}">
                        <c15:formulaRef>
                          <c15:sqref>Organe!$Q$2</c15:sqref>
                        </c15:formulaRef>
                      </c:ext>
                    </c:extLst>
                    <c:strCache>
                      <c:ptCount val="1"/>
                      <c:pt idx="0">
                        <c:v>PFHxS </c:v>
                      </c:pt>
                    </c:strCache>
                  </c:strRef>
                </c:tx>
                <c:spPr>
                  <a:solidFill>
                    <a:schemeClr val="accent2">
                      <a:lumMod val="80000"/>
                      <a:lumOff val="20000"/>
                    </a:schemeClr>
                  </a:solidFill>
                  <a:ln>
                    <a:noFill/>
                  </a:ln>
                  <a:effectLst/>
                </c:spPr>
                <c:invertIfNegative val="0"/>
                <c:cat>
                  <c:strRef>
                    <c:extLst>
                      <c:ext xmlns:c15="http://schemas.microsoft.com/office/drawing/2012/chart" uri="{02D57815-91ED-43cb-92C2-25804820EDAC}">
                        <c15:fullRef>
                          <c15:sqref>Organe!$C$35:$C$41</c15:sqref>
                        </c15:fullRef>
                        <c15:formulaRef>
                          <c15:sqref>Organe!$C$36:$C$41</c15:sqref>
                        </c15:formulaRef>
                      </c:ext>
                    </c:extLst>
                    <c:strCache>
                      <c:ptCount val="6"/>
                      <c:pt idx="0">
                        <c:v>Kidney</c:v>
                      </c:pt>
                      <c:pt idx="1">
                        <c:v>Lung</c:v>
                      </c:pt>
                      <c:pt idx="2">
                        <c:v>Brain</c:v>
                      </c:pt>
                      <c:pt idx="3">
                        <c:v>Heart</c:v>
                      </c:pt>
                      <c:pt idx="4">
                        <c:v>Spleen</c:v>
                      </c:pt>
                      <c:pt idx="5">
                        <c:v>Breast Muscle</c:v>
                      </c:pt>
                    </c:strCache>
                  </c:strRef>
                </c:cat>
                <c:val>
                  <c:numRef>
                    <c:extLst>
                      <c:ext xmlns:c15="http://schemas.microsoft.com/office/drawing/2012/chart" uri="{02D57815-91ED-43cb-92C2-25804820EDAC}">
                        <c15:fullRef>
                          <c15:sqref>Organe!$Q$35:$Q$41</c15:sqref>
                        </c15:fullRef>
                        <c15:formulaRef>
                          <c15:sqref>Organe!$Q$36:$Q$41</c15:sqref>
                        </c15:formulaRef>
                      </c:ext>
                    </c:extLst>
                    <c:numCache>
                      <c:formatCode>0.0</c:formatCode>
                      <c:ptCount val="6"/>
                    </c:numCache>
                  </c:numRef>
                </c:val>
                <c:extLst xmlns:c15="http://schemas.microsoft.com/office/drawing/2012/chart">
                  <c:ext xmlns:c16="http://schemas.microsoft.com/office/drawing/2014/chart" uri="{C3380CC4-5D6E-409C-BE32-E72D297353CC}">
                    <c16:uniqueId val="{0000000D-23D2-47D5-B19F-081366F7B9CA}"/>
                  </c:ext>
                </c:extLst>
              </c15:ser>
            </c15:filteredBarSeries>
            <c15:filteredBarSeries>
              <c15:ser>
                <c:idx val="14"/>
                <c:order val="14"/>
                <c:tx>
                  <c:strRef>
                    <c:extLst xmlns:c15="http://schemas.microsoft.com/office/drawing/2012/chart">
                      <c:ext xmlns:c15="http://schemas.microsoft.com/office/drawing/2012/chart" uri="{02D57815-91ED-43cb-92C2-25804820EDAC}">
                        <c15:formulaRef>
                          <c15:sqref>Organe!$R$2</c15:sqref>
                        </c15:formulaRef>
                      </c:ext>
                    </c:extLst>
                    <c:strCache>
                      <c:ptCount val="1"/>
                      <c:pt idx="0">
                        <c:v>PFHpS </c:v>
                      </c:pt>
                    </c:strCache>
                  </c:strRef>
                </c:tx>
                <c:spPr>
                  <a:solidFill>
                    <a:schemeClr val="accent3">
                      <a:lumMod val="80000"/>
                      <a:lumOff val="20000"/>
                    </a:schemeClr>
                  </a:solidFill>
                  <a:ln>
                    <a:noFill/>
                  </a:ln>
                  <a:effectLst/>
                </c:spPr>
                <c:invertIfNegative val="0"/>
                <c:cat>
                  <c:strRef>
                    <c:extLst>
                      <c:ext xmlns:c15="http://schemas.microsoft.com/office/drawing/2012/chart" uri="{02D57815-91ED-43cb-92C2-25804820EDAC}">
                        <c15:fullRef>
                          <c15:sqref>Organe!$C$35:$C$41</c15:sqref>
                        </c15:fullRef>
                        <c15:formulaRef>
                          <c15:sqref>Organe!$C$36:$C$41</c15:sqref>
                        </c15:formulaRef>
                      </c:ext>
                    </c:extLst>
                    <c:strCache>
                      <c:ptCount val="6"/>
                      <c:pt idx="0">
                        <c:v>Kidney</c:v>
                      </c:pt>
                      <c:pt idx="1">
                        <c:v>Lung</c:v>
                      </c:pt>
                      <c:pt idx="2">
                        <c:v>Brain</c:v>
                      </c:pt>
                      <c:pt idx="3">
                        <c:v>Heart</c:v>
                      </c:pt>
                      <c:pt idx="4">
                        <c:v>Spleen</c:v>
                      </c:pt>
                      <c:pt idx="5">
                        <c:v>Breast Muscle</c:v>
                      </c:pt>
                    </c:strCache>
                  </c:strRef>
                </c:cat>
                <c:val>
                  <c:numRef>
                    <c:extLst>
                      <c:ext xmlns:c15="http://schemas.microsoft.com/office/drawing/2012/chart" uri="{02D57815-91ED-43cb-92C2-25804820EDAC}">
                        <c15:fullRef>
                          <c15:sqref>Organe!$R$35:$R$41</c15:sqref>
                        </c15:fullRef>
                        <c15:formulaRef>
                          <c15:sqref>Organe!$R$36:$R$41</c15:sqref>
                        </c15:formulaRef>
                      </c:ext>
                    </c:extLst>
                    <c:numCache>
                      <c:formatCode>0.0</c:formatCode>
                      <c:ptCount val="6"/>
                    </c:numCache>
                  </c:numRef>
                </c:val>
                <c:extLst xmlns:c15="http://schemas.microsoft.com/office/drawing/2012/chart">
                  <c:ext xmlns:c16="http://schemas.microsoft.com/office/drawing/2014/chart" uri="{C3380CC4-5D6E-409C-BE32-E72D297353CC}">
                    <c16:uniqueId val="{0000000E-23D2-47D5-B19F-081366F7B9CA}"/>
                  </c:ext>
                </c:extLst>
              </c15:ser>
            </c15:filteredBarSeries>
            <c15:filteredBarSeries>
              <c15:ser>
                <c:idx val="21"/>
                <c:order val="21"/>
                <c:tx>
                  <c:strRef>
                    <c:extLst xmlns:c15="http://schemas.microsoft.com/office/drawing/2012/chart">
                      <c:ext xmlns:c15="http://schemas.microsoft.com/office/drawing/2012/chart" uri="{02D57815-91ED-43cb-92C2-25804820EDAC}">
                        <c15:formulaRef>
                          <c15:sqref>Organe!$Y$2</c15:sqref>
                        </c15:formulaRef>
                      </c:ext>
                    </c:extLst>
                    <c:strCache>
                      <c:ptCount val="1"/>
                      <c:pt idx="0">
                        <c:v>PFHxA</c:v>
                      </c:pt>
                    </c:strCache>
                  </c:strRef>
                </c:tx>
                <c:spPr>
                  <a:solidFill>
                    <a:schemeClr val="accent4">
                      <a:lumMod val="80000"/>
                    </a:schemeClr>
                  </a:solidFill>
                  <a:ln>
                    <a:noFill/>
                  </a:ln>
                  <a:effectLst/>
                </c:spPr>
                <c:invertIfNegative val="0"/>
                <c:cat>
                  <c:strRef>
                    <c:extLst>
                      <c:ext xmlns:c15="http://schemas.microsoft.com/office/drawing/2012/chart" uri="{02D57815-91ED-43cb-92C2-25804820EDAC}">
                        <c15:fullRef>
                          <c15:sqref>Organe!$C$35:$C$41</c15:sqref>
                        </c15:fullRef>
                        <c15:formulaRef>
                          <c15:sqref>Organe!$C$36:$C$41</c15:sqref>
                        </c15:formulaRef>
                      </c:ext>
                    </c:extLst>
                    <c:strCache>
                      <c:ptCount val="6"/>
                      <c:pt idx="0">
                        <c:v>Kidney</c:v>
                      </c:pt>
                      <c:pt idx="1">
                        <c:v>Lung</c:v>
                      </c:pt>
                      <c:pt idx="2">
                        <c:v>Brain</c:v>
                      </c:pt>
                      <c:pt idx="3">
                        <c:v>Heart</c:v>
                      </c:pt>
                      <c:pt idx="4">
                        <c:v>Spleen</c:v>
                      </c:pt>
                      <c:pt idx="5">
                        <c:v>Breast Muscle</c:v>
                      </c:pt>
                    </c:strCache>
                  </c:strRef>
                </c:cat>
                <c:val>
                  <c:numRef>
                    <c:extLst>
                      <c:ext xmlns:c15="http://schemas.microsoft.com/office/drawing/2012/chart" uri="{02D57815-91ED-43cb-92C2-25804820EDAC}">
                        <c15:fullRef>
                          <c15:sqref>Organe!$Y$35:$Y$41</c15:sqref>
                        </c15:fullRef>
                        <c15:formulaRef>
                          <c15:sqref>Organe!$Y$36:$Y$41</c15:sqref>
                        </c15:formulaRef>
                      </c:ext>
                    </c:extLst>
                    <c:numCache>
                      <c:formatCode>0.0</c:formatCode>
                      <c:ptCount val="6"/>
                    </c:numCache>
                  </c:numRef>
                </c:val>
                <c:extLst xmlns:c15="http://schemas.microsoft.com/office/drawing/2012/chart">
                  <c:ext xmlns:c16="http://schemas.microsoft.com/office/drawing/2014/chart" uri="{C3380CC4-5D6E-409C-BE32-E72D297353CC}">
                    <c16:uniqueId val="{00000015-23D2-47D5-B19F-081366F7B9CA}"/>
                  </c:ext>
                </c:extLst>
              </c15:ser>
            </c15:filteredBarSeries>
            <c15:filteredBarSeries>
              <c15:ser>
                <c:idx val="22"/>
                <c:order val="22"/>
                <c:tx>
                  <c:strRef>
                    <c:extLst xmlns:c15="http://schemas.microsoft.com/office/drawing/2012/chart">
                      <c:ext xmlns:c15="http://schemas.microsoft.com/office/drawing/2012/chart" uri="{02D57815-91ED-43cb-92C2-25804820EDAC}">
                        <c15:formulaRef>
                          <c15:sqref>Organe!$Z$2</c15:sqref>
                        </c15:formulaRef>
                      </c:ext>
                    </c:extLst>
                    <c:strCache>
                      <c:ptCount val="1"/>
                      <c:pt idx="0">
                        <c:v>PFHpA </c:v>
                      </c:pt>
                    </c:strCache>
                  </c:strRef>
                </c:tx>
                <c:spPr>
                  <a:solidFill>
                    <a:schemeClr val="accent5">
                      <a:lumMod val="80000"/>
                    </a:schemeClr>
                  </a:solidFill>
                  <a:ln>
                    <a:noFill/>
                  </a:ln>
                  <a:effectLst/>
                </c:spPr>
                <c:invertIfNegative val="0"/>
                <c:cat>
                  <c:strRef>
                    <c:extLst>
                      <c:ext xmlns:c15="http://schemas.microsoft.com/office/drawing/2012/chart" uri="{02D57815-91ED-43cb-92C2-25804820EDAC}">
                        <c15:fullRef>
                          <c15:sqref>Organe!$C$35:$C$41</c15:sqref>
                        </c15:fullRef>
                        <c15:formulaRef>
                          <c15:sqref>Organe!$C$36:$C$41</c15:sqref>
                        </c15:formulaRef>
                      </c:ext>
                    </c:extLst>
                    <c:strCache>
                      <c:ptCount val="6"/>
                      <c:pt idx="0">
                        <c:v>Kidney</c:v>
                      </c:pt>
                      <c:pt idx="1">
                        <c:v>Lung</c:v>
                      </c:pt>
                      <c:pt idx="2">
                        <c:v>Brain</c:v>
                      </c:pt>
                      <c:pt idx="3">
                        <c:v>Heart</c:v>
                      </c:pt>
                      <c:pt idx="4">
                        <c:v>Spleen</c:v>
                      </c:pt>
                      <c:pt idx="5">
                        <c:v>Breast Muscle</c:v>
                      </c:pt>
                    </c:strCache>
                  </c:strRef>
                </c:cat>
                <c:val>
                  <c:numRef>
                    <c:extLst>
                      <c:ext xmlns:c15="http://schemas.microsoft.com/office/drawing/2012/chart" uri="{02D57815-91ED-43cb-92C2-25804820EDAC}">
                        <c15:fullRef>
                          <c15:sqref>Organe!$Z$35:$Z$41</c15:sqref>
                        </c15:fullRef>
                        <c15:formulaRef>
                          <c15:sqref>Organe!$Z$36:$Z$41</c15:sqref>
                        </c15:formulaRef>
                      </c:ext>
                    </c:extLst>
                    <c:numCache>
                      <c:formatCode>0.0</c:formatCode>
                      <c:ptCount val="6"/>
                    </c:numCache>
                  </c:numRef>
                </c:val>
                <c:extLst xmlns:c15="http://schemas.microsoft.com/office/drawing/2012/chart">
                  <c:ext xmlns:c16="http://schemas.microsoft.com/office/drawing/2014/chart" uri="{C3380CC4-5D6E-409C-BE32-E72D297353CC}">
                    <c16:uniqueId val="{00000016-23D2-47D5-B19F-081366F7B9CA}"/>
                  </c:ext>
                </c:extLst>
              </c15:ser>
            </c15:filteredBarSeries>
            <c15:filteredBarSeries>
              <c15:ser>
                <c:idx val="23"/>
                <c:order val="23"/>
                <c:tx>
                  <c:strRef>
                    <c:extLst xmlns:c15="http://schemas.microsoft.com/office/drawing/2012/chart">
                      <c:ext xmlns:c15="http://schemas.microsoft.com/office/drawing/2012/chart" uri="{02D57815-91ED-43cb-92C2-25804820EDAC}">
                        <c15:formulaRef>
                          <c15:sqref>Organe!$AA$2</c15:sqref>
                        </c15:formulaRef>
                      </c:ext>
                    </c:extLst>
                    <c:strCache>
                      <c:ptCount val="1"/>
                      <c:pt idx="0">
                        <c:v>PFOA </c:v>
                      </c:pt>
                    </c:strCache>
                  </c:strRef>
                </c:tx>
                <c:spPr>
                  <a:solidFill>
                    <a:schemeClr val="accent6">
                      <a:lumMod val="80000"/>
                    </a:schemeClr>
                  </a:solidFill>
                  <a:ln>
                    <a:noFill/>
                  </a:ln>
                  <a:effectLst/>
                </c:spPr>
                <c:invertIfNegative val="0"/>
                <c:cat>
                  <c:strRef>
                    <c:extLst>
                      <c:ext xmlns:c15="http://schemas.microsoft.com/office/drawing/2012/chart" uri="{02D57815-91ED-43cb-92C2-25804820EDAC}">
                        <c15:fullRef>
                          <c15:sqref>Organe!$C$35:$C$41</c15:sqref>
                        </c15:fullRef>
                        <c15:formulaRef>
                          <c15:sqref>Organe!$C$36:$C$41</c15:sqref>
                        </c15:formulaRef>
                      </c:ext>
                    </c:extLst>
                    <c:strCache>
                      <c:ptCount val="6"/>
                      <c:pt idx="0">
                        <c:v>Kidney</c:v>
                      </c:pt>
                      <c:pt idx="1">
                        <c:v>Lung</c:v>
                      </c:pt>
                      <c:pt idx="2">
                        <c:v>Brain</c:v>
                      </c:pt>
                      <c:pt idx="3">
                        <c:v>Heart</c:v>
                      </c:pt>
                      <c:pt idx="4">
                        <c:v>Spleen</c:v>
                      </c:pt>
                      <c:pt idx="5">
                        <c:v>Breast Muscle</c:v>
                      </c:pt>
                    </c:strCache>
                  </c:strRef>
                </c:cat>
                <c:val>
                  <c:numRef>
                    <c:extLst>
                      <c:ext xmlns:c15="http://schemas.microsoft.com/office/drawing/2012/chart" uri="{02D57815-91ED-43cb-92C2-25804820EDAC}">
                        <c15:fullRef>
                          <c15:sqref>Organe!$AA$35:$AA$41</c15:sqref>
                        </c15:fullRef>
                        <c15:formulaRef>
                          <c15:sqref>Organe!$AA$36:$AA$41</c15:sqref>
                        </c15:formulaRef>
                      </c:ext>
                    </c:extLst>
                    <c:numCache>
                      <c:formatCode>0.0</c:formatCode>
                      <c:ptCount val="6"/>
                    </c:numCache>
                  </c:numRef>
                </c:val>
                <c:extLst xmlns:c15="http://schemas.microsoft.com/office/drawing/2012/chart">
                  <c:ext xmlns:c16="http://schemas.microsoft.com/office/drawing/2014/chart" uri="{C3380CC4-5D6E-409C-BE32-E72D297353CC}">
                    <c16:uniqueId val="{00000017-23D2-47D5-B19F-081366F7B9CA}"/>
                  </c:ext>
                </c:extLst>
              </c15:ser>
            </c15:filteredBarSeries>
            <c15:filteredBarSeries>
              <c15:ser>
                <c:idx val="24"/>
                <c:order val="24"/>
                <c:tx>
                  <c:strRef>
                    <c:extLst xmlns:c15="http://schemas.microsoft.com/office/drawing/2012/chart">
                      <c:ext xmlns:c15="http://schemas.microsoft.com/office/drawing/2012/chart" uri="{02D57815-91ED-43cb-92C2-25804820EDAC}">
                        <c15:formulaRef>
                          <c15:sqref>Organe!$AB$2</c15:sqref>
                        </c15:formulaRef>
                      </c:ext>
                    </c:extLst>
                    <c:strCache>
                      <c:ptCount val="1"/>
                      <c:pt idx="0">
                        <c:v>PFNA </c:v>
                      </c:pt>
                    </c:strCache>
                  </c:strRef>
                </c:tx>
                <c:spPr>
                  <a:solidFill>
                    <a:schemeClr val="accent1">
                      <a:lumMod val="60000"/>
                      <a:lumOff val="40000"/>
                    </a:schemeClr>
                  </a:solidFill>
                  <a:ln>
                    <a:noFill/>
                  </a:ln>
                  <a:effectLst/>
                </c:spPr>
                <c:invertIfNegative val="0"/>
                <c:cat>
                  <c:strRef>
                    <c:extLst>
                      <c:ext xmlns:c15="http://schemas.microsoft.com/office/drawing/2012/chart" uri="{02D57815-91ED-43cb-92C2-25804820EDAC}">
                        <c15:fullRef>
                          <c15:sqref>Organe!$C$35:$C$41</c15:sqref>
                        </c15:fullRef>
                        <c15:formulaRef>
                          <c15:sqref>Organe!$C$36:$C$41</c15:sqref>
                        </c15:formulaRef>
                      </c:ext>
                    </c:extLst>
                    <c:strCache>
                      <c:ptCount val="6"/>
                      <c:pt idx="0">
                        <c:v>Kidney</c:v>
                      </c:pt>
                      <c:pt idx="1">
                        <c:v>Lung</c:v>
                      </c:pt>
                      <c:pt idx="2">
                        <c:v>Brain</c:v>
                      </c:pt>
                      <c:pt idx="3">
                        <c:v>Heart</c:v>
                      </c:pt>
                      <c:pt idx="4">
                        <c:v>Spleen</c:v>
                      </c:pt>
                      <c:pt idx="5">
                        <c:v>Breast Muscle</c:v>
                      </c:pt>
                    </c:strCache>
                  </c:strRef>
                </c:cat>
                <c:val>
                  <c:numRef>
                    <c:extLst>
                      <c:ext xmlns:c15="http://schemas.microsoft.com/office/drawing/2012/chart" uri="{02D57815-91ED-43cb-92C2-25804820EDAC}">
                        <c15:fullRef>
                          <c15:sqref>Organe!$AB$35:$AB$41</c15:sqref>
                        </c15:fullRef>
                        <c15:formulaRef>
                          <c15:sqref>Organe!$AB$36:$AB$41</c15:sqref>
                        </c15:formulaRef>
                      </c:ext>
                    </c:extLst>
                    <c:numCache>
                      <c:formatCode>0.0</c:formatCode>
                      <c:ptCount val="6"/>
                    </c:numCache>
                  </c:numRef>
                </c:val>
                <c:extLst xmlns:c15="http://schemas.microsoft.com/office/drawing/2012/chart">
                  <c:ext xmlns:c16="http://schemas.microsoft.com/office/drawing/2014/chart" uri="{C3380CC4-5D6E-409C-BE32-E72D297353CC}">
                    <c16:uniqueId val="{00000018-23D2-47D5-B19F-081366F7B9CA}"/>
                  </c:ext>
                </c:extLst>
              </c15:ser>
            </c15:filteredBarSeries>
            <c15:filteredBarSeries>
              <c15:ser>
                <c:idx val="25"/>
                <c:order val="25"/>
                <c:tx>
                  <c:strRef>
                    <c:extLst xmlns:c15="http://schemas.microsoft.com/office/drawing/2012/chart">
                      <c:ext xmlns:c15="http://schemas.microsoft.com/office/drawing/2012/chart" uri="{02D57815-91ED-43cb-92C2-25804820EDAC}">
                        <c15:formulaRef>
                          <c15:sqref>Organe!$AC$2</c15:sqref>
                        </c15:formulaRef>
                      </c:ext>
                    </c:extLst>
                    <c:strCache>
                      <c:ptCount val="1"/>
                      <c:pt idx="0">
                        <c:v>PFDA </c:v>
                      </c:pt>
                    </c:strCache>
                  </c:strRef>
                </c:tx>
                <c:spPr>
                  <a:solidFill>
                    <a:schemeClr val="accent2">
                      <a:lumMod val="60000"/>
                      <a:lumOff val="40000"/>
                    </a:schemeClr>
                  </a:solidFill>
                  <a:ln>
                    <a:noFill/>
                  </a:ln>
                  <a:effectLst/>
                </c:spPr>
                <c:invertIfNegative val="0"/>
                <c:cat>
                  <c:strRef>
                    <c:extLst>
                      <c:ext xmlns:c15="http://schemas.microsoft.com/office/drawing/2012/chart" uri="{02D57815-91ED-43cb-92C2-25804820EDAC}">
                        <c15:fullRef>
                          <c15:sqref>Organe!$C$35:$C$41</c15:sqref>
                        </c15:fullRef>
                        <c15:formulaRef>
                          <c15:sqref>Organe!$C$36:$C$41</c15:sqref>
                        </c15:formulaRef>
                      </c:ext>
                    </c:extLst>
                    <c:strCache>
                      <c:ptCount val="6"/>
                      <c:pt idx="0">
                        <c:v>Kidney</c:v>
                      </c:pt>
                      <c:pt idx="1">
                        <c:v>Lung</c:v>
                      </c:pt>
                      <c:pt idx="2">
                        <c:v>Brain</c:v>
                      </c:pt>
                      <c:pt idx="3">
                        <c:v>Heart</c:v>
                      </c:pt>
                      <c:pt idx="4">
                        <c:v>Spleen</c:v>
                      </c:pt>
                      <c:pt idx="5">
                        <c:v>Breast Muscle</c:v>
                      </c:pt>
                    </c:strCache>
                  </c:strRef>
                </c:cat>
                <c:val>
                  <c:numRef>
                    <c:extLst>
                      <c:ext xmlns:c15="http://schemas.microsoft.com/office/drawing/2012/chart" uri="{02D57815-91ED-43cb-92C2-25804820EDAC}">
                        <c15:fullRef>
                          <c15:sqref>Organe!$AC$35:$AC$41</c15:sqref>
                        </c15:fullRef>
                        <c15:formulaRef>
                          <c15:sqref>Organe!$AC$36:$AC$41</c15:sqref>
                        </c15:formulaRef>
                      </c:ext>
                    </c:extLst>
                    <c:numCache>
                      <c:formatCode>0.0</c:formatCode>
                      <c:ptCount val="6"/>
                    </c:numCache>
                  </c:numRef>
                </c:val>
                <c:extLst xmlns:c15="http://schemas.microsoft.com/office/drawing/2012/chart">
                  <c:ext xmlns:c16="http://schemas.microsoft.com/office/drawing/2014/chart" uri="{C3380CC4-5D6E-409C-BE32-E72D297353CC}">
                    <c16:uniqueId val="{00000019-23D2-47D5-B19F-081366F7B9CA}"/>
                  </c:ext>
                </c:extLst>
              </c15:ser>
            </c15:filteredBarSeries>
            <c15:filteredBarSeries>
              <c15:ser>
                <c:idx val="26"/>
                <c:order val="26"/>
                <c:tx>
                  <c:strRef>
                    <c:extLst xmlns:c15="http://schemas.microsoft.com/office/drawing/2012/chart">
                      <c:ext xmlns:c15="http://schemas.microsoft.com/office/drawing/2012/chart" uri="{02D57815-91ED-43cb-92C2-25804820EDAC}">
                        <c15:formulaRef>
                          <c15:sqref>Organe!$AD$2</c15:sqref>
                        </c15:formulaRef>
                      </c:ext>
                    </c:extLst>
                    <c:strCache>
                      <c:ptCount val="1"/>
                      <c:pt idx="0">
                        <c:v>PFUnDA </c:v>
                      </c:pt>
                    </c:strCache>
                  </c:strRef>
                </c:tx>
                <c:spPr>
                  <a:solidFill>
                    <a:schemeClr val="accent3">
                      <a:lumMod val="60000"/>
                      <a:lumOff val="40000"/>
                    </a:schemeClr>
                  </a:solidFill>
                  <a:ln>
                    <a:noFill/>
                  </a:ln>
                  <a:effectLst/>
                </c:spPr>
                <c:invertIfNegative val="0"/>
                <c:cat>
                  <c:strRef>
                    <c:extLst>
                      <c:ext xmlns:c15="http://schemas.microsoft.com/office/drawing/2012/chart" uri="{02D57815-91ED-43cb-92C2-25804820EDAC}">
                        <c15:fullRef>
                          <c15:sqref>Organe!$C$35:$C$41</c15:sqref>
                        </c15:fullRef>
                        <c15:formulaRef>
                          <c15:sqref>Organe!$C$36:$C$41</c15:sqref>
                        </c15:formulaRef>
                      </c:ext>
                    </c:extLst>
                    <c:strCache>
                      <c:ptCount val="6"/>
                      <c:pt idx="0">
                        <c:v>Kidney</c:v>
                      </c:pt>
                      <c:pt idx="1">
                        <c:v>Lung</c:v>
                      </c:pt>
                      <c:pt idx="2">
                        <c:v>Brain</c:v>
                      </c:pt>
                      <c:pt idx="3">
                        <c:v>Heart</c:v>
                      </c:pt>
                      <c:pt idx="4">
                        <c:v>Spleen</c:v>
                      </c:pt>
                      <c:pt idx="5">
                        <c:v>Breast Muscle</c:v>
                      </c:pt>
                    </c:strCache>
                  </c:strRef>
                </c:cat>
                <c:val>
                  <c:numRef>
                    <c:extLst>
                      <c:ext xmlns:c15="http://schemas.microsoft.com/office/drawing/2012/chart" uri="{02D57815-91ED-43cb-92C2-25804820EDAC}">
                        <c15:fullRef>
                          <c15:sqref>Organe!$AD$35:$AD$41</c15:sqref>
                        </c15:fullRef>
                        <c15:formulaRef>
                          <c15:sqref>Organe!$AD$36:$AD$41</c15:sqref>
                        </c15:formulaRef>
                      </c:ext>
                    </c:extLst>
                    <c:numCache>
                      <c:formatCode>0.0</c:formatCode>
                      <c:ptCount val="6"/>
                    </c:numCache>
                  </c:numRef>
                </c:val>
                <c:extLst xmlns:c15="http://schemas.microsoft.com/office/drawing/2012/chart">
                  <c:ext xmlns:c16="http://schemas.microsoft.com/office/drawing/2014/chart" uri="{C3380CC4-5D6E-409C-BE32-E72D297353CC}">
                    <c16:uniqueId val="{0000001A-23D2-47D5-B19F-081366F7B9CA}"/>
                  </c:ext>
                </c:extLst>
              </c15:ser>
            </c15:filteredBarSeries>
            <c15:filteredBarSeries>
              <c15:ser>
                <c:idx val="27"/>
                <c:order val="27"/>
                <c:tx>
                  <c:strRef>
                    <c:extLst xmlns:c15="http://schemas.microsoft.com/office/drawing/2012/chart">
                      <c:ext xmlns:c15="http://schemas.microsoft.com/office/drawing/2012/chart" uri="{02D57815-91ED-43cb-92C2-25804820EDAC}">
                        <c15:formulaRef>
                          <c15:sqref>Organe!$AE$2</c15:sqref>
                        </c15:formulaRef>
                      </c:ext>
                    </c:extLst>
                    <c:strCache>
                      <c:ptCount val="1"/>
                      <c:pt idx="0">
                        <c:v>PFDoDA </c:v>
                      </c:pt>
                    </c:strCache>
                  </c:strRef>
                </c:tx>
                <c:spPr>
                  <a:solidFill>
                    <a:schemeClr val="accent4">
                      <a:lumMod val="60000"/>
                      <a:lumOff val="40000"/>
                    </a:schemeClr>
                  </a:solidFill>
                  <a:ln>
                    <a:noFill/>
                  </a:ln>
                  <a:effectLst/>
                </c:spPr>
                <c:invertIfNegative val="0"/>
                <c:cat>
                  <c:strRef>
                    <c:extLst>
                      <c:ext xmlns:c15="http://schemas.microsoft.com/office/drawing/2012/chart" uri="{02D57815-91ED-43cb-92C2-25804820EDAC}">
                        <c15:fullRef>
                          <c15:sqref>Organe!$C$35:$C$41</c15:sqref>
                        </c15:fullRef>
                        <c15:formulaRef>
                          <c15:sqref>Organe!$C$36:$C$41</c15:sqref>
                        </c15:formulaRef>
                      </c:ext>
                    </c:extLst>
                    <c:strCache>
                      <c:ptCount val="6"/>
                      <c:pt idx="0">
                        <c:v>Kidney</c:v>
                      </c:pt>
                      <c:pt idx="1">
                        <c:v>Lung</c:v>
                      </c:pt>
                      <c:pt idx="2">
                        <c:v>Brain</c:v>
                      </c:pt>
                      <c:pt idx="3">
                        <c:v>Heart</c:v>
                      </c:pt>
                      <c:pt idx="4">
                        <c:v>Spleen</c:v>
                      </c:pt>
                      <c:pt idx="5">
                        <c:v>Breast Muscle</c:v>
                      </c:pt>
                    </c:strCache>
                  </c:strRef>
                </c:cat>
                <c:val>
                  <c:numRef>
                    <c:extLst>
                      <c:ext xmlns:c15="http://schemas.microsoft.com/office/drawing/2012/chart" uri="{02D57815-91ED-43cb-92C2-25804820EDAC}">
                        <c15:fullRef>
                          <c15:sqref>Organe!$AE$35:$AE$41</c15:sqref>
                        </c15:fullRef>
                        <c15:formulaRef>
                          <c15:sqref>Organe!$AE$36:$AE$41</c15:sqref>
                        </c15:formulaRef>
                      </c:ext>
                    </c:extLst>
                    <c:numCache>
                      <c:formatCode>0.0</c:formatCode>
                      <c:ptCount val="6"/>
                    </c:numCache>
                  </c:numRef>
                </c:val>
                <c:extLst xmlns:c15="http://schemas.microsoft.com/office/drawing/2012/chart">
                  <c:ext xmlns:c16="http://schemas.microsoft.com/office/drawing/2014/chart" uri="{C3380CC4-5D6E-409C-BE32-E72D297353CC}">
                    <c16:uniqueId val="{0000001B-23D2-47D5-B19F-081366F7B9CA}"/>
                  </c:ext>
                </c:extLst>
              </c15:ser>
            </c15:filteredBarSeries>
            <c15:filteredBarSeries>
              <c15:ser>
                <c:idx val="28"/>
                <c:order val="28"/>
                <c:tx>
                  <c:strRef>
                    <c:extLst xmlns:c15="http://schemas.microsoft.com/office/drawing/2012/chart">
                      <c:ext xmlns:c15="http://schemas.microsoft.com/office/drawing/2012/chart" uri="{02D57815-91ED-43cb-92C2-25804820EDAC}">
                        <c15:formulaRef>
                          <c15:sqref>Organe!$AF$2</c15:sqref>
                        </c15:formulaRef>
                      </c:ext>
                    </c:extLst>
                    <c:strCache>
                      <c:ptCount val="1"/>
                      <c:pt idx="0">
                        <c:v>PFTrDA </c:v>
                      </c:pt>
                    </c:strCache>
                  </c:strRef>
                </c:tx>
                <c:spPr>
                  <a:solidFill>
                    <a:schemeClr val="accent5">
                      <a:lumMod val="60000"/>
                      <a:lumOff val="40000"/>
                    </a:schemeClr>
                  </a:solidFill>
                  <a:ln>
                    <a:noFill/>
                  </a:ln>
                  <a:effectLst/>
                </c:spPr>
                <c:invertIfNegative val="0"/>
                <c:cat>
                  <c:strRef>
                    <c:extLst>
                      <c:ext xmlns:c15="http://schemas.microsoft.com/office/drawing/2012/chart" uri="{02D57815-91ED-43cb-92C2-25804820EDAC}">
                        <c15:fullRef>
                          <c15:sqref>Organe!$C$35:$C$41</c15:sqref>
                        </c15:fullRef>
                        <c15:formulaRef>
                          <c15:sqref>Organe!$C$36:$C$41</c15:sqref>
                        </c15:formulaRef>
                      </c:ext>
                    </c:extLst>
                    <c:strCache>
                      <c:ptCount val="6"/>
                      <c:pt idx="0">
                        <c:v>Kidney</c:v>
                      </c:pt>
                      <c:pt idx="1">
                        <c:v>Lung</c:v>
                      </c:pt>
                      <c:pt idx="2">
                        <c:v>Brain</c:v>
                      </c:pt>
                      <c:pt idx="3">
                        <c:v>Heart</c:v>
                      </c:pt>
                      <c:pt idx="4">
                        <c:v>Spleen</c:v>
                      </c:pt>
                      <c:pt idx="5">
                        <c:v>Breast Muscle</c:v>
                      </c:pt>
                    </c:strCache>
                  </c:strRef>
                </c:cat>
                <c:val>
                  <c:numRef>
                    <c:extLst>
                      <c:ext xmlns:c15="http://schemas.microsoft.com/office/drawing/2012/chart" uri="{02D57815-91ED-43cb-92C2-25804820EDAC}">
                        <c15:fullRef>
                          <c15:sqref>Organe!$AF$35:$AF$41</c15:sqref>
                        </c15:fullRef>
                        <c15:formulaRef>
                          <c15:sqref>Organe!$AF$36:$AF$41</c15:sqref>
                        </c15:formulaRef>
                      </c:ext>
                    </c:extLst>
                    <c:numCache>
                      <c:formatCode>0.0</c:formatCode>
                      <c:ptCount val="6"/>
                    </c:numCache>
                  </c:numRef>
                </c:val>
                <c:extLst xmlns:c15="http://schemas.microsoft.com/office/drawing/2012/chart">
                  <c:ext xmlns:c16="http://schemas.microsoft.com/office/drawing/2014/chart" uri="{C3380CC4-5D6E-409C-BE32-E72D297353CC}">
                    <c16:uniqueId val="{0000001C-23D2-47D5-B19F-081366F7B9CA}"/>
                  </c:ext>
                </c:extLst>
              </c15:ser>
            </c15:filteredBarSeries>
            <c15:filteredBarSeries>
              <c15:ser>
                <c:idx val="29"/>
                <c:order val="29"/>
                <c:tx>
                  <c:strRef>
                    <c:extLst xmlns:c15="http://schemas.microsoft.com/office/drawing/2012/chart">
                      <c:ext xmlns:c15="http://schemas.microsoft.com/office/drawing/2012/chart" uri="{02D57815-91ED-43cb-92C2-25804820EDAC}">
                        <c15:formulaRef>
                          <c15:sqref>Organe!$AG$2</c15:sqref>
                        </c15:formulaRef>
                      </c:ext>
                    </c:extLst>
                    <c:strCache>
                      <c:ptCount val="1"/>
                      <c:pt idx="0">
                        <c:v>PFTeDA </c:v>
                      </c:pt>
                    </c:strCache>
                  </c:strRef>
                </c:tx>
                <c:spPr>
                  <a:solidFill>
                    <a:schemeClr val="accent6">
                      <a:lumMod val="60000"/>
                      <a:lumOff val="40000"/>
                    </a:schemeClr>
                  </a:solidFill>
                  <a:ln>
                    <a:noFill/>
                  </a:ln>
                  <a:effectLst/>
                </c:spPr>
                <c:invertIfNegative val="0"/>
                <c:cat>
                  <c:strRef>
                    <c:extLst>
                      <c:ext xmlns:c15="http://schemas.microsoft.com/office/drawing/2012/chart" uri="{02D57815-91ED-43cb-92C2-25804820EDAC}">
                        <c15:fullRef>
                          <c15:sqref>Organe!$C$35:$C$41</c15:sqref>
                        </c15:fullRef>
                        <c15:formulaRef>
                          <c15:sqref>Organe!$C$36:$C$41</c15:sqref>
                        </c15:formulaRef>
                      </c:ext>
                    </c:extLst>
                    <c:strCache>
                      <c:ptCount val="6"/>
                      <c:pt idx="0">
                        <c:v>Kidney</c:v>
                      </c:pt>
                      <c:pt idx="1">
                        <c:v>Lung</c:v>
                      </c:pt>
                      <c:pt idx="2">
                        <c:v>Brain</c:v>
                      </c:pt>
                      <c:pt idx="3">
                        <c:v>Heart</c:v>
                      </c:pt>
                      <c:pt idx="4">
                        <c:v>Spleen</c:v>
                      </c:pt>
                      <c:pt idx="5">
                        <c:v>Breast Muscle</c:v>
                      </c:pt>
                    </c:strCache>
                  </c:strRef>
                </c:cat>
                <c:val>
                  <c:numRef>
                    <c:extLst>
                      <c:ext xmlns:c15="http://schemas.microsoft.com/office/drawing/2012/chart" uri="{02D57815-91ED-43cb-92C2-25804820EDAC}">
                        <c15:fullRef>
                          <c15:sqref>Organe!$AG$35:$AG$41</c15:sqref>
                        </c15:fullRef>
                        <c15:formulaRef>
                          <c15:sqref>Organe!$AG$36:$AG$41</c15:sqref>
                        </c15:formulaRef>
                      </c:ext>
                    </c:extLst>
                    <c:numCache>
                      <c:formatCode>0.0</c:formatCode>
                      <c:ptCount val="6"/>
                    </c:numCache>
                  </c:numRef>
                </c:val>
                <c:extLst xmlns:c15="http://schemas.microsoft.com/office/drawing/2012/chart">
                  <c:ext xmlns:c16="http://schemas.microsoft.com/office/drawing/2014/chart" uri="{C3380CC4-5D6E-409C-BE32-E72D297353CC}">
                    <c16:uniqueId val="{0000001D-23D2-47D5-B19F-081366F7B9CA}"/>
                  </c:ext>
                </c:extLst>
              </c15:ser>
            </c15:filteredBarSeries>
            <c15:filteredBarSeries>
              <c15:ser>
                <c:idx val="30"/>
                <c:order val="30"/>
                <c:tx>
                  <c:strRef>
                    <c:extLst xmlns:c15="http://schemas.microsoft.com/office/drawing/2012/chart">
                      <c:ext xmlns:c15="http://schemas.microsoft.com/office/drawing/2012/chart" uri="{02D57815-91ED-43cb-92C2-25804820EDAC}">
                        <c15:formulaRef>
                          <c15:sqref>Organe!$AH$2</c15:sqref>
                        </c15:formulaRef>
                      </c:ext>
                    </c:extLst>
                    <c:strCache>
                      <c:ptCount val="1"/>
                      <c:pt idx="0">
                        <c:v>PFPeS</c:v>
                      </c:pt>
                    </c:strCache>
                  </c:strRef>
                </c:tx>
                <c:spPr>
                  <a:solidFill>
                    <a:schemeClr val="accent1">
                      <a:lumMod val="50000"/>
                    </a:schemeClr>
                  </a:solidFill>
                  <a:ln>
                    <a:noFill/>
                  </a:ln>
                  <a:effectLst/>
                </c:spPr>
                <c:invertIfNegative val="0"/>
                <c:cat>
                  <c:strRef>
                    <c:extLst>
                      <c:ext xmlns:c15="http://schemas.microsoft.com/office/drawing/2012/chart" uri="{02D57815-91ED-43cb-92C2-25804820EDAC}">
                        <c15:fullRef>
                          <c15:sqref>Organe!$C$35:$C$41</c15:sqref>
                        </c15:fullRef>
                        <c15:formulaRef>
                          <c15:sqref>Organe!$C$36:$C$41</c15:sqref>
                        </c15:formulaRef>
                      </c:ext>
                    </c:extLst>
                    <c:strCache>
                      <c:ptCount val="6"/>
                      <c:pt idx="0">
                        <c:v>Kidney</c:v>
                      </c:pt>
                      <c:pt idx="1">
                        <c:v>Lung</c:v>
                      </c:pt>
                      <c:pt idx="2">
                        <c:v>Brain</c:v>
                      </c:pt>
                      <c:pt idx="3">
                        <c:v>Heart</c:v>
                      </c:pt>
                      <c:pt idx="4">
                        <c:v>Spleen</c:v>
                      </c:pt>
                      <c:pt idx="5">
                        <c:v>Breast Muscle</c:v>
                      </c:pt>
                    </c:strCache>
                  </c:strRef>
                </c:cat>
                <c:val>
                  <c:numRef>
                    <c:extLst>
                      <c:ext xmlns:c15="http://schemas.microsoft.com/office/drawing/2012/chart" uri="{02D57815-91ED-43cb-92C2-25804820EDAC}">
                        <c15:fullRef>
                          <c15:sqref>Organe!$AH$35:$AH$41</c15:sqref>
                        </c15:fullRef>
                        <c15:formulaRef>
                          <c15:sqref>Organe!$AH$36:$AH$41</c15:sqref>
                        </c15:formulaRef>
                      </c:ext>
                    </c:extLst>
                    <c:numCache>
                      <c:formatCode>0.0</c:formatCode>
                      <c:ptCount val="6"/>
                    </c:numCache>
                  </c:numRef>
                </c:val>
                <c:extLst xmlns:c15="http://schemas.microsoft.com/office/drawing/2012/chart">
                  <c:ext xmlns:c16="http://schemas.microsoft.com/office/drawing/2014/chart" uri="{C3380CC4-5D6E-409C-BE32-E72D297353CC}">
                    <c16:uniqueId val="{0000001E-23D2-47D5-B19F-081366F7B9CA}"/>
                  </c:ext>
                </c:extLst>
              </c15:ser>
            </c15:filteredBarSeries>
            <c15:filteredBarSeries>
              <c15:ser>
                <c:idx val="31"/>
                <c:order val="31"/>
                <c:tx>
                  <c:strRef>
                    <c:extLst xmlns:c15="http://schemas.microsoft.com/office/drawing/2012/chart">
                      <c:ext xmlns:c15="http://schemas.microsoft.com/office/drawing/2012/chart" uri="{02D57815-91ED-43cb-92C2-25804820EDAC}">
                        <c15:formulaRef>
                          <c15:sqref>Organe!$AI$2</c15:sqref>
                        </c15:formulaRef>
                      </c:ext>
                    </c:extLst>
                    <c:strCache>
                      <c:ptCount val="1"/>
                      <c:pt idx="0">
                        <c:v>PFHxS</c:v>
                      </c:pt>
                    </c:strCache>
                  </c:strRef>
                </c:tx>
                <c:spPr>
                  <a:solidFill>
                    <a:schemeClr val="accent2">
                      <a:lumMod val="50000"/>
                    </a:schemeClr>
                  </a:solidFill>
                  <a:ln>
                    <a:noFill/>
                  </a:ln>
                  <a:effectLst/>
                </c:spPr>
                <c:invertIfNegative val="0"/>
                <c:cat>
                  <c:strRef>
                    <c:extLst>
                      <c:ext xmlns:c15="http://schemas.microsoft.com/office/drawing/2012/chart" uri="{02D57815-91ED-43cb-92C2-25804820EDAC}">
                        <c15:fullRef>
                          <c15:sqref>Organe!$C$35:$C$41</c15:sqref>
                        </c15:fullRef>
                        <c15:formulaRef>
                          <c15:sqref>Organe!$C$36:$C$41</c15:sqref>
                        </c15:formulaRef>
                      </c:ext>
                    </c:extLst>
                    <c:strCache>
                      <c:ptCount val="6"/>
                      <c:pt idx="0">
                        <c:v>Kidney</c:v>
                      </c:pt>
                      <c:pt idx="1">
                        <c:v>Lung</c:v>
                      </c:pt>
                      <c:pt idx="2">
                        <c:v>Brain</c:v>
                      </c:pt>
                      <c:pt idx="3">
                        <c:v>Heart</c:v>
                      </c:pt>
                      <c:pt idx="4">
                        <c:v>Spleen</c:v>
                      </c:pt>
                      <c:pt idx="5">
                        <c:v>Breast Muscle</c:v>
                      </c:pt>
                    </c:strCache>
                  </c:strRef>
                </c:cat>
                <c:val>
                  <c:numRef>
                    <c:extLst>
                      <c:ext xmlns:c15="http://schemas.microsoft.com/office/drawing/2012/chart" uri="{02D57815-91ED-43cb-92C2-25804820EDAC}">
                        <c15:fullRef>
                          <c15:sqref>Organe!$AI$35:$AI$41</c15:sqref>
                        </c15:fullRef>
                        <c15:formulaRef>
                          <c15:sqref>Organe!$AI$36:$AI$41</c15:sqref>
                        </c15:formulaRef>
                      </c:ext>
                    </c:extLst>
                    <c:numCache>
                      <c:formatCode>0.0</c:formatCode>
                      <c:ptCount val="6"/>
                    </c:numCache>
                  </c:numRef>
                </c:val>
                <c:extLst xmlns:c15="http://schemas.microsoft.com/office/drawing/2012/chart">
                  <c:ext xmlns:c16="http://schemas.microsoft.com/office/drawing/2014/chart" uri="{C3380CC4-5D6E-409C-BE32-E72D297353CC}">
                    <c16:uniqueId val="{0000001F-23D2-47D5-B19F-081366F7B9CA}"/>
                  </c:ext>
                </c:extLst>
              </c15:ser>
            </c15:filteredBarSeries>
            <c15:filteredBarSeries>
              <c15:ser>
                <c:idx val="32"/>
                <c:order val="32"/>
                <c:tx>
                  <c:strRef>
                    <c:extLst xmlns:c15="http://schemas.microsoft.com/office/drawing/2012/chart">
                      <c:ext xmlns:c15="http://schemas.microsoft.com/office/drawing/2012/chart" uri="{02D57815-91ED-43cb-92C2-25804820EDAC}">
                        <c15:formulaRef>
                          <c15:sqref>Organe!$AJ$2</c15:sqref>
                        </c15:formulaRef>
                      </c:ext>
                    </c:extLst>
                    <c:strCache>
                      <c:ptCount val="1"/>
                      <c:pt idx="0">
                        <c:v>PFHpS</c:v>
                      </c:pt>
                    </c:strCache>
                  </c:strRef>
                </c:tx>
                <c:spPr>
                  <a:solidFill>
                    <a:schemeClr val="accent3">
                      <a:lumMod val="50000"/>
                    </a:schemeClr>
                  </a:solidFill>
                  <a:ln>
                    <a:noFill/>
                  </a:ln>
                  <a:effectLst/>
                </c:spPr>
                <c:invertIfNegative val="0"/>
                <c:cat>
                  <c:strRef>
                    <c:extLst>
                      <c:ext xmlns:c15="http://schemas.microsoft.com/office/drawing/2012/chart" uri="{02D57815-91ED-43cb-92C2-25804820EDAC}">
                        <c15:fullRef>
                          <c15:sqref>Organe!$C$35:$C$41</c15:sqref>
                        </c15:fullRef>
                        <c15:formulaRef>
                          <c15:sqref>Organe!$C$36:$C$41</c15:sqref>
                        </c15:formulaRef>
                      </c:ext>
                    </c:extLst>
                    <c:strCache>
                      <c:ptCount val="6"/>
                      <c:pt idx="0">
                        <c:v>Kidney</c:v>
                      </c:pt>
                      <c:pt idx="1">
                        <c:v>Lung</c:v>
                      </c:pt>
                      <c:pt idx="2">
                        <c:v>Brain</c:v>
                      </c:pt>
                      <c:pt idx="3">
                        <c:v>Heart</c:v>
                      </c:pt>
                      <c:pt idx="4">
                        <c:v>Spleen</c:v>
                      </c:pt>
                      <c:pt idx="5">
                        <c:v>Breast Muscle</c:v>
                      </c:pt>
                    </c:strCache>
                  </c:strRef>
                </c:cat>
                <c:val>
                  <c:numRef>
                    <c:extLst>
                      <c:ext xmlns:c15="http://schemas.microsoft.com/office/drawing/2012/chart" uri="{02D57815-91ED-43cb-92C2-25804820EDAC}">
                        <c15:fullRef>
                          <c15:sqref>Organe!$AJ$35:$AJ$41</c15:sqref>
                        </c15:fullRef>
                        <c15:formulaRef>
                          <c15:sqref>Organe!$AJ$36:$AJ$41</c15:sqref>
                        </c15:formulaRef>
                      </c:ext>
                    </c:extLst>
                    <c:numCache>
                      <c:formatCode>0.0</c:formatCode>
                      <c:ptCount val="6"/>
                    </c:numCache>
                  </c:numRef>
                </c:val>
                <c:extLst xmlns:c15="http://schemas.microsoft.com/office/drawing/2012/chart">
                  <c:ext xmlns:c16="http://schemas.microsoft.com/office/drawing/2014/chart" uri="{C3380CC4-5D6E-409C-BE32-E72D297353CC}">
                    <c16:uniqueId val="{00000020-23D2-47D5-B19F-081366F7B9CA}"/>
                  </c:ext>
                </c:extLst>
              </c15:ser>
            </c15:filteredBarSeries>
            <c15:filteredBarSeries>
              <c15:ser>
                <c:idx val="37"/>
                <c:order val="37"/>
                <c:tx>
                  <c:strRef>
                    <c:extLst xmlns:c15="http://schemas.microsoft.com/office/drawing/2012/chart">
                      <c:ext xmlns:c15="http://schemas.microsoft.com/office/drawing/2012/chart" uri="{02D57815-91ED-43cb-92C2-25804820EDAC}">
                        <c15:formulaRef>
                          <c15:sqref>Organe!$AO$2</c15:sqref>
                        </c15:formulaRef>
                      </c:ext>
                    </c:extLst>
                    <c:strCache>
                      <c:ptCount val="1"/>
                      <c:pt idx="0">
                        <c:v>PFDoDS </c:v>
                      </c:pt>
                    </c:strCache>
                  </c:strRef>
                </c:tx>
                <c:spPr>
                  <a:solidFill>
                    <a:schemeClr val="accent2">
                      <a:lumMod val="70000"/>
                      <a:lumOff val="30000"/>
                    </a:schemeClr>
                  </a:solidFill>
                  <a:ln>
                    <a:noFill/>
                  </a:ln>
                  <a:effectLst/>
                </c:spPr>
                <c:invertIfNegative val="0"/>
                <c:cat>
                  <c:strRef>
                    <c:extLst>
                      <c:ext xmlns:c15="http://schemas.microsoft.com/office/drawing/2012/chart" uri="{02D57815-91ED-43cb-92C2-25804820EDAC}">
                        <c15:fullRef>
                          <c15:sqref>Organe!$C$35:$C$41</c15:sqref>
                        </c15:fullRef>
                        <c15:formulaRef>
                          <c15:sqref>Organe!$C$36:$C$41</c15:sqref>
                        </c15:formulaRef>
                      </c:ext>
                    </c:extLst>
                    <c:strCache>
                      <c:ptCount val="6"/>
                      <c:pt idx="0">
                        <c:v>Kidney</c:v>
                      </c:pt>
                      <c:pt idx="1">
                        <c:v>Lung</c:v>
                      </c:pt>
                      <c:pt idx="2">
                        <c:v>Brain</c:v>
                      </c:pt>
                      <c:pt idx="3">
                        <c:v>Heart</c:v>
                      </c:pt>
                      <c:pt idx="4">
                        <c:v>Spleen</c:v>
                      </c:pt>
                      <c:pt idx="5">
                        <c:v>Breast Muscle</c:v>
                      </c:pt>
                    </c:strCache>
                  </c:strRef>
                </c:cat>
                <c:val>
                  <c:numRef>
                    <c:extLst>
                      <c:ext xmlns:c15="http://schemas.microsoft.com/office/drawing/2012/chart" uri="{02D57815-91ED-43cb-92C2-25804820EDAC}">
                        <c15:fullRef>
                          <c15:sqref>Organe!$AO$35:$AO$41</c15:sqref>
                        </c15:fullRef>
                        <c15:formulaRef>
                          <c15:sqref>Organe!$AO$36:$AO$41</c15:sqref>
                        </c15:formulaRef>
                      </c:ext>
                    </c:extLst>
                    <c:numCache>
                      <c:formatCode>0.0</c:formatCode>
                      <c:ptCount val="6"/>
                    </c:numCache>
                  </c:numRef>
                </c:val>
                <c:extLst xmlns:c15="http://schemas.microsoft.com/office/drawing/2012/chart">
                  <c:ext xmlns:c16="http://schemas.microsoft.com/office/drawing/2014/chart" uri="{C3380CC4-5D6E-409C-BE32-E72D297353CC}">
                    <c16:uniqueId val="{00000025-23D2-47D5-B19F-081366F7B9CA}"/>
                  </c:ext>
                </c:extLst>
              </c15:ser>
            </c15:filteredBarSeries>
            <c15:filteredBarSeries>
              <c15:ser>
                <c:idx val="38"/>
                <c:order val="38"/>
                <c:tx>
                  <c:strRef>
                    <c:extLst xmlns:c15="http://schemas.microsoft.com/office/drawing/2012/chart">
                      <c:ext xmlns:c15="http://schemas.microsoft.com/office/drawing/2012/chart" uri="{02D57815-91ED-43cb-92C2-25804820EDAC}">
                        <c15:formulaRef>
                          <c15:sqref>Organe!$AP$2</c15:sqref>
                        </c15:formulaRef>
                      </c:ext>
                    </c:extLst>
                    <c:strCache>
                      <c:ptCount val="1"/>
                      <c:pt idx="0">
                        <c:v>PFTrDS </c:v>
                      </c:pt>
                    </c:strCache>
                  </c:strRef>
                </c:tx>
                <c:spPr>
                  <a:solidFill>
                    <a:schemeClr val="accent3">
                      <a:lumMod val="70000"/>
                      <a:lumOff val="30000"/>
                    </a:schemeClr>
                  </a:solidFill>
                  <a:ln>
                    <a:noFill/>
                  </a:ln>
                  <a:effectLst/>
                </c:spPr>
                <c:invertIfNegative val="0"/>
                <c:cat>
                  <c:strRef>
                    <c:extLst>
                      <c:ext xmlns:c15="http://schemas.microsoft.com/office/drawing/2012/chart" uri="{02D57815-91ED-43cb-92C2-25804820EDAC}">
                        <c15:fullRef>
                          <c15:sqref>Organe!$C$35:$C$41</c15:sqref>
                        </c15:fullRef>
                        <c15:formulaRef>
                          <c15:sqref>Organe!$C$36:$C$41</c15:sqref>
                        </c15:formulaRef>
                      </c:ext>
                    </c:extLst>
                    <c:strCache>
                      <c:ptCount val="6"/>
                      <c:pt idx="0">
                        <c:v>Kidney</c:v>
                      </c:pt>
                      <c:pt idx="1">
                        <c:v>Lung</c:v>
                      </c:pt>
                      <c:pt idx="2">
                        <c:v>Brain</c:v>
                      </c:pt>
                      <c:pt idx="3">
                        <c:v>Heart</c:v>
                      </c:pt>
                      <c:pt idx="4">
                        <c:v>Spleen</c:v>
                      </c:pt>
                      <c:pt idx="5">
                        <c:v>Breast Muscle</c:v>
                      </c:pt>
                    </c:strCache>
                  </c:strRef>
                </c:cat>
                <c:val>
                  <c:numRef>
                    <c:extLst>
                      <c:ext xmlns:c15="http://schemas.microsoft.com/office/drawing/2012/chart" uri="{02D57815-91ED-43cb-92C2-25804820EDAC}">
                        <c15:fullRef>
                          <c15:sqref>Organe!$AP$35:$AP$41</c15:sqref>
                        </c15:fullRef>
                        <c15:formulaRef>
                          <c15:sqref>Organe!$AP$36:$AP$41</c15:sqref>
                        </c15:formulaRef>
                      </c:ext>
                    </c:extLst>
                    <c:numCache>
                      <c:formatCode>0.0</c:formatCode>
                      <c:ptCount val="6"/>
                    </c:numCache>
                  </c:numRef>
                </c:val>
                <c:extLst xmlns:c15="http://schemas.microsoft.com/office/drawing/2012/chart">
                  <c:ext xmlns:c16="http://schemas.microsoft.com/office/drawing/2014/chart" uri="{C3380CC4-5D6E-409C-BE32-E72D297353CC}">
                    <c16:uniqueId val="{00000026-23D2-47D5-B19F-081366F7B9CA}"/>
                  </c:ext>
                </c:extLst>
              </c15:ser>
            </c15:filteredBarSeries>
          </c:ext>
        </c:extLst>
      </c:barChart>
      <c:catAx>
        <c:axId val="2073931023"/>
        <c:scaling>
          <c:orientation val="minMax"/>
        </c:scaling>
        <c:delete val="0"/>
        <c:axPos val="b"/>
        <c:numFmt formatCode="General" sourceLinked="1"/>
        <c:majorTickMark val="none"/>
        <c:minorTickMark val="none"/>
        <c:tickLblPos val="nextTo"/>
        <c:spPr>
          <a:noFill/>
          <a:ln w="9525" cap="flat" cmpd="sng" algn="ctr">
            <a:solidFill>
              <a:schemeClr val="tx2"/>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2073928527"/>
        <c:crosses val="autoZero"/>
        <c:auto val="1"/>
        <c:lblAlgn val="ctr"/>
        <c:lblOffset val="100"/>
        <c:noMultiLvlLbl val="0"/>
      </c:catAx>
      <c:valAx>
        <c:axId val="2073928527"/>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2073931023"/>
        <c:crosses val="autoZero"/>
        <c:crossBetween val="between"/>
      </c:valAx>
      <c:spPr>
        <a:noFill/>
        <a:ln>
          <a:solidFill>
            <a:schemeClr val="tx1"/>
          </a:solidFill>
        </a:ln>
        <a:effectLst/>
      </c:spPr>
    </c:plotArea>
    <c:legend>
      <c:legendPos val="r"/>
      <c:legendEntry>
        <c:idx val="0"/>
        <c:delete val="1"/>
      </c:legendEntry>
      <c:legendEntry>
        <c:idx val="1"/>
        <c:delete val="1"/>
      </c:legendEntry>
      <c:legendEntry>
        <c:idx val="2"/>
        <c:delete val="1"/>
      </c:legendEntry>
      <c:legendEntry>
        <c:idx val="3"/>
        <c:delete val="1"/>
      </c:legendEntry>
      <c:layout>
        <c:manualLayout>
          <c:xMode val="edge"/>
          <c:yMode val="edge"/>
          <c:x val="0.8899539425387919"/>
          <c:y val="0.47330786139996328"/>
          <c:w val="8.8538668648925969E-2"/>
          <c:h val="0.37877764319846385"/>
        </c:manualLayout>
      </c:layout>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8740157499999996" l="0.7" r="0.7" t="0.78740157499999996" header="0.3" footer="0.3"/>
    <c:pageSetup/>
  </c:printSettings>
  <c:userShapes r:id="rId3"/>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Organe!$C$70</c:f>
              <c:strCache>
                <c:ptCount val="1"/>
                <c:pt idx="0">
                  <c:v>Herz</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Organe!$D$1:$AP$2</c15:sqref>
                  </c15:fullRef>
                </c:ext>
              </c:extLst>
              <c:f>(Organe!$H$1:$H$2,Organe!$J$1:$J$2,Organe!$S$1:$AP$2)</c:f>
              <c:multiLvlStrCache>
                <c:ptCount val="11"/>
                <c:lvl>
                  <c:pt idx="0">
                    <c:v>PFOA </c:v>
                  </c:pt>
                  <c:pt idx="1">
                    <c:v>PFDA </c:v>
                  </c:pt>
                  <c:pt idx="2">
                    <c:v>PFOS </c:v>
                  </c:pt>
                  <c:pt idx="3">
                    <c:v>PFNS </c:v>
                  </c:pt>
                  <c:pt idx="4">
                    <c:v>PFDS </c:v>
                  </c:pt>
                  <c:pt idx="5">
                    <c:v>PFUnDS </c:v>
                  </c:pt>
                  <c:pt idx="6">
                    <c:v>PFDoDS </c:v>
                  </c:pt>
                  <c:pt idx="7">
                    <c:v>PFTrDS </c:v>
                  </c:pt>
                  <c:pt idx="8">
                    <c:v>PFOS </c:v>
                  </c:pt>
                  <c:pt idx="9">
                    <c:v>PFNS </c:v>
                  </c:pt>
                  <c:pt idx="10">
                    <c:v>PFDS </c:v>
                  </c:pt>
                </c:lvl>
                <c:lvl/>
              </c:multiLvlStrCache>
            </c:multiLvlStrRef>
          </c:cat>
          <c:val>
            <c:numRef>
              <c:extLst>
                <c:ext xmlns:c15="http://schemas.microsoft.com/office/drawing/2012/chart" uri="{02D57815-91ED-43cb-92C2-25804820EDAC}">
                  <c15:fullRef>
                    <c15:sqref>Organe!$D$70:$AP$70</c15:sqref>
                  </c15:fullRef>
                </c:ext>
              </c:extLst>
              <c:f>(Organe!$H$70,Organe!$J$70,Organe!$S$70:$X$70,Organe!$AK$70:$AM$70)</c:f>
              <c:numCache>
                <c:formatCode>General</c:formatCode>
                <c:ptCount val="11"/>
                <c:pt idx="0">
                  <c:v>0</c:v>
                </c:pt>
                <c:pt idx="1">
                  <c:v>0</c:v>
                </c:pt>
                <c:pt idx="2">
                  <c:v>4.5584368046503211E-2</c:v>
                </c:pt>
                <c:pt idx="3">
                  <c:v>8.7112235484213593E-3</c:v>
                </c:pt>
                <c:pt idx="4">
                  <c:v>1.2073602870940191E-3</c:v>
                </c:pt>
                <c:pt idx="5">
                  <c:v>0</c:v>
                </c:pt>
                <c:pt idx="6">
                  <c:v>0</c:v>
                </c:pt>
                <c:pt idx="7">
                  <c:v>0</c:v>
                </c:pt>
                <c:pt idx="8">
                  <c:v>7.1945313115167567E-2</c:v>
                </c:pt>
                <c:pt idx="9">
                  <c:v>1.9413517250496844E-2</c:v>
                </c:pt>
                <c:pt idx="10">
                  <c:v>3.4220964457846886E-3</c:v>
                </c:pt>
              </c:numCache>
            </c:numRef>
          </c:val>
          <c:extLst>
            <c:ext xmlns:c16="http://schemas.microsoft.com/office/drawing/2014/chart" uri="{C3380CC4-5D6E-409C-BE32-E72D297353CC}">
              <c16:uniqueId val="{00000000-88AD-4711-A3CB-CC1984B5DC06}"/>
            </c:ext>
          </c:extLst>
        </c:ser>
        <c:ser>
          <c:idx val="1"/>
          <c:order val="1"/>
          <c:tx>
            <c:strRef>
              <c:f>Organe!$C$71</c:f>
              <c:strCache>
                <c:ptCount val="1"/>
                <c:pt idx="0">
                  <c:v>Hirn</c:v>
                </c:pt>
              </c:strCache>
            </c:strRef>
          </c:tx>
          <c:spPr>
            <a:solidFill>
              <a:schemeClr val="accent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Organe!$D$1:$AP$2</c15:sqref>
                  </c15:fullRef>
                </c:ext>
              </c:extLst>
              <c:f>(Organe!$H$1:$H$2,Organe!$J$1:$J$2,Organe!$S$1:$AP$2)</c:f>
              <c:multiLvlStrCache>
                <c:ptCount val="11"/>
                <c:lvl>
                  <c:pt idx="0">
                    <c:v>PFOA </c:v>
                  </c:pt>
                  <c:pt idx="1">
                    <c:v>PFDA </c:v>
                  </c:pt>
                  <c:pt idx="2">
                    <c:v>PFOS </c:v>
                  </c:pt>
                  <c:pt idx="3">
                    <c:v>PFNS </c:v>
                  </c:pt>
                  <c:pt idx="4">
                    <c:v>PFDS </c:v>
                  </c:pt>
                  <c:pt idx="5">
                    <c:v>PFUnDS </c:v>
                  </c:pt>
                  <c:pt idx="6">
                    <c:v>PFDoDS </c:v>
                  </c:pt>
                  <c:pt idx="7">
                    <c:v>PFTrDS </c:v>
                  </c:pt>
                  <c:pt idx="8">
                    <c:v>PFOS </c:v>
                  </c:pt>
                  <c:pt idx="9">
                    <c:v>PFNS </c:v>
                  </c:pt>
                  <c:pt idx="10">
                    <c:v>PFDS </c:v>
                  </c:pt>
                </c:lvl>
                <c:lvl/>
              </c:multiLvlStrCache>
            </c:multiLvlStrRef>
          </c:cat>
          <c:val>
            <c:numRef>
              <c:extLst>
                <c:ext xmlns:c15="http://schemas.microsoft.com/office/drawing/2012/chart" uri="{02D57815-91ED-43cb-92C2-25804820EDAC}">
                  <c15:fullRef>
                    <c15:sqref>Organe!$D$71:$AP$71</c15:sqref>
                  </c15:fullRef>
                </c:ext>
              </c:extLst>
              <c:f>(Organe!$H$71,Organe!$J$71,Organe!$S$71:$X$71,Organe!$AK$71:$AM$71)</c:f>
              <c:numCache>
                <c:formatCode>General</c:formatCode>
                <c:ptCount val="11"/>
                <c:pt idx="0">
                  <c:v>1.1378405174255745E-2</c:v>
                </c:pt>
                <c:pt idx="1">
                  <c:v>0</c:v>
                </c:pt>
                <c:pt idx="2">
                  <c:v>7.3117500132910242E-3</c:v>
                </c:pt>
                <c:pt idx="3">
                  <c:v>3.396471996609432E-3</c:v>
                </c:pt>
                <c:pt idx="4">
                  <c:v>3.1679182280786311E-3</c:v>
                </c:pt>
                <c:pt idx="5">
                  <c:v>8.3153779249058729E-3</c:v>
                </c:pt>
                <c:pt idx="6">
                  <c:v>1.4918180098019712E-2</c:v>
                </c:pt>
                <c:pt idx="7">
                  <c:v>8.1475923573628845E-3</c:v>
                </c:pt>
                <c:pt idx="8">
                  <c:v>2.92611647815184E-3</c:v>
                </c:pt>
                <c:pt idx="9">
                  <c:v>1.600066593650365E-3</c:v>
                </c:pt>
                <c:pt idx="10">
                  <c:v>0</c:v>
                </c:pt>
              </c:numCache>
            </c:numRef>
          </c:val>
          <c:extLst>
            <c:ext xmlns:c16="http://schemas.microsoft.com/office/drawing/2014/chart" uri="{C3380CC4-5D6E-409C-BE32-E72D297353CC}">
              <c16:uniqueId val="{00000001-88AD-4711-A3CB-CC1984B5DC06}"/>
            </c:ext>
          </c:extLst>
        </c:ser>
        <c:ser>
          <c:idx val="2"/>
          <c:order val="2"/>
          <c:tx>
            <c:strRef>
              <c:f>Organe!$C$72</c:f>
              <c:strCache>
                <c:ptCount val="1"/>
                <c:pt idx="0">
                  <c:v>Leber</c:v>
                </c:pt>
              </c:strCache>
            </c:strRef>
          </c:tx>
          <c:spPr>
            <a:solidFill>
              <a:schemeClr val="accent3"/>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Organe!$D$1:$AP$2</c15:sqref>
                  </c15:fullRef>
                </c:ext>
              </c:extLst>
              <c:f>(Organe!$H$1:$H$2,Organe!$J$1:$J$2,Organe!$S$1:$AP$2)</c:f>
              <c:multiLvlStrCache>
                <c:ptCount val="11"/>
                <c:lvl>
                  <c:pt idx="0">
                    <c:v>PFOA </c:v>
                  </c:pt>
                  <c:pt idx="1">
                    <c:v>PFDA </c:v>
                  </c:pt>
                  <c:pt idx="2">
                    <c:v>PFOS </c:v>
                  </c:pt>
                  <c:pt idx="3">
                    <c:v>PFNS </c:v>
                  </c:pt>
                  <c:pt idx="4">
                    <c:v>PFDS </c:v>
                  </c:pt>
                  <c:pt idx="5">
                    <c:v>PFUnDS </c:v>
                  </c:pt>
                  <c:pt idx="6">
                    <c:v>PFDoDS </c:v>
                  </c:pt>
                  <c:pt idx="7">
                    <c:v>PFTrDS </c:v>
                  </c:pt>
                  <c:pt idx="8">
                    <c:v>PFOS </c:v>
                  </c:pt>
                  <c:pt idx="9">
                    <c:v>PFNS </c:v>
                  </c:pt>
                  <c:pt idx="10">
                    <c:v>PFDS </c:v>
                  </c:pt>
                </c:lvl>
                <c:lvl/>
              </c:multiLvlStrCache>
            </c:multiLvlStrRef>
          </c:cat>
          <c:val>
            <c:numRef>
              <c:extLst>
                <c:ext xmlns:c15="http://schemas.microsoft.com/office/drawing/2012/chart" uri="{02D57815-91ED-43cb-92C2-25804820EDAC}">
                  <c15:fullRef>
                    <c15:sqref>Organe!$D$72:$AP$72</c15:sqref>
                  </c15:fullRef>
                </c:ext>
              </c:extLst>
              <c:f>(Organe!$H$72,Organe!$J$72,Organe!$S$72:$X$72,Organe!$AK$72:$AM$72)</c:f>
              <c:numCache>
                <c:formatCode>General</c:formatCode>
                <c:ptCount val="11"/>
                <c:pt idx="0">
                  <c:v>0</c:v>
                </c:pt>
                <c:pt idx="1">
                  <c:v>0.60271410076088827</c:v>
                </c:pt>
                <c:pt idx="2">
                  <c:v>1.4099327723163029</c:v>
                </c:pt>
                <c:pt idx="3">
                  <c:v>0.30333741042477441</c:v>
                </c:pt>
                <c:pt idx="4">
                  <c:v>5.4502159298407737E-2</c:v>
                </c:pt>
                <c:pt idx="5">
                  <c:v>0</c:v>
                </c:pt>
                <c:pt idx="6">
                  <c:v>0</c:v>
                </c:pt>
                <c:pt idx="7">
                  <c:v>0</c:v>
                </c:pt>
                <c:pt idx="8">
                  <c:v>2.2171288224646837</c:v>
                </c:pt>
                <c:pt idx="9">
                  <c:v>0.78056359644000761</c:v>
                </c:pt>
                <c:pt idx="10">
                  <c:v>0.17298451965802789</c:v>
                </c:pt>
              </c:numCache>
            </c:numRef>
          </c:val>
          <c:extLst>
            <c:ext xmlns:c16="http://schemas.microsoft.com/office/drawing/2014/chart" uri="{C3380CC4-5D6E-409C-BE32-E72D297353CC}">
              <c16:uniqueId val="{00000002-88AD-4711-A3CB-CC1984B5DC06}"/>
            </c:ext>
          </c:extLst>
        </c:ser>
        <c:ser>
          <c:idx val="3"/>
          <c:order val="3"/>
          <c:tx>
            <c:strRef>
              <c:f>Organe!$C$73</c:f>
              <c:strCache>
                <c:ptCount val="1"/>
                <c:pt idx="0">
                  <c:v>Lunge</c:v>
                </c:pt>
              </c:strCache>
            </c:strRef>
          </c:tx>
          <c:spPr>
            <a:solidFill>
              <a:schemeClr val="accent4"/>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Organe!$D$1:$AP$2</c15:sqref>
                  </c15:fullRef>
                </c:ext>
              </c:extLst>
              <c:f>(Organe!$H$1:$H$2,Organe!$J$1:$J$2,Organe!$S$1:$AP$2)</c:f>
              <c:multiLvlStrCache>
                <c:ptCount val="11"/>
                <c:lvl>
                  <c:pt idx="0">
                    <c:v>PFOA </c:v>
                  </c:pt>
                  <c:pt idx="1">
                    <c:v>PFDA </c:v>
                  </c:pt>
                  <c:pt idx="2">
                    <c:v>PFOS </c:v>
                  </c:pt>
                  <c:pt idx="3">
                    <c:v>PFNS </c:v>
                  </c:pt>
                  <c:pt idx="4">
                    <c:v>PFDS </c:v>
                  </c:pt>
                  <c:pt idx="5">
                    <c:v>PFUnDS </c:v>
                  </c:pt>
                  <c:pt idx="6">
                    <c:v>PFDoDS </c:v>
                  </c:pt>
                  <c:pt idx="7">
                    <c:v>PFTrDS </c:v>
                  </c:pt>
                  <c:pt idx="8">
                    <c:v>PFOS </c:v>
                  </c:pt>
                  <c:pt idx="9">
                    <c:v>PFNS </c:v>
                  </c:pt>
                  <c:pt idx="10">
                    <c:v>PFDS </c:v>
                  </c:pt>
                </c:lvl>
                <c:lvl/>
              </c:multiLvlStrCache>
            </c:multiLvlStrRef>
          </c:cat>
          <c:val>
            <c:numRef>
              <c:extLst>
                <c:ext xmlns:c15="http://schemas.microsoft.com/office/drawing/2012/chart" uri="{02D57815-91ED-43cb-92C2-25804820EDAC}">
                  <c15:fullRef>
                    <c15:sqref>Organe!$D$73:$AP$73</c15:sqref>
                  </c15:fullRef>
                </c:ext>
              </c:extLst>
              <c:f>(Organe!$H$73,Organe!$J$73,Organe!$S$73:$X$73,Organe!$AK$73:$AM$73)</c:f>
              <c:numCache>
                <c:formatCode>General</c:formatCode>
                <c:ptCount val="11"/>
                <c:pt idx="0">
                  <c:v>0</c:v>
                </c:pt>
                <c:pt idx="1">
                  <c:v>0</c:v>
                </c:pt>
                <c:pt idx="2">
                  <c:v>6.9356962062842906E-2</c:v>
                </c:pt>
                <c:pt idx="3">
                  <c:v>2.3349231528703787E-2</c:v>
                </c:pt>
                <c:pt idx="4">
                  <c:v>5.1404729976268207E-3</c:v>
                </c:pt>
                <c:pt idx="5">
                  <c:v>0</c:v>
                </c:pt>
                <c:pt idx="6">
                  <c:v>0</c:v>
                </c:pt>
                <c:pt idx="7">
                  <c:v>0</c:v>
                </c:pt>
                <c:pt idx="8">
                  <c:v>0.10126913109332357</c:v>
                </c:pt>
                <c:pt idx="9">
                  <c:v>3.5412257120194413E-2</c:v>
                </c:pt>
                <c:pt idx="10">
                  <c:v>6.2963057158315011E-3</c:v>
                </c:pt>
              </c:numCache>
            </c:numRef>
          </c:val>
          <c:extLst>
            <c:ext xmlns:c16="http://schemas.microsoft.com/office/drawing/2014/chart" uri="{C3380CC4-5D6E-409C-BE32-E72D297353CC}">
              <c16:uniqueId val="{00000003-88AD-4711-A3CB-CC1984B5DC06}"/>
            </c:ext>
          </c:extLst>
        </c:ser>
        <c:ser>
          <c:idx val="4"/>
          <c:order val="4"/>
          <c:tx>
            <c:strRef>
              <c:f>Organe!$C$74</c:f>
              <c:strCache>
                <c:ptCount val="1"/>
                <c:pt idx="0">
                  <c:v>Milz</c:v>
                </c:pt>
              </c:strCache>
            </c:strRef>
          </c:tx>
          <c:spPr>
            <a:solidFill>
              <a:schemeClr val="accent5"/>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Organe!$D$1:$AP$2</c15:sqref>
                  </c15:fullRef>
                </c:ext>
              </c:extLst>
              <c:f>(Organe!$H$1:$H$2,Organe!$J$1:$J$2,Organe!$S$1:$AP$2)</c:f>
              <c:multiLvlStrCache>
                <c:ptCount val="11"/>
                <c:lvl>
                  <c:pt idx="0">
                    <c:v>PFOA </c:v>
                  </c:pt>
                  <c:pt idx="1">
                    <c:v>PFDA </c:v>
                  </c:pt>
                  <c:pt idx="2">
                    <c:v>PFOS </c:v>
                  </c:pt>
                  <c:pt idx="3">
                    <c:v>PFNS </c:v>
                  </c:pt>
                  <c:pt idx="4">
                    <c:v>PFDS </c:v>
                  </c:pt>
                  <c:pt idx="5">
                    <c:v>PFUnDS </c:v>
                  </c:pt>
                  <c:pt idx="6">
                    <c:v>PFDoDS </c:v>
                  </c:pt>
                  <c:pt idx="7">
                    <c:v>PFTrDS </c:v>
                  </c:pt>
                  <c:pt idx="8">
                    <c:v>PFOS </c:v>
                  </c:pt>
                  <c:pt idx="9">
                    <c:v>PFNS </c:v>
                  </c:pt>
                  <c:pt idx="10">
                    <c:v>PFDS </c:v>
                  </c:pt>
                </c:lvl>
                <c:lvl/>
              </c:multiLvlStrCache>
            </c:multiLvlStrRef>
          </c:cat>
          <c:val>
            <c:numRef>
              <c:extLst>
                <c:ext xmlns:c15="http://schemas.microsoft.com/office/drawing/2012/chart" uri="{02D57815-91ED-43cb-92C2-25804820EDAC}">
                  <c15:fullRef>
                    <c15:sqref>Organe!$D$74:$AP$74</c15:sqref>
                  </c15:fullRef>
                </c:ext>
              </c:extLst>
              <c:f>(Organe!$H$74,Organe!$J$74,Organe!$S$74:$X$74,Organe!$AK$74:$AM$74)</c:f>
              <c:numCache>
                <c:formatCode>General</c:formatCode>
                <c:ptCount val="11"/>
                <c:pt idx="0">
                  <c:v>0</c:v>
                </c:pt>
                <c:pt idx="1">
                  <c:v>0</c:v>
                </c:pt>
                <c:pt idx="2">
                  <c:v>1.0546181110836413E-2</c:v>
                </c:pt>
                <c:pt idx="3">
                  <c:v>2.8364841147746206E-3</c:v>
                </c:pt>
                <c:pt idx="4">
                  <c:v>6.2063244940340802E-4</c:v>
                </c:pt>
                <c:pt idx="5">
                  <c:v>0</c:v>
                </c:pt>
                <c:pt idx="6">
                  <c:v>0</c:v>
                </c:pt>
                <c:pt idx="7">
                  <c:v>0</c:v>
                </c:pt>
                <c:pt idx="8">
                  <c:v>7.6576864856673426E-3</c:v>
                </c:pt>
                <c:pt idx="9">
                  <c:v>2.8267483835760858E-3</c:v>
                </c:pt>
                <c:pt idx="10">
                  <c:v>2.11509383448997E-4</c:v>
                </c:pt>
              </c:numCache>
            </c:numRef>
          </c:val>
          <c:extLst>
            <c:ext xmlns:c16="http://schemas.microsoft.com/office/drawing/2014/chart" uri="{C3380CC4-5D6E-409C-BE32-E72D297353CC}">
              <c16:uniqueId val="{00000004-88AD-4711-A3CB-CC1984B5DC06}"/>
            </c:ext>
          </c:extLst>
        </c:ser>
        <c:ser>
          <c:idx val="5"/>
          <c:order val="5"/>
          <c:tx>
            <c:strRef>
              <c:f>Organe!$C$75</c:f>
              <c:strCache>
                <c:ptCount val="1"/>
                <c:pt idx="0">
                  <c:v>Muskel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Organe!$D$1:$AP$2</c15:sqref>
                  </c15:fullRef>
                </c:ext>
              </c:extLst>
              <c:f>(Organe!$H$1:$H$2,Organe!$J$1:$J$2,Organe!$S$1:$AP$2)</c:f>
              <c:multiLvlStrCache>
                <c:ptCount val="11"/>
                <c:lvl>
                  <c:pt idx="0">
                    <c:v>PFOA </c:v>
                  </c:pt>
                  <c:pt idx="1">
                    <c:v>PFDA </c:v>
                  </c:pt>
                  <c:pt idx="2">
                    <c:v>PFOS </c:v>
                  </c:pt>
                  <c:pt idx="3">
                    <c:v>PFNS </c:v>
                  </c:pt>
                  <c:pt idx="4">
                    <c:v>PFDS </c:v>
                  </c:pt>
                  <c:pt idx="5">
                    <c:v>PFUnDS </c:v>
                  </c:pt>
                  <c:pt idx="6">
                    <c:v>PFDoDS </c:v>
                  </c:pt>
                  <c:pt idx="7">
                    <c:v>PFTrDS </c:v>
                  </c:pt>
                  <c:pt idx="8">
                    <c:v>PFOS </c:v>
                  </c:pt>
                  <c:pt idx="9">
                    <c:v>PFNS </c:v>
                  </c:pt>
                  <c:pt idx="10">
                    <c:v>PFDS </c:v>
                  </c:pt>
                </c:lvl>
                <c:lvl/>
              </c:multiLvlStrCache>
            </c:multiLvlStrRef>
          </c:cat>
          <c:val>
            <c:numRef>
              <c:extLst>
                <c:ext xmlns:c15="http://schemas.microsoft.com/office/drawing/2012/chart" uri="{02D57815-91ED-43cb-92C2-25804820EDAC}">
                  <c15:fullRef>
                    <c15:sqref>Organe!$D$75:$AP$75</c15:sqref>
                  </c15:fullRef>
                </c:ext>
              </c:extLst>
              <c:f>(Organe!$H$75,Organe!$J$75,Organe!$S$75:$X$75,Organe!$AK$75:$AM$75)</c:f>
              <c:numCache>
                <c:formatCode>General</c:formatCode>
                <c:ptCount val="11"/>
              </c:numCache>
            </c:numRef>
          </c:val>
          <c:extLst>
            <c:ext xmlns:c16="http://schemas.microsoft.com/office/drawing/2014/chart" uri="{C3380CC4-5D6E-409C-BE32-E72D297353CC}">
              <c16:uniqueId val="{00000005-88AD-4711-A3CB-CC1984B5DC06}"/>
            </c:ext>
          </c:extLst>
        </c:ser>
        <c:ser>
          <c:idx val="6"/>
          <c:order val="6"/>
          <c:tx>
            <c:strRef>
              <c:f>Organe!$C$76</c:f>
              <c:strCache>
                <c:ptCount val="1"/>
                <c:pt idx="0">
                  <c:v>Niere</c:v>
                </c:pt>
              </c:strCache>
            </c:strRef>
          </c:tx>
          <c:spPr>
            <a:solidFill>
              <a:schemeClr val="accent1">
                <a:lumMod val="60000"/>
              </a:schemeClr>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Organe!$D$1:$AP$2</c15:sqref>
                  </c15:fullRef>
                </c:ext>
              </c:extLst>
              <c:f>(Organe!$H$1:$H$2,Organe!$J$1:$J$2,Organe!$S$1:$AP$2)</c:f>
              <c:multiLvlStrCache>
                <c:ptCount val="11"/>
                <c:lvl>
                  <c:pt idx="0">
                    <c:v>PFOA </c:v>
                  </c:pt>
                  <c:pt idx="1">
                    <c:v>PFDA </c:v>
                  </c:pt>
                  <c:pt idx="2">
                    <c:v>PFOS </c:v>
                  </c:pt>
                  <c:pt idx="3">
                    <c:v>PFNS </c:v>
                  </c:pt>
                  <c:pt idx="4">
                    <c:v>PFDS </c:v>
                  </c:pt>
                  <c:pt idx="5">
                    <c:v>PFUnDS </c:v>
                  </c:pt>
                  <c:pt idx="6">
                    <c:v>PFDoDS </c:v>
                  </c:pt>
                  <c:pt idx="7">
                    <c:v>PFTrDS </c:v>
                  </c:pt>
                  <c:pt idx="8">
                    <c:v>PFOS </c:v>
                  </c:pt>
                  <c:pt idx="9">
                    <c:v>PFNS </c:v>
                  </c:pt>
                  <c:pt idx="10">
                    <c:v>PFDS </c:v>
                  </c:pt>
                </c:lvl>
                <c:lvl/>
              </c:multiLvlStrCache>
            </c:multiLvlStrRef>
          </c:cat>
          <c:val>
            <c:numRef>
              <c:extLst>
                <c:ext xmlns:c15="http://schemas.microsoft.com/office/drawing/2012/chart" uri="{02D57815-91ED-43cb-92C2-25804820EDAC}">
                  <c15:fullRef>
                    <c15:sqref>Organe!$D$76:$AP$76</c15:sqref>
                  </c15:fullRef>
                </c:ext>
              </c:extLst>
              <c:f>(Organe!$H$76,Organe!$J$76,Organe!$S$76:$X$76,Organe!$AK$76:$AM$76)</c:f>
              <c:numCache>
                <c:formatCode>General</c:formatCode>
                <c:ptCount val="11"/>
                <c:pt idx="0">
                  <c:v>0</c:v>
                </c:pt>
                <c:pt idx="1">
                  <c:v>0</c:v>
                </c:pt>
                <c:pt idx="2">
                  <c:v>3.6285965698819096E-2</c:v>
                </c:pt>
                <c:pt idx="3">
                  <c:v>7.1306157122903351E-3</c:v>
                </c:pt>
                <c:pt idx="4">
                  <c:v>1.0907691218902578E-3</c:v>
                </c:pt>
                <c:pt idx="5">
                  <c:v>0</c:v>
                </c:pt>
                <c:pt idx="6">
                  <c:v>0</c:v>
                </c:pt>
                <c:pt idx="7">
                  <c:v>0</c:v>
                </c:pt>
                <c:pt idx="8">
                  <c:v>4.544210926396941E-2</c:v>
                </c:pt>
                <c:pt idx="9">
                  <c:v>1.1237746049683577E-2</c:v>
                </c:pt>
                <c:pt idx="10">
                  <c:v>1.4588718699131429E-3</c:v>
                </c:pt>
              </c:numCache>
            </c:numRef>
          </c:val>
          <c:extLst>
            <c:ext xmlns:c16="http://schemas.microsoft.com/office/drawing/2014/chart" uri="{C3380CC4-5D6E-409C-BE32-E72D297353CC}">
              <c16:uniqueId val="{00000006-88AD-4711-A3CB-CC1984B5DC06}"/>
            </c:ext>
          </c:extLst>
        </c:ser>
        <c:dLbls>
          <c:dLblPos val="outEnd"/>
          <c:showLegendKey val="0"/>
          <c:showVal val="1"/>
          <c:showCatName val="0"/>
          <c:showSerName val="0"/>
          <c:showPercent val="0"/>
          <c:showBubbleSize val="0"/>
        </c:dLbls>
        <c:gapWidth val="150"/>
        <c:axId val="250446447"/>
        <c:axId val="250446863"/>
      </c:barChart>
      <c:catAx>
        <c:axId val="250446447"/>
        <c:scaling>
          <c:orientation val="minMax"/>
        </c:scaling>
        <c:delete val="0"/>
        <c:axPos val="b"/>
        <c:numFmt formatCode="General" sourceLinked="1"/>
        <c:majorTickMark val="out"/>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250446863"/>
        <c:crosses val="autoZero"/>
        <c:auto val="1"/>
        <c:lblAlgn val="ctr"/>
        <c:lblOffset val="100"/>
        <c:noMultiLvlLbl val="0"/>
      </c:catAx>
      <c:valAx>
        <c:axId val="250446863"/>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a:t>Transfer rate (%)</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numFmt formatCode="#,##0.0" sourceLinked="0"/>
        <c:majorTickMark val="out"/>
        <c:minorTickMark val="none"/>
        <c:tickLblPos val="nextTo"/>
        <c:spPr>
          <a:noFill/>
          <a:ln>
            <a:solidFill>
              <a:sysClr val="windowText" lastClr="000000"/>
            </a:solid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250446447"/>
        <c:crosses val="autoZero"/>
        <c:crossBetween val="between"/>
      </c:valAx>
      <c:spPr>
        <a:noFill/>
        <a:ln>
          <a:solidFill>
            <a:sysClr val="windowText" lastClr="000000"/>
          </a:solid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200">
          <a:latin typeface="Times New Roman" panose="02020603050405020304" pitchFamily="18" charset="0"/>
          <a:cs typeface="Times New Roman" panose="02020603050405020304" pitchFamily="18" charset="0"/>
        </a:defRPr>
      </a:pPr>
      <a:endParaRPr lang="en-US"/>
    </a:p>
  </c:txPr>
  <c:printSettings>
    <c:headerFooter/>
    <c:pageMargins b="0.78740157499999996" l="0.7" r="0.7" t="0.78740157499999996"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layout>
                <c:manualLayout>
                  <c:x val="8.2563429571303592E-3"/>
                  <c:y val="-0.1743095654709827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Kot!$D$31:$D$32</c:f>
              <c:numCache>
                <c:formatCode>General</c:formatCode>
                <c:ptCount val="2"/>
                <c:pt idx="0">
                  <c:v>1</c:v>
                </c:pt>
                <c:pt idx="1">
                  <c:v>5</c:v>
                </c:pt>
              </c:numCache>
            </c:numRef>
          </c:xVal>
          <c:yVal>
            <c:numRef>
              <c:f>Kot!$AP$31:$AP$32</c:f>
              <c:numCache>
                <c:formatCode>General</c:formatCode>
                <c:ptCount val="2"/>
                <c:pt idx="0">
                  <c:v>2.5649493574615367</c:v>
                </c:pt>
                <c:pt idx="1">
                  <c:v>0.43825493093115531</c:v>
                </c:pt>
              </c:numCache>
            </c:numRef>
          </c:yVal>
          <c:smooth val="0"/>
          <c:extLst>
            <c:ext xmlns:c16="http://schemas.microsoft.com/office/drawing/2014/chart" uri="{C3380CC4-5D6E-409C-BE32-E72D297353CC}">
              <c16:uniqueId val="{00000000-E848-43BF-B43A-1343C7C8F31C}"/>
            </c:ext>
          </c:extLst>
        </c:ser>
        <c:dLbls>
          <c:showLegendKey val="0"/>
          <c:showVal val="0"/>
          <c:showCatName val="0"/>
          <c:showSerName val="0"/>
          <c:showPercent val="0"/>
          <c:showBubbleSize val="0"/>
        </c:dLbls>
        <c:axId val="196166480"/>
        <c:axId val="196168560"/>
      </c:scatterChart>
      <c:valAx>
        <c:axId val="1961664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168560"/>
        <c:crosses val="autoZero"/>
        <c:crossBetween val="midCat"/>
      </c:valAx>
      <c:valAx>
        <c:axId val="1961685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16648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8740157499999996" l="0.7" r="0.7" t="0.78740157499999996"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layout>
                <c:manualLayout>
                  <c:x val="-0.17189326334208224"/>
                  <c:y val="0.1206842373869933"/>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Urin!$C$39:$C$40</c:f>
              <c:numCache>
                <c:formatCode>@</c:formatCode>
                <c:ptCount val="2"/>
                <c:pt idx="0">
                  <c:v>1</c:v>
                </c:pt>
                <c:pt idx="1">
                  <c:v>5</c:v>
                </c:pt>
              </c:numCache>
            </c:numRef>
          </c:xVal>
          <c:yVal>
            <c:numRef>
              <c:f>Urin!$AJ$39:$AJ$40</c:f>
              <c:numCache>
                <c:formatCode>General</c:formatCode>
                <c:ptCount val="2"/>
                <c:pt idx="0">
                  <c:v>-0.53443548940512453</c:v>
                </c:pt>
                <c:pt idx="1">
                  <c:v>-0.11204950380862289</c:v>
                </c:pt>
              </c:numCache>
            </c:numRef>
          </c:yVal>
          <c:smooth val="0"/>
          <c:extLst>
            <c:ext xmlns:c16="http://schemas.microsoft.com/office/drawing/2014/chart" uri="{C3380CC4-5D6E-409C-BE32-E72D297353CC}">
              <c16:uniqueId val="{00000000-E619-4B0E-A104-3961085A6C0E}"/>
            </c:ext>
          </c:extLst>
        </c:ser>
        <c:dLbls>
          <c:showLegendKey val="0"/>
          <c:showVal val="0"/>
          <c:showCatName val="0"/>
          <c:showSerName val="0"/>
          <c:showPercent val="0"/>
          <c:showBubbleSize val="0"/>
        </c:dLbls>
        <c:axId val="633997375"/>
        <c:axId val="633989887"/>
      </c:scatterChart>
      <c:valAx>
        <c:axId val="633997375"/>
        <c:scaling>
          <c:orientation val="minMax"/>
        </c:scaling>
        <c:delete val="0"/>
        <c:axPos val="b"/>
        <c:majorGridlines>
          <c:spPr>
            <a:ln w="9525" cap="flat" cmpd="sng" algn="ctr">
              <a:solidFill>
                <a:schemeClr val="tx1">
                  <a:lumMod val="15000"/>
                  <a:lumOff val="85000"/>
                </a:schemeClr>
              </a:solidFill>
              <a:round/>
            </a:ln>
            <a:effectLst/>
          </c:spPr>
        </c:majorGridlines>
        <c:numFmt formatCode="@"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3989887"/>
        <c:crosses val="autoZero"/>
        <c:crossBetween val="midCat"/>
      </c:valAx>
      <c:valAx>
        <c:axId val="6339898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399737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8740157499999996" l="0.7" r="0.7" t="0.78740157499999996"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38"/>
          <c:order val="38"/>
          <c:tx>
            <c:strRef>
              <c:f>Mittelwerte!$AP$2</c:f>
              <c:strCache>
                <c:ptCount val="1"/>
                <c:pt idx="0">
                  <c:v>Summe</c:v>
                </c:pt>
              </c:strCache>
            </c:strRef>
          </c:tx>
          <c:spPr>
            <a:solidFill>
              <a:schemeClr val="accent3">
                <a:lumMod val="70000"/>
                <a:lumOff val="30000"/>
              </a:schemeClr>
            </a:solidFill>
            <a:ln>
              <a:noFill/>
            </a:ln>
            <a:effectLst/>
          </c:spPr>
          <c:invertIfNegative val="0"/>
          <c:dLbls>
            <c:dLbl>
              <c:idx val="1"/>
              <c:layout>
                <c:manualLayout>
                  <c:x val="-5.8083755174227958E-3"/>
                  <c:y val="-3.9360393603936041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488-42D2-A5D3-6C3C91B7DFAE}"/>
                </c:ext>
              </c:extLst>
            </c:dLbl>
            <c:dLbl>
              <c:idx val="2"/>
              <c:layout>
                <c:manualLayout>
                  <c:x val="1.4520938793556957E-3"/>
                  <c:y val="-6.1500615006150151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488-42D2-A5D3-6C3C91B7DFAE}"/>
                </c:ext>
              </c:extLst>
            </c:dLbl>
            <c:dLbl>
              <c:idx val="3"/>
              <c:layout>
                <c:manualLayout>
                  <c:x val="-1.4520938793556957E-3"/>
                  <c:y val="-8.6100861008610183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488-42D2-A5D3-6C3C91B7DFAE}"/>
                </c:ext>
              </c:extLst>
            </c:dLbl>
            <c:dLbl>
              <c:idx val="4"/>
              <c:layout>
                <c:manualLayout>
                  <c:x val="-2.6621413588679618E-17"/>
                  <c:y val="-8.1180811808118258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488-42D2-A5D3-6C3C91B7DFAE}"/>
                </c:ext>
              </c:extLst>
            </c:dLbl>
            <c:dLbl>
              <c:idx val="5"/>
              <c:layout>
                <c:manualLayout>
                  <c:x val="-1.4520938793557488E-3"/>
                  <c:y val="-8.856088560885618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488-42D2-A5D3-6C3C91B7DFAE}"/>
                </c:ext>
              </c:extLst>
            </c:dLbl>
            <c:dLbl>
              <c:idx val="6"/>
              <c:layout>
                <c:manualLayout>
                  <c:x val="-5.3242827177359236E-17"/>
                  <c:y val="-0.1107011070110701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488-42D2-A5D3-6C3C91B7DFAE}"/>
                </c:ext>
              </c:extLst>
            </c:dLbl>
            <c:dLbl>
              <c:idx val="7"/>
              <c:layout>
                <c:manualLayout>
                  <c:x val="0"/>
                  <c:y val="-7.626076260762607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488-42D2-A5D3-6C3C91B7DFAE}"/>
                </c:ext>
              </c:extLst>
            </c:dLbl>
            <c:dLbl>
              <c:idx val="8"/>
              <c:layout>
                <c:manualLayout>
                  <c:x val="-5.3242827177359236E-17"/>
                  <c:y val="-6.3960639606396058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488-42D2-A5D3-6C3C91B7DFAE}"/>
                </c:ext>
              </c:extLst>
            </c:dLbl>
            <c:dLbl>
              <c:idx val="16"/>
              <c:layout>
                <c:manualLayout>
                  <c:x val="1.4520938793555892E-3"/>
                  <c:y val="-7.6260762607626167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488-42D2-A5D3-6C3C91B7DFAE}"/>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Mittelwerte!$B$43:$C$148</c15:sqref>
                  </c15:fullRef>
                </c:ext>
              </c:extLst>
              <c:f>(Mittelwerte!$B$43:$C$52,Mittelwerte!$B$113:$C$118,Mittelwerte!$B$143:$C$148)</c:f>
              <c:multiLvlStrCache>
                <c:ptCount val="22"/>
                <c:lvl>
                  <c:pt idx="0">
                    <c:v>1</c:v>
                  </c:pt>
                  <c:pt idx="1">
                    <c:v>5</c:v>
                  </c:pt>
                  <c:pt idx="2">
                    <c:v>17</c:v>
                  </c:pt>
                  <c:pt idx="3">
                    <c:v>38</c:v>
                  </c:pt>
                  <c:pt idx="4">
                    <c:v>54</c:v>
                  </c:pt>
                  <c:pt idx="5">
                    <c:v>57</c:v>
                  </c:pt>
                  <c:pt idx="6">
                    <c:v>61</c:v>
                  </c:pt>
                  <c:pt idx="7">
                    <c:v>73</c:v>
                  </c:pt>
                  <c:pt idx="8">
                    <c:v>101</c:v>
                  </c:pt>
                  <c:pt idx="9">
                    <c:v>136</c:v>
                  </c:pt>
                  <c:pt idx="10">
                    <c:v>1</c:v>
                  </c:pt>
                  <c:pt idx="11">
                    <c:v>5</c:v>
                  </c:pt>
                  <c:pt idx="12">
                    <c:v>17</c:v>
                  </c:pt>
                  <c:pt idx="13">
                    <c:v>57</c:v>
                  </c:pt>
                  <c:pt idx="14">
                    <c:v>61</c:v>
                  </c:pt>
                  <c:pt idx="15">
                    <c:v>136</c:v>
                  </c:pt>
                  <c:pt idx="16">
                    <c:v>1</c:v>
                  </c:pt>
                  <c:pt idx="17">
                    <c:v>5</c:v>
                  </c:pt>
                  <c:pt idx="18">
                    <c:v>17</c:v>
                  </c:pt>
                  <c:pt idx="19">
                    <c:v>57</c:v>
                  </c:pt>
                  <c:pt idx="20">
                    <c:v>61</c:v>
                  </c:pt>
                  <c:pt idx="21">
                    <c:v>136</c:v>
                  </c:pt>
                </c:lvl>
                <c:lvl>
                  <c:pt idx="0">
                    <c:v>Milk</c:v>
                  </c:pt>
                  <c:pt idx="10">
                    <c:v>Urine</c:v>
                  </c:pt>
                  <c:pt idx="16">
                    <c:v>Feces</c:v>
                  </c:pt>
                </c:lvl>
              </c:multiLvlStrCache>
            </c:multiLvlStrRef>
          </c:cat>
          <c:val>
            <c:numRef>
              <c:extLst>
                <c:ext xmlns:c15="http://schemas.microsoft.com/office/drawing/2012/chart" uri="{02D57815-91ED-43cb-92C2-25804820EDAC}">
                  <c15:fullRef>
                    <c15:sqref>Mittelwerte!$AP$43:$AP$148</c15:sqref>
                  </c15:fullRef>
                </c:ext>
              </c:extLst>
              <c:f>(Mittelwerte!$AP$43:$AP$52,Mittelwerte!$AP$113:$AP$118,Mittelwerte!$AP$143:$AP$148)</c:f>
              <c:numCache>
                <c:formatCode>0.00</c:formatCode>
                <c:ptCount val="22"/>
                <c:pt idx="0">
                  <c:v>1.661696357537552E-2</c:v>
                </c:pt>
                <c:pt idx="1">
                  <c:v>4.024757824721533</c:v>
                </c:pt>
                <c:pt idx="2">
                  <c:v>32.919283098449725</c:v>
                </c:pt>
                <c:pt idx="3">
                  <c:v>50.687845103735533</c:v>
                </c:pt>
                <c:pt idx="4">
                  <c:v>52.398934722882217</c:v>
                </c:pt>
                <c:pt idx="5">
                  <c:v>59.61685694374367</c:v>
                </c:pt>
                <c:pt idx="6">
                  <c:v>36.670141857151236</c:v>
                </c:pt>
                <c:pt idx="7">
                  <c:v>38.90279601077718</c:v>
                </c:pt>
                <c:pt idx="8">
                  <c:v>17.456285205490843</c:v>
                </c:pt>
                <c:pt idx="9">
                  <c:v>3.916219716234739</c:v>
                </c:pt>
                <c:pt idx="10">
                  <c:v>1.8499999999999999</c:v>
                </c:pt>
                <c:pt idx="11">
                  <c:v>51.73533333333333</c:v>
                </c:pt>
                <c:pt idx="12">
                  <c:v>122.05283333333334</c:v>
                </c:pt>
                <c:pt idx="13">
                  <c:v>45.983000000000004</c:v>
                </c:pt>
                <c:pt idx="14">
                  <c:v>3.4553333333333334</c:v>
                </c:pt>
                <c:pt idx="15">
                  <c:v>0</c:v>
                </c:pt>
                <c:pt idx="16">
                  <c:v>0</c:v>
                </c:pt>
                <c:pt idx="17">
                  <c:v>27.579666666666665</c:v>
                </c:pt>
                <c:pt idx="18">
                  <c:v>112.54233333333333</c:v>
                </c:pt>
                <c:pt idx="19">
                  <c:v>146.66800000000001</c:v>
                </c:pt>
                <c:pt idx="20">
                  <c:v>146.03966666666668</c:v>
                </c:pt>
                <c:pt idx="21">
                  <c:v>9.3290000000000006</c:v>
                </c:pt>
              </c:numCache>
            </c:numRef>
          </c:val>
          <c:extLst xmlns:c15="http://schemas.microsoft.com/office/drawing/2012/chart">
            <c:ext xmlns:c16="http://schemas.microsoft.com/office/drawing/2014/chart" uri="{C3380CC4-5D6E-409C-BE32-E72D297353CC}">
              <c16:uniqueId val="{00000026-6B8B-442A-9F8B-298B1434AD67}"/>
            </c:ext>
          </c:extLst>
        </c:ser>
        <c:dLbls>
          <c:dLblPos val="ctr"/>
          <c:showLegendKey val="0"/>
          <c:showVal val="1"/>
          <c:showCatName val="0"/>
          <c:showSerName val="0"/>
          <c:showPercent val="0"/>
          <c:showBubbleSize val="0"/>
        </c:dLbls>
        <c:gapWidth val="150"/>
        <c:overlap val="100"/>
        <c:axId val="202152431"/>
        <c:axId val="202176559"/>
        <c:extLst>
          <c:ext xmlns:c15="http://schemas.microsoft.com/office/drawing/2012/chart" uri="{02D57815-91ED-43cb-92C2-25804820EDAC}">
            <c15:filteredBarSeries>
              <c15:ser>
                <c:idx val="0"/>
                <c:order val="0"/>
                <c:tx>
                  <c:strRef>
                    <c:extLst>
                      <c:ext uri="{02D57815-91ED-43cb-92C2-25804820EDAC}">
                        <c15:formulaRef>
                          <c15:sqref>Mittelwerte!$D$2</c15:sqref>
                        </c15:formulaRef>
                      </c:ext>
                    </c:extLst>
                    <c:strCache>
                      <c:ptCount val="1"/>
                      <c:pt idx="0">
                        <c:v>n-PFBA</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uri="{02D57815-91ED-43cb-92C2-25804820EDAC}">
                        <c15:fullRef>
                          <c15:sqref>Mittelwerte!$B$43:$C$148</c15:sqref>
                        </c15:fullRef>
                        <c15:formulaRef>
                          <c15:sqref>(Mittelwerte!$B$43:$C$52,Mittelwerte!$B$113:$C$118,Mittelwerte!$B$143:$C$148)</c15:sqref>
                        </c15:formulaRef>
                      </c:ext>
                    </c:extLst>
                    <c:multiLvlStrCache>
                      <c:ptCount val="22"/>
                      <c:lvl>
                        <c:pt idx="0">
                          <c:v>1</c:v>
                        </c:pt>
                        <c:pt idx="1">
                          <c:v>5</c:v>
                        </c:pt>
                        <c:pt idx="2">
                          <c:v>17</c:v>
                        </c:pt>
                        <c:pt idx="3">
                          <c:v>38</c:v>
                        </c:pt>
                        <c:pt idx="4">
                          <c:v>54</c:v>
                        </c:pt>
                        <c:pt idx="5">
                          <c:v>57</c:v>
                        </c:pt>
                        <c:pt idx="6">
                          <c:v>61</c:v>
                        </c:pt>
                        <c:pt idx="7">
                          <c:v>73</c:v>
                        </c:pt>
                        <c:pt idx="8">
                          <c:v>101</c:v>
                        </c:pt>
                        <c:pt idx="9">
                          <c:v>136</c:v>
                        </c:pt>
                        <c:pt idx="10">
                          <c:v>1</c:v>
                        </c:pt>
                        <c:pt idx="11">
                          <c:v>5</c:v>
                        </c:pt>
                        <c:pt idx="12">
                          <c:v>17</c:v>
                        </c:pt>
                        <c:pt idx="13">
                          <c:v>57</c:v>
                        </c:pt>
                        <c:pt idx="14">
                          <c:v>61</c:v>
                        </c:pt>
                        <c:pt idx="15">
                          <c:v>136</c:v>
                        </c:pt>
                        <c:pt idx="16">
                          <c:v>1</c:v>
                        </c:pt>
                        <c:pt idx="17">
                          <c:v>5</c:v>
                        </c:pt>
                        <c:pt idx="18">
                          <c:v>17</c:v>
                        </c:pt>
                        <c:pt idx="19">
                          <c:v>57</c:v>
                        </c:pt>
                        <c:pt idx="20">
                          <c:v>61</c:v>
                        </c:pt>
                        <c:pt idx="21">
                          <c:v>136</c:v>
                        </c:pt>
                      </c:lvl>
                      <c:lvl>
                        <c:pt idx="0">
                          <c:v>Milk</c:v>
                        </c:pt>
                        <c:pt idx="10">
                          <c:v>Urine</c:v>
                        </c:pt>
                        <c:pt idx="16">
                          <c:v>Feces</c:v>
                        </c:pt>
                      </c:lvl>
                    </c:multiLvlStrCache>
                  </c:multiLvlStrRef>
                </c:cat>
                <c:val>
                  <c:numRef>
                    <c:extLst>
                      <c:ext uri="{02D57815-91ED-43cb-92C2-25804820EDAC}">
                        <c15:fullRef>
                          <c15:sqref>Mittelwerte!$D$43:$D$148</c15:sqref>
                        </c15:fullRef>
                        <c15:formulaRef>
                          <c15:sqref>(Mittelwerte!$D$43:$D$52,Mittelwerte!$D$113:$D$118,Mittelwerte!$D$143:$D$148)</c15:sqref>
                        </c15:formulaRef>
                      </c:ext>
                    </c:extLst>
                    <c:numCache>
                      <c:formatCode>0.00</c:formatCode>
                      <c:ptCount val="22"/>
                      <c:pt idx="0">
                        <c:v>5.1723938859974047E-3</c:v>
                      </c:pt>
                      <c:pt idx="1">
                        <c:v>0.85321208016812011</c:v>
                      </c:pt>
                      <c:pt idx="2">
                        <c:v>2.3089174589498578</c:v>
                      </c:pt>
                      <c:pt idx="3">
                        <c:v>0.61947876401251878</c:v>
                      </c:pt>
                      <c:pt idx="4">
                        <c:v>0.93878124748748693</c:v>
                      </c:pt>
                      <c:pt idx="5">
                        <c:v>0.40822934085581897</c:v>
                      </c:pt>
                      <c:pt idx="6">
                        <c:v>7.3325058500185898E-3</c:v>
                      </c:pt>
                      <c:pt idx="7">
                        <c:v>6.1730808417599196E-3</c:v>
                      </c:pt>
                      <c:pt idx="8">
                        <c:v>8.7786808739833133E-3</c:v>
                      </c:pt>
                      <c:pt idx="9">
                        <c:v>6.9320652725452132E-3</c:v>
                      </c:pt>
                      <c:pt idx="10">
                        <c:v>1.8499999999999999</c:v>
                      </c:pt>
                      <c:pt idx="11">
                        <c:v>25.5</c:v>
                      </c:pt>
                      <c:pt idx="12">
                        <c:v>65.399999999999991</c:v>
                      </c:pt>
                      <c:pt idx="13">
                        <c:v>26.099999999999998</c:v>
                      </c:pt>
                      <c:pt idx="14">
                        <c:v>0.61599999999999999</c:v>
                      </c:pt>
                      <c:pt idx="15">
                        <c:v>0</c:v>
                      </c:pt>
                      <c:pt idx="16">
                        <c:v>0</c:v>
                      </c:pt>
                      <c:pt idx="17">
                        <c:v>5.2666666666666666</c:v>
                      </c:pt>
                      <c:pt idx="18">
                        <c:v>4.3899999999999997</c:v>
                      </c:pt>
                      <c:pt idx="19">
                        <c:v>2.3066666666666666</c:v>
                      </c:pt>
                      <c:pt idx="20">
                        <c:v>0</c:v>
                      </c:pt>
                      <c:pt idx="21">
                        <c:v>0</c:v>
                      </c:pt>
                    </c:numCache>
                  </c:numRef>
                </c:val>
                <c:extLst>
                  <c:ext xmlns:c16="http://schemas.microsoft.com/office/drawing/2014/chart" uri="{C3380CC4-5D6E-409C-BE32-E72D297353CC}">
                    <c16:uniqueId val="{00000000-6B8B-442A-9F8B-298B1434AD67}"/>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Mittelwerte!$E$2</c15:sqref>
                        </c15:formulaRef>
                      </c:ext>
                    </c:extLst>
                    <c:strCache>
                      <c:ptCount val="1"/>
                      <c:pt idx="0">
                        <c:v>n-PFPeA </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Mittelwerte!$B$43:$C$148</c15:sqref>
                        </c15:fullRef>
                        <c15:formulaRef>
                          <c15:sqref>(Mittelwerte!$B$43:$C$52,Mittelwerte!$B$113:$C$118,Mittelwerte!$B$143:$C$148)</c15:sqref>
                        </c15:formulaRef>
                      </c:ext>
                    </c:extLst>
                    <c:multiLvlStrCache>
                      <c:ptCount val="22"/>
                      <c:lvl>
                        <c:pt idx="0">
                          <c:v>1</c:v>
                        </c:pt>
                        <c:pt idx="1">
                          <c:v>5</c:v>
                        </c:pt>
                        <c:pt idx="2">
                          <c:v>17</c:v>
                        </c:pt>
                        <c:pt idx="3">
                          <c:v>38</c:v>
                        </c:pt>
                        <c:pt idx="4">
                          <c:v>54</c:v>
                        </c:pt>
                        <c:pt idx="5">
                          <c:v>57</c:v>
                        </c:pt>
                        <c:pt idx="6">
                          <c:v>61</c:v>
                        </c:pt>
                        <c:pt idx="7">
                          <c:v>73</c:v>
                        </c:pt>
                        <c:pt idx="8">
                          <c:v>101</c:v>
                        </c:pt>
                        <c:pt idx="9">
                          <c:v>136</c:v>
                        </c:pt>
                        <c:pt idx="10">
                          <c:v>1</c:v>
                        </c:pt>
                        <c:pt idx="11">
                          <c:v>5</c:v>
                        </c:pt>
                        <c:pt idx="12">
                          <c:v>17</c:v>
                        </c:pt>
                        <c:pt idx="13">
                          <c:v>57</c:v>
                        </c:pt>
                        <c:pt idx="14">
                          <c:v>61</c:v>
                        </c:pt>
                        <c:pt idx="15">
                          <c:v>136</c:v>
                        </c:pt>
                        <c:pt idx="16">
                          <c:v>1</c:v>
                        </c:pt>
                        <c:pt idx="17">
                          <c:v>5</c:v>
                        </c:pt>
                        <c:pt idx="18">
                          <c:v>17</c:v>
                        </c:pt>
                        <c:pt idx="19">
                          <c:v>57</c:v>
                        </c:pt>
                        <c:pt idx="20">
                          <c:v>61</c:v>
                        </c:pt>
                        <c:pt idx="21">
                          <c:v>136</c:v>
                        </c:pt>
                      </c:lvl>
                      <c:lvl>
                        <c:pt idx="0">
                          <c:v>Milk</c:v>
                        </c:pt>
                        <c:pt idx="10">
                          <c:v>Urine</c:v>
                        </c:pt>
                        <c:pt idx="16">
                          <c:v>Feces</c:v>
                        </c:pt>
                      </c:lvl>
                    </c:multiLvlStrCache>
                  </c:multiLvlStrRef>
                </c:cat>
                <c:val>
                  <c:numRef>
                    <c:extLst>
                      <c:ext xmlns:c15="http://schemas.microsoft.com/office/drawing/2012/chart" uri="{02D57815-91ED-43cb-92C2-25804820EDAC}">
                        <c15:fullRef>
                          <c15:sqref>Mittelwerte!$E$43:$E$148</c15:sqref>
                        </c15:fullRef>
                        <c15:formulaRef>
                          <c15:sqref>(Mittelwerte!$E$43:$E$52,Mittelwerte!$E$113:$E$118,Mittelwerte!$E$143:$E$148)</c15:sqref>
                        </c15:formulaRef>
                      </c:ext>
                    </c:extLst>
                    <c:numCache>
                      <c:formatCode>0.00</c:formatCode>
                      <c:ptCount val="22"/>
                      <c:pt idx="0">
                        <c:v>0</c:v>
                      </c:pt>
                      <c:pt idx="1">
                        <c:v>1.3417906553632578E-2</c:v>
                      </c:pt>
                      <c:pt idx="2">
                        <c:v>4.0332966435350448E-2</c:v>
                      </c:pt>
                      <c:pt idx="3">
                        <c:v>1.5853995684656501E-2</c:v>
                      </c:pt>
                      <c:pt idx="4">
                        <c:v>1.9572606556625478E-2</c:v>
                      </c:pt>
                      <c:pt idx="5">
                        <c:v>8.6545184158462306E-3</c:v>
                      </c:pt>
                      <c:pt idx="6">
                        <c:v>0</c:v>
                      </c:pt>
                      <c:pt idx="7">
                        <c:v>0</c:v>
                      </c:pt>
                      <c:pt idx="8">
                        <c:v>0</c:v>
                      </c:pt>
                      <c:pt idx="9">
                        <c:v>0</c:v>
                      </c:pt>
                      <c:pt idx="10">
                        <c:v>0</c:v>
                      </c:pt>
                      <c:pt idx="11">
                        <c:v>5.669999999999999</c:v>
                      </c:pt>
                      <c:pt idx="12">
                        <c:v>24.433333333333334</c:v>
                      </c:pt>
                      <c:pt idx="13">
                        <c:v>6.7561666666666662</c:v>
                      </c:pt>
                      <c:pt idx="14">
                        <c:v>0</c:v>
                      </c:pt>
                      <c:pt idx="15">
                        <c:v>0</c:v>
                      </c:pt>
                      <c:pt idx="16">
                        <c:v>0</c:v>
                      </c:pt>
                      <c:pt idx="17">
                        <c:v>3.4866666666666668</c:v>
                      </c:pt>
                      <c:pt idx="18">
                        <c:v>3.4433333333333334</c:v>
                      </c:pt>
                      <c:pt idx="19">
                        <c:v>2.06</c:v>
                      </c:pt>
                      <c:pt idx="20">
                        <c:v>0</c:v>
                      </c:pt>
                      <c:pt idx="21">
                        <c:v>0</c:v>
                      </c:pt>
                    </c:numCache>
                  </c:numRef>
                </c:val>
                <c:extLst xmlns:c15="http://schemas.microsoft.com/office/drawing/2012/chart">
                  <c:ext xmlns:c16="http://schemas.microsoft.com/office/drawing/2014/chart" uri="{C3380CC4-5D6E-409C-BE32-E72D297353CC}">
                    <c16:uniqueId val="{00000001-6B8B-442A-9F8B-298B1434AD67}"/>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Mittelwerte!$F$2</c15:sqref>
                        </c15:formulaRef>
                      </c:ext>
                    </c:extLst>
                    <c:strCache>
                      <c:ptCount val="1"/>
                      <c:pt idx="0">
                        <c:v>n-PFHxA </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Mittelwerte!$B$43:$C$148</c15:sqref>
                        </c15:fullRef>
                        <c15:formulaRef>
                          <c15:sqref>(Mittelwerte!$B$43:$C$52,Mittelwerte!$B$113:$C$118,Mittelwerte!$B$143:$C$148)</c15:sqref>
                        </c15:formulaRef>
                      </c:ext>
                    </c:extLst>
                    <c:multiLvlStrCache>
                      <c:ptCount val="22"/>
                      <c:lvl>
                        <c:pt idx="0">
                          <c:v>1</c:v>
                        </c:pt>
                        <c:pt idx="1">
                          <c:v>5</c:v>
                        </c:pt>
                        <c:pt idx="2">
                          <c:v>17</c:v>
                        </c:pt>
                        <c:pt idx="3">
                          <c:v>38</c:v>
                        </c:pt>
                        <c:pt idx="4">
                          <c:v>54</c:v>
                        </c:pt>
                        <c:pt idx="5">
                          <c:v>57</c:v>
                        </c:pt>
                        <c:pt idx="6">
                          <c:v>61</c:v>
                        </c:pt>
                        <c:pt idx="7">
                          <c:v>73</c:v>
                        </c:pt>
                        <c:pt idx="8">
                          <c:v>101</c:v>
                        </c:pt>
                        <c:pt idx="9">
                          <c:v>136</c:v>
                        </c:pt>
                        <c:pt idx="10">
                          <c:v>1</c:v>
                        </c:pt>
                        <c:pt idx="11">
                          <c:v>5</c:v>
                        </c:pt>
                        <c:pt idx="12">
                          <c:v>17</c:v>
                        </c:pt>
                        <c:pt idx="13">
                          <c:v>57</c:v>
                        </c:pt>
                        <c:pt idx="14">
                          <c:v>61</c:v>
                        </c:pt>
                        <c:pt idx="15">
                          <c:v>136</c:v>
                        </c:pt>
                        <c:pt idx="16">
                          <c:v>1</c:v>
                        </c:pt>
                        <c:pt idx="17">
                          <c:v>5</c:v>
                        </c:pt>
                        <c:pt idx="18">
                          <c:v>17</c:v>
                        </c:pt>
                        <c:pt idx="19">
                          <c:v>57</c:v>
                        </c:pt>
                        <c:pt idx="20">
                          <c:v>61</c:v>
                        </c:pt>
                        <c:pt idx="21">
                          <c:v>136</c:v>
                        </c:pt>
                      </c:lvl>
                      <c:lvl>
                        <c:pt idx="0">
                          <c:v>Milk</c:v>
                        </c:pt>
                        <c:pt idx="10">
                          <c:v>Urine</c:v>
                        </c:pt>
                        <c:pt idx="16">
                          <c:v>Feces</c:v>
                        </c:pt>
                      </c:lvl>
                    </c:multiLvlStrCache>
                  </c:multiLvlStrRef>
                </c:cat>
                <c:val>
                  <c:numRef>
                    <c:extLst>
                      <c:ext xmlns:c15="http://schemas.microsoft.com/office/drawing/2012/chart" uri="{02D57815-91ED-43cb-92C2-25804820EDAC}">
                        <c15:fullRef>
                          <c15:sqref>Mittelwerte!$F$43:$F$148</c15:sqref>
                        </c15:fullRef>
                        <c15:formulaRef>
                          <c15:sqref>(Mittelwerte!$F$43:$F$52,Mittelwerte!$F$113:$F$118,Mittelwerte!$F$143:$F$148)</c15:sqref>
                        </c15:formulaRef>
                      </c:ext>
                    </c:extLst>
                    <c:numCache>
                      <c:formatCode>0.00</c:formatCode>
                      <c:ptCount val="22"/>
                      <c:pt idx="0">
                        <c:v>0</c:v>
                      </c:pt>
                      <c:pt idx="1">
                        <c:v>0</c:v>
                      </c:pt>
                      <c:pt idx="2">
                        <c:v>0</c:v>
                      </c:pt>
                      <c:pt idx="3">
                        <c:v>0</c:v>
                      </c:pt>
                      <c:pt idx="4">
                        <c:v>0</c:v>
                      </c:pt>
                      <c:pt idx="5">
                        <c:v>0</c:v>
                      </c:pt>
                      <c:pt idx="6">
                        <c:v>0</c:v>
                      </c:pt>
                      <c:pt idx="7">
                        <c:v>0</c:v>
                      </c:pt>
                      <c:pt idx="8">
                        <c:v>0</c:v>
                      </c:pt>
                      <c:pt idx="9">
                        <c:v>0</c:v>
                      </c:pt>
                      <c:pt idx="10">
                        <c:v>0</c:v>
                      </c:pt>
                      <c:pt idx="11">
                        <c:v>2.7716666666666669</c:v>
                      </c:pt>
                      <c:pt idx="12">
                        <c:v>4.95</c:v>
                      </c:pt>
                      <c:pt idx="13">
                        <c:v>2.2805</c:v>
                      </c:pt>
                      <c:pt idx="14">
                        <c:v>0</c:v>
                      </c:pt>
                      <c:pt idx="15">
                        <c:v>0</c:v>
                      </c:pt>
                      <c:pt idx="16">
                        <c:v>0</c:v>
                      </c:pt>
                      <c:pt idx="17">
                        <c:v>0</c:v>
                      </c:pt>
                      <c:pt idx="18">
                        <c:v>0</c:v>
                      </c:pt>
                      <c:pt idx="19">
                        <c:v>0</c:v>
                      </c:pt>
                      <c:pt idx="20">
                        <c:v>0</c:v>
                      </c:pt>
                      <c:pt idx="21">
                        <c:v>0</c:v>
                      </c:pt>
                    </c:numCache>
                  </c:numRef>
                </c:val>
                <c:extLst xmlns:c15="http://schemas.microsoft.com/office/drawing/2012/chart">
                  <c:ext xmlns:c16="http://schemas.microsoft.com/office/drawing/2014/chart" uri="{C3380CC4-5D6E-409C-BE32-E72D297353CC}">
                    <c16:uniqueId val="{00000002-6B8B-442A-9F8B-298B1434AD67}"/>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Mittelwerte!$G$2</c15:sqref>
                        </c15:formulaRef>
                      </c:ext>
                    </c:extLst>
                    <c:strCache>
                      <c:ptCount val="1"/>
                      <c:pt idx="0">
                        <c:v>n-PFHpA </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Mittelwerte!$B$43:$C$148</c15:sqref>
                        </c15:fullRef>
                        <c15:formulaRef>
                          <c15:sqref>(Mittelwerte!$B$43:$C$52,Mittelwerte!$B$113:$C$118,Mittelwerte!$B$143:$C$148)</c15:sqref>
                        </c15:formulaRef>
                      </c:ext>
                    </c:extLst>
                    <c:multiLvlStrCache>
                      <c:ptCount val="22"/>
                      <c:lvl>
                        <c:pt idx="0">
                          <c:v>1</c:v>
                        </c:pt>
                        <c:pt idx="1">
                          <c:v>5</c:v>
                        </c:pt>
                        <c:pt idx="2">
                          <c:v>17</c:v>
                        </c:pt>
                        <c:pt idx="3">
                          <c:v>38</c:v>
                        </c:pt>
                        <c:pt idx="4">
                          <c:v>54</c:v>
                        </c:pt>
                        <c:pt idx="5">
                          <c:v>57</c:v>
                        </c:pt>
                        <c:pt idx="6">
                          <c:v>61</c:v>
                        </c:pt>
                        <c:pt idx="7">
                          <c:v>73</c:v>
                        </c:pt>
                        <c:pt idx="8">
                          <c:v>101</c:v>
                        </c:pt>
                        <c:pt idx="9">
                          <c:v>136</c:v>
                        </c:pt>
                        <c:pt idx="10">
                          <c:v>1</c:v>
                        </c:pt>
                        <c:pt idx="11">
                          <c:v>5</c:v>
                        </c:pt>
                        <c:pt idx="12">
                          <c:v>17</c:v>
                        </c:pt>
                        <c:pt idx="13">
                          <c:v>57</c:v>
                        </c:pt>
                        <c:pt idx="14">
                          <c:v>61</c:v>
                        </c:pt>
                        <c:pt idx="15">
                          <c:v>136</c:v>
                        </c:pt>
                        <c:pt idx="16">
                          <c:v>1</c:v>
                        </c:pt>
                        <c:pt idx="17">
                          <c:v>5</c:v>
                        </c:pt>
                        <c:pt idx="18">
                          <c:v>17</c:v>
                        </c:pt>
                        <c:pt idx="19">
                          <c:v>57</c:v>
                        </c:pt>
                        <c:pt idx="20">
                          <c:v>61</c:v>
                        </c:pt>
                        <c:pt idx="21">
                          <c:v>136</c:v>
                        </c:pt>
                      </c:lvl>
                      <c:lvl>
                        <c:pt idx="0">
                          <c:v>Milk</c:v>
                        </c:pt>
                        <c:pt idx="10">
                          <c:v>Urine</c:v>
                        </c:pt>
                        <c:pt idx="16">
                          <c:v>Feces</c:v>
                        </c:pt>
                      </c:lvl>
                    </c:multiLvlStrCache>
                  </c:multiLvlStrRef>
                </c:cat>
                <c:val>
                  <c:numRef>
                    <c:extLst>
                      <c:ext xmlns:c15="http://schemas.microsoft.com/office/drawing/2012/chart" uri="{02D57815-91ED-43cb-92C2-25804820EDAC}">
                        <c15:fullRef>
                          <c15:sqref>Mittelwerte!$G$43:$G$148</c15:sqref>
                        </c15:fullRef>
                        <c15:formulaRef>
                          <c15:sqref>(Mittelwerte!$G$43:$G$52,Mittelwerte!$G$113:$G$118,Mittelwerte!$G$143:$G$148)</c15:sqref>
                        </c15:formulaRef>
                      </c:ext>
                    </c:extLst>
                    <c:numCache>
                      <c:formatCode>0.00</c:formatCode>
                      <c:ptCount val="22"/>
                      <c:pt idx="0">
                        <c:v>0</c:v>
                      </c:pt>
                      <c:pt idx="1">
                        <c:v>0</c:v>
                      </c:pt>
                      <c:pt idx="2">
                        <c:v>0</c:v>
                      </c:pt>
                      <c:pt idx="3">
                        <c:v>0</c:v>
                      </c:pt>
                      <c:pt idx="4">
                        <c:v>0</c:v>
                      </c:pt>
                      <c:pt idx="5">
                        <c:v>0</c:v>
                      </c:pt>
                      <c:pt idx="6">
                        <c:v>0</c:v>
                      </c:pt>
                      <c:pt idx="7">
                        <c:v>0</c:v>
                      </c:pt>
                      <c:pt idx="8">
                        <c:v>0</c:v>
                      </c:pt>
                      <c:pt idx="9">
                        <c:v>0</c:v>
                      </c:pt>
                      <c:pt idx="10">
                        <c:v>0</c:v>
                      </c:pt>
                      <c:pt idx="11">
                        <c:v>0.88866666666666683</c:v>
                      </c:pt>
                      <c:pt idx="12">
                        <c:v>1.2283333333333333</c:v>
                      </c:pt>
                      <c:pt idx="13">
                        <c:v>1.1100000000000001</c:v>
                      </c:pt>
                      <c:pt idx="14">
                        <c:v>0</c:v>
                      </c:pt>
                      <c:pt idx="15">
                        <c:v>0</c:v>
                      </c:pt>
                      <c:pt idx="16">
                        <c:v>0</c:v>
                      </c:pt>
                      <c:pt idx="17">
                        <c:v>0</c:v>
                      </c:pt>
                      <c:pt idx="18">
                        <c:v>0</c:v>
                      </c:pt>
                      <c:pt idx="19">
                        <c:v>0</c:v>
                      </c:pt>
                      <c:pt idx="20">
                        <c:v>0</c:v>
                      </c:pt>
                      <c:pt idx="21">
                        <c:v>0</c:v>
                      </c:pt>
                    </c:numCache>
                  </c:numRef>
                </c:val>
                <c:extLst xmlns:c15="http://schemas.microsoft.com/office/drawing/2012/chart">
                  <c:ext xmlns:c16="http://schemas.microsoft.com/office/drawing/2014/chart" uri="{C3380CC4-5D6E-409C-BE32-E72D297353CC}">
                    <c16:uniqueId val="{00000003-6B8B-442A-9F8B-298B1434AD67}"/>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Mittelwerte!$H$2</c15:sqref>
                        </c15:formulaRef>
                      </c:ext>
                    </c:extLst>
                    <c:strCache>
                      <c:ptCount val="1"/>
                      <c:pt idx="0">
                        <c:v>n-PFOA </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Mittelwerte!$B$43:$C$148</c15:sqref>
                        </c15:fullRef>
                        <c15:formulaRef>
                          <c15:sqref>(Mittelwerte!$B$43:$C$52,Mittelwerte!$B$113:$C$118,Mittelwerte!$B$143:$C$148)</c15:sqref>
                        </c15:formulaRef>
                      </c:ext>
                    </c:extLst>
                    <c:multiLvlStrCache>
                      <c:ptCount val="22"/>
                      <c:lvl>
                        <c:pt idx="0">
                          <c:v>1</c:v>
                        </c:pt>
                        <c:pt idx="1">
                          <c:v>5</c:v>
                        </c:pt>
                        <c:pt idx="2">
                          <c:v>17</c:v>
                        </c:pt>
                        <c:pt idx="3">
                          <c:v>38</c:v>
                        </c:pt>
                        <c:pt idx="4">
                          <c:v>54</c:v>
                        </c:pt>
                        <c:pt idx="5">
                          <c:v>57</c:v>
                        </c:pt>
                        <c:pt idx="6">
                          <c:v>61</c:v>
                        </c:pt>
                        <c:pt idx="7">
                          <c:v>73</c:v>
                        </c:pt>
                        <c:pt idx="8">
                          <c:v>101</c:v>
                        </c:pt>
                        <c:pt idx="9">
                          <c:v>136</c:v>
                        </c:pt>
                        <c:pt idx="10">
                          <c:v>1</c:v>
                        </c:pt>
                        <c:pt idx="11">
                          <c:v>5</c:v>
                        </c:pt>
                        <c:pt idx="12">
                          <c:v>17</c:v>
                        </c:pt>
                        <c:pt idx="13">
                          <c:v>57</c:v>
                        </c:pt>
                        <c:pt idx="14">
                          <c:v>61</c:v>
                        </c:pt>
                        <c:pt idx="15">
                          <c:v>136</c:v>
                        </c:pt>
                        <c:pt idx="16">
                          <c:v>1</c:v>
                        </c:pt>
                        <c:pt idx="17">
                          <c:v>5</c:v>
                        </c:pt>
                        <c:pt idx="18">
                          <c:v>17</c:v>
                        </c:pt>
                        <c:pt idx="19">
                          <c:v>57</c:v>
                        </c:pt>
                        <c:pt idx="20">
                          <c:v>61</c:v>
                        </c:pt>
                        <c:pt idx="21">
                          <c:v>136</c:v>
                        </c:pt>
                      </c:lvl>
                      <c:lvl>
                        <c:pt idx="0">
                          <c:v>Milk</c:v>
                        </c:pt>
                        <c:pt idx="10">
                          <c:v>Urine</c:v>
                        </c:pt>
                        <c:pt idx="16">
                          <c:v>Feces</c:v>
                        </c:pt>
                      </c:lvl>
                    </c:multiLvlStrCache>
                  </c:multiLvlStrRef>
                </c:cat>
                <c:val>
                  <c:numRef>
                    <c:extLst>
                      <c:ext xmlns:c15="http://schemas.microsoft.com/office/drawing/2012/chart" uri="{02D57815-91ED-43cb-92C2-25804820EDAC}">
                        <c15:fullRef>
                          <c15:sqref>Mittelwerte!$H$43:$H$148</c15:sqref>
                        </c15:fullRef>
                        <c15:formulaRef>
                          <c15:sqref>(Mittelwerte!$H$43:$H$52,Mittelwerte!$H$113:$H$118,Mittelwerte!$H$143:$H$148)</c15:sqref>
                        </c15:formulaRef>
                      </c:ext>
                    </c:extLst>
                    <c:numCache>
                      <c:formatCode>0.00</c:formatCode>
                      <c:ptCount val="22"/>
                      <c:pt idx="0">
                        <c:v>2.5333937095100499E-4</c:v>
                      </c:pt>
                      <c:pt idx="1">
                        <c:v>7.117249006218368E-2</c:v>
                      </c:pt>
                      <c:pt idx="2">
                        <c:v>0.1414289265028722</c:v>
                      </c:pt>
                      <c:pt idx="3">
                        <c:v>2.5698304791204801E-2</c:v>
                      </c:pt>
                      <c:pt idx="4">
                        <c:v>3.641465374733014E-2</c:v>
                      </c:pt>
                      <c:pt idx="5">
                        <c:v>1.5278870960463086E-2</c:v>
                      </c:pt>
                      <c:pt idx="6">
                        <c:v>1.5661228155799275E-3</c:v>
                      </c:pt>
                      <c:pt idx="7">
                        <c:v>1.55329173132934E-3</c:v>
                      </c:pt>
                      <c:pt idx="8">
                        <c:v>6.1192362091205257E-4</c:v>
                      </c:pt>
                      <c:pt idx="9">
                        <c:v>0</c:v>
                      </c:pt>
                      <c:pt idx="10">
                        <c:v>0</c:v>
                      </c:pt>
                      <c:pt idx="11">
                        <c:v>13.133333333333333</c:v>
                      </c:pt>
                      <c:pt idx="12">
                        <c:v>14.266666666666666</c:v>
                      </c:pt>
                      <c:pt idx="13">
                        <c:v>7.1550000000000011</c:v>
                      </c:pt>
                      <c:pt idx="14">
                        <c:v>0</c:v>
                      </c:pt>
                      <c:pt idx="15">
                        <c:v>0</c:v>
                      </c:pt>
                      <c:pt idx="16">
                        <c:v>0</c:v>
                      </c:pt>
                      <c:pt idx="17">
                        <c:v>0</c:v>
                      </c:pt>
                      <c:pt idx="18">
                        <c:v>0.52600000000000002</c:v>
                      </c:pt>
                      <c:pt idx="19">
                        <c:v>0</c:v>
                      </c:pt>
                      <c:pt idx="20">
                        <c:v>0</c:v>
                      </c:pt>
                      <c:pt idx="21">
                        <c:v>0</c:v>
                      </c:pt>
                    </c:numCache>
                  </c:numRef>
                </c:val>
                <c:extLst xmlns:c15="http://schemas.microsoft.com/office/drawing/2012/chart">
                  <c:ext xmlns:c16="http://schemas.microsoft.com/office/drawing/2014/chart" uri="{C3380CC4-5D6E-409C-BE32-E72D297353CC}">
                    <c16:uniqueId val="{00000004-6B8B-442A-9F8B-298B1434AD67}"/>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Mittelwerte!$I$2</c15:sqref>
                        </c15:formulaRef>
                      </c:ext>
                    </c:extLst>
                    <c:strCache>
                      <c:ptCount val="1"/>
                      <c:pt idx="0">
                        <c:v>n-PFNA </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Mittelwerte!$B$43:$C$148</c15:sqref>
                        </c15:fullRef>
                        <c15:formulaRef>
                          <c15:sqref>(Mittelwerte!$B$43:$C$52,Mittelwerte!$B$113:$C$118,Mittelwerte!$B$143:$C$148)</c15:sqref>
                        </c15:formulaRef>
                      </c:ext>
                    </c:extLst>
                    <c:multiLvlStrCache>
                      <c:ptCount val="22"/>
                      <c:lvl>
                        <c:pt idx="0">
                          <c:v>1</c:v>
                        </c:pt>
                        <c:pt idx="1">
                          <c:v>5</c:v>
                        </c:pt>
                        <c:pt idx="2">
                          <c:v>17</c:v>
                        </c:pt>
                        <c:pt idx="3">
                          <c:v>38</c:v>
                        </c:pt>
                        <c:pt idx="4">
                          <c:v>54</c:v>
                        </c:pt>
                        <c:pt idx="5">
                          <c:v>57</c:v>
                        </c:pt>
                        <c:pt idx="6">
                          <c:v>61</c:v>
                        </c:pt>
                        <c:pt idx="7">
                          <c:v>73</c:v>
                        </c:pt>
                        <c:pt idx="8">
                          <c:v>101</c:v>
                        </c:pt>
                        <c:pt idx="9">
                          <c:v>136</c:v>
                        </c:pt>
                        <c:pt idx="10">
                          <c:v>1</c:v>
                        </c:pt>
                        <c:pt idx="11">
                          <c:v>5</c:v>
                        </c:pt>
                        <c:pt idx="12">
                          <c:v>17</c:v>
                        </c:pt>
                        <c:pt idx="13">
                          <c:v>57</c:v>
                        </c:pt>
                        <c:pt idx="14">
                          <c:v>61</c:v>
                        </c:pt>
                        <c:pt idx="15">
                          <c:v>136</c:v>
                        </c:pt>
                        <c:pt idx="16">
                          <c:v>1</c:v>
                        </c:pt>
                        <c:pt idx="17">
                          <c:v>5</c:v>
                        </c:pt>
                        <c:pt idx="18">
                          <c:v>17</c:v>
                        </c:pt>
                        <c:pt idx="19">
                          <c:v>57</c:v>
                        </c:pt>
                        <c:pt idx="20">
                          <c:v>61</c:v>
                        </c:pt>
                        <c:pt idx="21">
                          <c:v>136</c:v>
                        </c:pt>
                      </c:lvl>
                      <c:lvl>
                        <c:pt idx="0">
                          <c:v>Milk</c:v>
                        </c:pt>
                        <c:pt idx="10">
                          <c:v>Urine</c:v>
                        </c:pt>
                        <c:pt idx="16">
                          <c:v>Feces</c:v>
                        </c:pt>
                      </c:lvl>
                    </c:multiLvlStrCache>
                  </c:multiLvlStrRef>
                </c:cat>
                <c:val>
                  <c:numRef>
                    <c:extLst>
                      <c:ext xmlns:c15="http://schemas.microsoft.com/office/drawing/2012/chart" uri="{02D57815-91ED-43cb-92C2-25804820EDAC}">
                        <c15:fullRef>
                          <c15:sqref>Mittelwerte!$I$43:$I$148</c15:sqref>
                        </c15:fullRef>
                        <c15:formulaRef>
                          <c15:sqref>(Mittelwerte!$I$43:$I$52,Mittelwerte!$I$113:$I$118,Mittelwerte!$I$143:$I$148)</c15:sqref>
                        </c15:formulaRef>
                      </c:ext>
                    </c:extLst>
                    <c:numCache>
                      <c:formatCode>0.00</c:formatCode>
                      <c:ptCount val="22"/>
                      <c:pt idx="0">
                        <c:v>1.0040110226742674E-3</c:v>
                      </c:pt>
                      <c:pt idx="1">
                        <c:v>3.4768101231260175E-3</c:v>
                      </c:pt>
                      <c:pt idx="2">
                        <c:v>9.7374995094770336E-3</c:v>
                      </c:pt>
                      <c:pt idx="3">
                        <c:v>4.4841359669472742E-3</c:v>
                      </c:pt>
                      <c:pt idx="4">
                        <c:v>2.8477948201427973E-3</c:v>
                      </c:pt>
                      <c:pt idx="5">
                        <c:v>3.0239708036575519E-3</c:v>
                      </c:pt>
                      <c:pt idx="6">
                        <c:v>1.962361435948265E-3</c:v>
                      </c:pt>
                      <c:pt idx="7">
                        <c:v>1.2529159968816248E-3</c:v>
                      </c:pt>
                      <c:pt idx="8">
                        <c:v>5.2078715969948756E-4</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val>
                <c:extLst xmlns:c15="http://schemas.microsoft.com/office/drawing/2012/chart">
                  <c:ext xmlns:c16="http://schemas.microsoft.com/office/drawing/2014/chart" uri="{C3380CC4-5D6E-409C-BE32-E72D297353CC}">
                    <c16:uniqueId val="{00000005-6B8B-442A-9F8B-298B1434AD67}"/>
                  </c:ext>
                </c:extLst>
              </c15:ser>
            </c15:filteredBarSeries>
            <c15:filteredBarSeries>
              <c15:ser>
                <c:idx val="6"/>
                <c:order val="6"/>
                <c:tx>
                  <c:strRef>
                    <c:extLst xmlns:c15="http://schemas.microsoft.com/office/drawing/2012/chart">
                      <c:ext xmlns:c15="http://schemas.microsoft.com/office/drawing/2012/chart" uri="{02D57815-91ED-43cb-92C2-25804820EDAC}">
                        <c15:formulaRef>
                          <c15:sqref>Mittelwerte!$J$2</c15:sqref>
                        </c15:formulaRef>
                      </c:ext>
                    </c:extLst>
                    <c:strCache>
                      <c:ptCount val="1"/>
                      <c:pt idx="0">
                        <c:v>n-PFDA </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Mittelwerte!$B$43:$C$148</c15:sqref>
                        </c15:fullRef>
                        <c15:formulaRef>
                          <c15:sqref>(Mittelwerte!$B$43:$C$52,Mittelwerte!$B$113:$C$118,Mittelwerte!$B$143:$C$148)</c15:sqref>
                        </c15:formulaRef>
                      </c:ext>
                    </c:extLst>
                    <c:multiLvlStrCache>
                      <c:ptCount val="22"/>
                      <c:lvl>
                        <c:pt idx="0">
                          <c:v>1</c:v>
                        </c:pt>
                        <c:pt idx="1">
                          <c:v>5</c:v>
                        </c:pt>
                        <c:pt idx="2">
                          <c:v>17</c:v>
                        </c:pt>
                        <c:pt idx="3">
                          <c:v>38</c:v>
                        </c:pt>
                        <c:pt idx="4">
                          <c:v>54</c:v>
                        </c:pt>
                        <c:pt idx="5">
                          <c:v>57</c:v>
                        </c:pt>
                        <c:pt idx="6">
                          <c:v>61</c:v>
                        </c:pt>
                        <c:pt idx="7">
                          <c:v>73</c:v>
                        </c:pt>
                        <c:pt idx="8">
                          <c:v>101</c:v>
                        </c:pt>
                        <c:pt idx="9">
                          <c:v>136</c:v>
                        </c:pt>
                        <c:pt idx="10">
                          <c:v>1</c:v>
                        </c:pt>
                        <c:pt idx="11">
                          <c:v>5</c:v>
                        </c:pt>
                        <c:pt idx="12">
                          <c:v>17</c:v>
                        </c:pt>
                        <c:pt idx="13">
                          <c:v>57</c:v>
                        </c:pt>
                        <c:pt idx="14">
                          <c:v>61</c:v>
                        </c:pt>
                        <c:pt idx="15">
                          <c:v>136</c:v>
                        </c:pt>
                        <c:pt idx="16">
                          <c:v>1</c:v>
                        </c:pt>
                        <c:pt idx="17">
                          <c:v>5</c:v>
                        </c:pt>
                        <c:pt idx="18">
                          <c:v>17</c:v>
                        </c:pt>
                        <c:pt idx="19">
                          <c:v>57</c:v>
                        </c:pt>
                        <c:pt idx="20">
                          <c:v>61</c:v>
                        </c:pt>
                        <c:pt idx="21">
                          <c:v>136</c:v>
                        </c:pt>
                      </c:lvl>
                      <c:lvl>
                        <c:pt idx="0">
                          <c:v>Milk</c:v>
                        </c:pt>
                        <c:pt idx="10">
                          <c:v>Urine</c:v>
                        </c:pt>
                        <c:pt idx="16">
                          <c:v>Feces</c:v>
                        </c:pt>
                      </c:lvl>
                    </c:multiLvlStrCache>
                  </c:multiLvlStrRef>
                </c:cat>
                <c:val>
                  <c:numRef>
                    <c:extLst>
                      <c:ext xmlns:c15="http://schemas.microsoft.com/office/drawing/2012/chart" uri="{02D57815-91ED-43cb-92C2-25804820EDAC}">
                        <c15:fullRef>
                          <c15:sqref>Mittelwerte!$J$43:$J$148</c15:sqref>
                        </c15:fullRef>
                        <c15:formulaRef>
                          <c15:sqref>(Mittelwerte!$J$43:$J$52,Mittelwerte!$J$113:$J$118,Mittelwerte!$J$143:$J$148)</c15:sqref>
                        </c15:formulaRef>
                      </c:ext>
                    </c:extLst>
                    <c:numCache>
                      <c:formatCode>0.00</c:formatCode>
                      <c:ptCount val="22"/>
                      <c:pt idx="0">
                        <c:v>9.5267019176279253E-3</c:v>
                      </c:pt>
                      <c:pt idx="1">
                        <c:v>2.0213739617112324E-2</c:v>
                      </c:pt>
                      <c:pt idx="2">
                        <c:v>5.8444619636963291E-2</c:v>
                      </c:pt>
                      <c:pt idx="3">
                        <c:v>7.2693502659969059E-2</c:v>
                      </c:pt>
                      <c:pt idx="4">
                        <c:v>6.9340278462715399E-2</c:v>
                      </c:pt>
                      <c:pt idx="5">
                        <c:v>8.4880293294181008E-2</c:v>
                      </c:pt>
                      <c:pt idx="6">
                        <c:v>6.3439920700409339E-2</c:v>
                      </c:pt>
                      <c:pt idx="7">
                        <c:v>7.5488264432546637E-2</c:v>
                      </c:pt>
                      <c:pt idx="8">
                        <c:v>4.2460387938881967E-2</c:v>
                      </c:pt>
                      <c:pt idx="9">
                        <c:v>9.0009340121872637E-3</c:v>
                      </c:pt>
                      <c:pt idx="10">
                        <c:v>0</c:v>
                      </c:pt>
                      <c:pt idx="11">
                        <c:v>0</c:v>
                      </c:pt>
                      <c:pt idx="12">
                        <c:v>0</c:v>
                      </c:pt>
                      <c:pt idx="13">
                        <c:v>0</c:v>
                      </c:pt>
                      <c:pt idx="14">
                        <c:v>0</c:v>
                      </c:pt>
                      <c:pt idx="15">
                        <c:v>0</c:v>
                      </c:pt>
                      <c:pt idx="16">
                        <c:v>0</c:v>
                      </c:pt>
                      <c:pt idx="17">
                        <c:v>0</c:v>
                      </c:pt>
                      <c:pt idx="18">
                        <c:v>0</c:v>
                      </c:pt>
                      <c:pt idx="19">
                        <c:v>0</c:v>
                      </c:pt>
                      <c:pt idx="20">
                        <c:v>0</c:v>
                      </c:pt>
                      <c:pt idx="21">
                        <c:v>0</c:v>
                      </c:pt>
                    </c:numCache>
                  </c:numRef>
                </c:val>
                <c:extLst xmlns:c15="http://schemas.microsoft.com/office/drawing/2012/chart">
                  <c:ext xmlns:c16="http://schemas.microsoft.com/office/drawing/2014/chart" uri="{C3380CC4-5D6E-409C-BE32-E72D297353CC}">
                    <c16:uniqueId val="{00000006-6B8B-442A-9F8B-298B1434AD67}"/>
                  </c:ext>
                </c:extLst>
              </c15:ser>
            </c15:filteredBarSeries>
            <c15:filteredBarSeries>
              <c15:ser>
                <c:idx val="7"/>
                <c:order val="7"/>
                <c:tx>
                  <c:strRef>
                    <c:extLst xmlns:c15="http://schemas.microsoft.com/office/drawing/2012/chart">
                      <c:ext xmlns:c15="http://schemas.microsoft.com/office/drawing/2012/chart" uri="{02D57815-91ED-43cb-92C2-25804820EDAC}">
                        <c15:formulaRef>
                          <c15:sqref>Mittelwerte!$K$2</c15:sqref>
                        </c15:formulaRef>
                      </c:ext>
                    </c:extLst>
                    <c:strCache>
                      <c:ptCount val="1"/>
                      <c:pt idx="0">
                        <c:v>n-PFUnDA </c:v>
                      </c:pt>
                    </c:strCache>
                  </c:strRef>
                </c:tx>
                <c:spPr>
                  <a:solidFill>
                    <a:schemeClr val="accent2">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Mittelwerte!$B$43:$C$148</c15:sqref>
                        </c15:fullRef>
                        <c15:formulaRef>
                          <c15:sqref>(Mittelwerte!$B$43:$C$52,Mittelwerte!$B$113:$C$118,Mittelwerte!$B$143:$C$148)</c15:sqref>
                        </c15:formulaRef>
                      </c:ext>
                    </c:extLst>
                    <c:multiLvlStrCache>
                      <c:ptCount val="22"/>
                      <c:lvl>
                        <c:pt idx="0">
                          <c:v>1</c:v>
                        </c:pt>
                        <c:pt idx="1">
                          <c:v>5</c:v>
                        </c:pt>
                        <c:pt idx="2">
                          <c:v>17</c:v>
                        </c:pt>
                        <c:pt idx="3">
                          <c:v>38</c:v>
                        </c:pt>
                        <c:pt idx="4">
                          <c:v>54</c:v>
                        </c:pt>
                        <c:pt idx="5">
                          <c:v>57</c:v>
                        </c:pt>
                        <c:pt idx="6">
                          <c:v>61</c:v>
                        </c:pt>
                        <c:pt idx="7">
                          <c:v>73</c:v>
                        </c:pt>
                        <c:pt idx="8">
                          <c:v>101</c:v>
                        </c:pt>
                        <c:pt idx="9">
                          <c:v>136</c:v>
                        </c:pt>
                        <c:pt idx="10">
                          <c:v>1</c:v>
                        </c:pt>
                        <c:pt idx="11">
                          <c:v>5</c:v>
                        </c:pt>
                        <c:pt idx="12">
                          <c:v>17</c:v>
                        </c:pt>
                        <c:pt idx="13">
                          <c:v>57</c:v>
                        </c:pt>
                        <c:pt idx="14">
                          <c:v>61</c:v>
                        </c:pt>
                        <c:pt idx="15">
                          <c:v>136</c:v>
                        </c:pt>
                        <c:pt idx="16">
                          <c:v>1</c:v>
                        </c:pt>
                        <c:pt idx="17">
                          <c:v>5</c:v>
                        </c:pt>
                        <c:pt idx="18">
                          <c:v>17</c:v>
                        </c:pt>
                        <c:pt idx="19">
                          <c:v>57</c:v>
                        </c:pt>
                        <c:pt idx="20">
                          <c:v>61</c:v>
                        </c:pt>
                        <c:pt idx="21">
                          <c:v>136</c:v>
                        </c:pt>
                      </c:lvl>
                      <c:lvl>
                        <c:pt idx="0">
                          <c:v>Milk</c:v>
                        </c:pt>
                        <c:pt idx="10">
                          <c:v>Urine</c:v>
                        </c:pt>
                        <c:pt idx="16">
                          <c:v>Feces</c:v>
                        </c:pt>
                      </c:lvl>
                    </c:multiLvlStrCache>
                  </c:multiLvlStrRef>
                </c:cat>
                <c:val>
                  <c:numRef>
                    <c:extLst>
                      <c:ext xmlns:c15="http://schemas.microsoft.com/office/drawing/2012/chart" uri="{02D57815-91ED-43cb-92C2-25804820EDAC}">
                        <c15:fullRef>
                          <c15:sqref>Mittelwerte!$K$43:$K$148</c15:sqref>
                        </c15:fullRef>
                        <c15:formulaRef>
                          <c15:sqref>(Mittelwerte!$K$43:$K$52,Mittelwerte!$K$113:$K$118,Mittelwerte!$K$143:$K$148)</c15:sqref>
                        </c15:formulaRef>
                      </c:ext>
                    </c:extLst>
                    <c:numCache>
                      <c:formatCode>0.00</c:formatCode>
                      <c:ptCount val="22"/>
                      <c:pt idx="0">
                        <c:v>6.4728707277456499E-4</c:v>
                      </c:pt>
                      <c:pt idx="1">
                        <c:v>5.5917078665083803E-3</c:v>
                      </c:pt>
                      <c:pt idx="2">
                        <c:v>2.8027010168973979E-2</c:v>
                      </c:pt>
                      <c:pt idx="3">
                        <c:v>3.8092317237744699E-2</c:v>
                      </c:pt>
                      <c:pt idx="4">
                        <c:v>3.2621673697004923E-2</c:v>
                      </c:pt>
                      <c:pt idx="5">
                        <c:v>4.058967984185665E-2</c:v>
                      </c:pt>
                      <c:pt idx="6">
                        <c:v>3.054371713531593E-2</c:v>
                      </c:pt>
                      <c:pt idx="7">
                        <c:v>3.1717888853727096E-2</c:v>
                      </c:pt>
                      <c:pt idx="8">
                        <c:v>1.4943290385150076E-2</c:v>
                      </c:pt>
                      <c:pt idx="9">
                        <c:v>1.6614920594478775E-3</c:v>
                      </c:pt>
                      <c:pt idx="10">
                        <c:v>0</c:v>
                      </c:pt>
                      <c:pt idx="11">
                        <c:v>0</c:v>
                      </c:pt>
                      <c:pt idx="12">
                        <c:v>0</c:v>
                      </c:pt>
                      <c:pt idx="13">
                        <c:v>0</c:v>
                      </c:pt>
                      <c:pt idx="14">
                        <c:v>0</c:v>
                      </c:pt>
                      <c:pt idx="15">
                        <c:v>0</c:v>
                      </c:pt>
                      <c:pt idx="16">
                        <c:v>0</c:v>
                      </c:pt>
                      <c:pt idx="17">
                        <c:v>0</c:v>
                      </c:pt>
                      <c:pt idx="18">
                        <c:v>0</c:v>
                      </c:pt>
                      <c:pt idx="19">
                        <c:v>0</c:v>
                      </c:pt>
                      <c:pt idx="20">
                        <c:v>0</c:v>
                      </c:pt>
                      <c:pt idx="21">
                        <c:v>0</c:v>
                      </c:pt>
                    </c:numCache>
                  </c:numRef>
                </c:val>
                <c:extLst xmlns:c15="http://schemas.microsoft.com/office/drawing/2012/chart">
                  <c:ext xmlns:c16="http://schemas.microsoft.com/office/drawing/2014/chart" uri="{C3380CC4-5D6E-409C-BE32-E72D297353CC}">
                    <c16:uniqueId val="{00000007-6B8B-442A-9F8B-298B1434AD67}"/>
                  </c:ext>
                </c:extLst>
              </c15:ser>
            </c15:filteredBarSeries>
            <c15:filteredBarSeries>
              <c15:ser>
                <c:idx val="8"/>
                <c:order val="8"/>
                <c:tx>
                  <c:strRef>
                    <c:extLst xmlns:c15="http://schemas.microsoft.com/office/drawing/2012/chart">
                      <c:ext xmlns:c15="http://schemas.microsoft.com/office/drawing/2012/chart" uri="{02D57815-91ED-43cb-92C2-25804820EDAC}">
                        <c15:formulaRef>
                          <c15:sqref>Mittelwerte!$L$2</c15:sqref>
                        </c15:formulaRef>
                      </c:ext>
                    </c:extLst>
                    <c:strCache>
                      <c:ptCount val="1"/>
                      <c:pt idx="0">
                        <c:v>n-PFDoDA </c:v>
                      </c:pt>
                    </c:strCache>
                  </c:strRef>
                </c:tx>
                <c:spPr>
                  <a:solidFill>
                    <a:schemeClr val="accent3">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Mittelwerte!$B$43:$C$148</c15:sqref>
                        </c15:fullRef>
                        <c15:formulaRef>
                          <c15:sqref>(Mittelwerte!$B$43:$C$52,Mittelwerte!$B$113:$C$118,Mittelwerte!$B$143:$C$148)</c15:sqref>
                        </c15:formulaRef>
                      </c:ext>
                    </c:extLst>
                    <c:multiLvlStrCache>
                      <c:ptCount val="22"/>
                      <c:lvl>
                        <c:pt idx="0">
                          <c:v>1</c:v>
                        </c:pt>
                        <c:pt idx="1">
                          <c:v>5</c:v>
                        </c:pt>
                        <c:pt idx="2">
                          <c:v>17</c:v>
                        </c:pt>
                        <c:pt idx="3">
                          <c:v>38</c:v>
                        </c:pt>
                        <c:pt idx="4">
                          <c:v>54</c:v>
                        </c:pt>
                        <c:pt idx="5">
                          <c:v>57</c:v>
                        </c:pt>
                        <c:pt idx="6">
                          <c:v>61</c:v>
                        </c:pt>
                        <c:pt idx="7">
                          <c:v>73</c:v>
                        </c:pt>
                        <c:pt idx="8">
                          <c:v>101</c:v>
                        </c:pt>
                        <c:pt idx="9">
                          <c:v>136</c:v>
                        </c:pt>
                        <c:pt idx="10">
                          <c:v>1</c:v>
                        </c:pt>
                        <c:pt idx="11">
                          <c:v>5</c:v>
                        </c:pt>
                        <c:pt idx="12">
                          <c:v>17</c:v>
                        </c:pt>
                        <c:pt idx="13">
                          <c:v>57</c:v>
                        </c:pt>
                        <c:pt idx="14">
                          <c:v>61</c:v>
                        </c:pt>
                        <c:pt idx="15">
                          <c:v>136</c:v>
                        </c:pt>
                        <c:pt idx="16">
                          <c:v>1</c:v>
                        </c:pt>
                        <c:pt idx="17">
                          <c:v>5</c:v>
                        </c:pt>
                        <c:pt idx="18">
                          <c:v>17</c:v>
                        </c:pt>
                        <c:pt idx="19">
                          <c:v>57</c:v>
                        </c:pt>
                        <c:pt idx="20">
                          <c:v>61</c:v>
                        </c:pt>
                        <c:pt idx="21">
                          <c:v>136</c:v>
                        </c:pt>
                      </c:lvl>
                      <c:lvl>
                        <c:pt idx="0">
                          <c:v>Milk</c:v>
                        </c:pt>
                        <c:pt idx="10">
                          <c:v>Urine</c:v>
                        </c:pt>
                        <c:pt idx="16">
                          <c:v>Feces</c:v>
                        </c:pt>
                      </c:lvl>
                    </c:multiLvlStrCache>
                  </c:multiLvlStrRef>
                </c:cat>
                <c:val>
                  <c:numRef>
                    <c:extLst>
                      <c:ext xmlns:c15="http://schemas.microsoft.com/office/drawing/2012/chart" uri="{02D57815-91ED-43cb-92C2-25804820EDAC}">
                        <c15:fullRef>
                          <c15:sqref>Mittelwerte!$L$43:$L$148</c15:sqref>
                        </c15:fullRef>
                        <c15:formulaRef>
                          <c15:sqref>(Mittelwerte!$L$43:$L$52,Mittelwerte!$L$113:$L$118,Mittelwerte!$L$143:$L$148)</c15:sqref>
                        </c15:formulaRef>
                      </c:ext>
                    </c:extLst>
                    <c:numCache>
                      <c:formatCode>0.00</c:formatCode>
                      <c:ptCount val="22"/>
                      <c:pt idx="0">
                        <c:v>0</c:v>
                      </c:pt>
                      <c:pt idx="1">
                        <c:v>1.97412126330273E-3</c:v>
                      </c:pt>
                      <c:pt idx="2">
                        <c:v>2.3854710311027448E-2</c:v>
                      </c:pt>
                      <c:pt idx="3">
                        <c:v>2.8409015678178148E-2</c:v>
                      </c:pt>
                      <c:pt idx="4">
                        <c:v>2.4411039298320149E-2</c:v>
                      </c:pt>
                      <c:pt idx="5">
                        <c:v>2.979014133004175E-2</c:v>
                      </c:pt>
                      <c:pt idx="6">
                        <c:v>2.1161698122101426E-2</c:v>
                      </c:pt>
                      <c:pt idx="7">
                        <c:v>1.6928699171639375E-2</c:v>
                      </c:pt>
                      <c:pt idx="8">
                        <c:v>5.0868400515241977E-3</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val>
                <c:extLst xmlns:c15="http://schemas.microsoft.com/office/drawing/2012/chart">
                  <c:ext xmlns:c16="http://schemas.microsoft.com/office/drawing/2014/chart" uri="{C3380CC4-5D6E-409C-BE32-E72D297353CC}">
                    <c16:uniqueId val="{00000008-6B8B-442A-9F8B-298B1434AD67}"/>
                  </c:ext>
                </c:extLst>
              </c15:ser>
            </c15:filteredBarSeries>
            <c15:filteredBarSeries>
              <c15:ser>
                <c:idx val="9"/>
                <c:order val="9"/>
                <c:tx>
                  <c:strRef>
                    <c:extLst xmlns:c15="http://schemas.microsoft.com/office/drawing/2012/chart">
                      <c:ext xmlns:c15="http://schemas.microsoft.com/office/drawing/2012/chart" uri="{02D57815-91ED-43cb-92C2-25804820EDAC}">
                        <c15:formulaRef>
                          <c15:sqref>Mittelwerte!$M$2</c15:sqref>
                        </c15:formulaRef>
                      </c:ext>
                    </c:extLst>
                    <c:strCache>
                      <c:ptCount val="1"/>
                      <c:pt idx="0">
                        <c:v>n-PFTrDA </c:v>
                      </c:pt>
                    </c:strCache>
                  </c:strRef>
                </c:tx>
                <c:spPr>
                  <a:solidFill>
                    <a:schemeClr val="accent4">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Mittelwerte!$B$43:$C$148</c15:sqref>
                        </c15:fullRef>
                        <c15:formulaRef>
                          <c15:sqref>(Mittelwerte!$B$43:$C$52,Mittelwerte!$B$113:$C$118,Mittelwerte!$B$143:$C$148)</c15:sqref>
                        </c15:formulaRef>
                      </c:ext>
                    </c:extLst>
                    <c:multiLvlStrCache>
                      <c:ptCount val="22"/>
                      <c:lvl>
                        <c:pt idx="0">
                          <c:v>1</c:v>
                        </c:pt>
                        <c:pt idx="1">
                          <c:v>5</c:v>
                        </c:pt>
                        <c:pt idx="2">
                          <c:v>17</c:v>
                        </c:pt>
                        <c:pt idx="3">
                          <c:v>38</c:v>
                        </c:pt>
                        <c:pt idx="4">
                          <c:v>54</c:v>
                        </c:pt>
                        <c:pt idx="5">
                          <c:v>57</c:v>
                        </c:pt>
                        <c:pt idx="6">
                          <c:v>61</c:v>
                        </c:pt>
                        <c:pt idx="7">
                          <c:v>73</c:v>
                        </c:pt>
                        <c:pt idx="8">
                          <c:v>101</c:v>
                        </c:pt>
                        <c:pt idx="9">
                          <c:v>136</c:v>
                        </c:pt>
                        <c:pt idx="10">
                          <c:v>1</c:v>
                        </c:pt>
                        <c:pt idx="11">
                          <c:v>5</c:v>
                        </c:pt>
                        <c:pt idx="12">
                          <c:v>17</c:v>
                        </c:pt>
                        <c:pt idx="13">
                          <c:v>57</c:v>
                        </c:pt>
                        <c:pt idx="14">
                          <c:v>61</c:v>
                        </c:pt>
                        <c:pt idx="15">
                          <c:v>136</c:v>
                        </c:pt>
                        <c:pt idx="16">
                          <c:v>1</c:v>
                        </c:pt>
                        <c:pt idx="17">
                          <c:v>5</c:v>
                        </c:pt>
                        <c:pt idx="18">
                          <c:v>17</c:v>
                        </c:pt>
                        <c:pt idx="19">
                          <c:v>57</c:v>
                        </c:pt>
                        <c:pt idx="20">
                          <c:v>61</c:v>
                        </c:pt>
                        <c:pt idx="21">
                          <c:v>136</c:v>
                        </c:pt>
                      </c:lvl>
                      <c:lvl>
                        <c:pt idx="0">
                          <c:v>Milk</c:v>
                        </c:pt>
                        <c:pt idx="10">
                          <c:v>Urine</c:v>
                        </c:pt>
                        <c:pt idx="16">
                          <c:v>Feces</c:v>
                        </c:pt>
                      </c:lvl>
                    </c:multiLvlStrCache>
                  </c:multiLvlStrRef>
                </c:cat>
                <c:val>
                  <c:numRef>
                    <c:extLst>
                      <c:ext xmlns:c15="http://schemas.microsoft.com/office/drawing/2012/chart" uri="{02D57815-91ED-43cb-92C2-25804820EDAC}">
                        <c15:fullRef>
                          <c15:sqref>Mittelwerte!$M$43:$M$148</c15:sqref>
                        </c15:fullRef>
                        <c15:formulaRef>
                          <c15:sqref>(Mittelwerte!$M$43:$M$52,Mittelwerte!$M$113:$M$118,Mittelwerte!$M$143:$M$148)</c15:sqref>
                        </c15:formulaRef>
                      </c:ext>
                    </c:extLst>
                    <c:numCache>
                      <c:formatCode>0.00</c:formatCode>
                      <c:ptCount val="22"/>
                      <c:pt idx="0">
                        <c:v>0</c:v>
                      </c:pt>
                      <c:pt idx="1">
                        <c:v>0</c:v>
                      </c:pt>
                      <c:pt idx="2">
                        <c:v>8.3714475931800682E-3</c:v>
                      </c:pt>
                      <c:pt idx="3">
                        <c:v>1.0017572817538165E-2</c:v>
                      </c:pt>
                      <c:pt idx="4">
                        <c:v>6.7601928425284645E-3</c:v>
                      </c:pt>
                      <c:pt idx="5">
                        <c:v>9.9662282371779948E-3</c:v>
                      </c:pt>
                      <c:pt idx="6">
                        <c:v>5.7717847948439401E-3</c:v>
                      </c:pt>
                      <c:pt idx="7">
                        <c:v>4.064834119247851E-3</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val>
                <c:extLst xmlns:c15="http://schemas.microsoft.com/office/drawing/2012/chart">
                  <c:ext xmlns:c16="http://schemas.microsoft.com/office/drawing/2014/chart" uri="{C3380CC4-5D6E-409C-BE32-E72D297353CC}">
                    <c16:uniqueId val="{00000009-6B8B-442A-9F8B-298B1434AD67}"/>
                  </c:ext>
                </c:extLst>
              </c15:ser>
            </c15:filteredBarSeries>
            <c15:filteredBarSeries>
              <c15:ser>
                <c:idx val="10"/>
                <c:order val="10"/>
                <c:tx>
                  <c:strRef>
                    <c:extLst xmlns:c15="http://schemas.microsoft.com/office/drawing/2012/chart">
                      <c:ext xmlns:c15="http://schemas.microsoft.com/office/drawing/2012/chart" uri="{02D57815-91ED-43cb-92C2-25804820EDAC}">
                        <c15:formulaRef>
                          <c15:sqref>Mittelwerte!$N$2</c15:sqref>
                        </c15:formulaRef>
                      </c:ext>
                    </c:extLst>
                    <c:strCache>
                      <c:ptCount val="1"/>
                      <c:pt idx="0">
                        <c:v>n-PFTeDA </c:v>
                      </c:pt>
                    </c:strCache>
                  </c:strRef>
                </c:tx>
                <c:spPr>
                  <a:solidFill>
                    <a:schemeClr val="accent5">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Mittelwerte!$B$43:$C$148</c15:sqref>
                        </c15:fullRef>
                        <c15:formulaRef>
                          <c15:sqref>(Mittelwerte!$B$43:$C$52,Mittelwerte!$B$113:$C$118,Mittelwerte!$B$143:$C$148)</c15:sqref>
                        </c15:formulaRef>
                      </c:ext>
                    </c:extLst>
                    <c:multiLvlStrCache>
                      <c:ptCount val="22"/>
                      <c:lvl>
                        <c:pt idx="0">
                          <c:v>1</c:v>
                        </c:pt>
                        <c:pt idx="1">
                          <c:v>5</c:v>
                        </c:pt>
                        <c:pt idx="2">
                          <c:v>17</c:v>
                        </c:pt>
                        <c:pt idx="3">
                          <c:v>38</c:v>
                        </c:pt>
                        <c:pt idx="4">
                          <c:v>54</c:v>
                        </c:pt>
                        <c:pt idx="5">
                          <c:v>57</c:v>
                        </c:pt>
                        <c:pt idx="6">
                          <c:v>61</c:v>
                        </c:pt>
                        <c:pt idx="7">
                          <c:v>73</c:v>
                        </c:pt>
                        <c:pt idx="8">
                          <c:v>101</c:v>
                        </c:pt>
                        <c:pt idx="9">
                          <c:v>136</c:v>
                        </c:pt>
                        <c:pt idx="10">
                          <c:v>1</c:v>
                        </c:pt>
                        <c:pt idx="11">
                          <c:v>5</c:v>
                        </c:pt>
                        <c:pt idx="12">
                          <c:v>17</c:v>
                        </c:pt>
                        <c:pt idx="13">
                          <c:v>57</c:v>
                        </c:pt>
                        <c:pt idx="14">
                          <c:v>61</c:v>
                        </c:pt>
                        <c:pt idx="15">
                          <c:v>136</c:v>
                        </c:pt>
                        <c:pt idx="16">
                          <c:v>1</c:v>
                        </c:pt>
                        <c:pt idx="17">
                          <c:v>5</c:v>
                        </c:pt>
                        <c:pt idx="18">
                          <c:v>17</c:v>
                        </c:pt>
                        <c:pt idx="19">
                          <c:v>57</c:v>
                        </c:pt>
                        <c:pt idx="20">
                          <c:v>61</c:v>
                        </c:pt>
                        <c:pt idx="21">
                          <c:v>136</c:v>
                        </c:pt>
                      </c:lvl>
                      <c:lvl>
                        <c:pt idx="0">
                          <c:v>Milk</c:v>
                        </c:pt>
                        <c:pt idx="10">
                          <c:v>Urine</c:v>
                        </c:pt>
                        <c:pt idx="16">
                          <c:v>Feces</c:v>
                        </c:pt>
                      </c:lvl>
                    </c:multiLvlStrCache>
                  </c:multiLvlStrRef>
                </c:cat>
                <c:val>
                  <c:numRef>
                    <c:extLst>
                      <c:ext xmlns:c15="http://schemas.microsoft.com/office/drawing/2012/chart" uri="{02D57815-91ED-43cb-92C2-25804820EDAC}">
                        <c15:fullRef>
                          <c15:sqref>Mittelwerte!$N$43:$N$148</c15:sqref>
                        </c15:fullRef>
                        <c15:formulaRef>
                          <c15:sqref>(Mittelwerte!$N$43:$N$52,Mittelwerte!$N$113:$N$118,Mittelwerte!$N$143:$N$148)</c15:sqref>
                        </c15:formulaRef>
                      </c:ext>
                    </c:extLst>
                    <c:numCache>
                      <c:formatCode>0.00</c:formatCode>
                      <c:ptCount val="22"/>
                      <c:pt idx="0">
                        <c:v>0</c:v>
                      </c:pt>
                      <c:pt idx="1">
                        <c:v>0</c:v>
                      </c:pt>
                      <c:pt idx="2">
                        <c:v>1.9510441128170802E-3</c:v>
                      </c:pt>
                      <c:pt idx="3">
                        <c:v>1.751743256959135E-3</c:v>
                      </c:pt>
                      <c:pt idx="4">
                        <c:v>3.1638680952942376E-3</c:v>
                      </c:pt>
                      <c:pt idx="5">
                        <c:v>2.5899188419415452E-3</c:v>
                      </c:pt>
                      <c:pt idx="6">
                        <c:v>8.236536660502225E-4</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val>
                <c:extLst xmlns:c15="http://schemas.microsoft.com/office/drawing/2012/chart">
                  <c:ext xmlns:c16="http://schemas.microsoft.com/office/drawing/2014/chart" uri="{C3380CC4-5D6E-409C-BE32-E72D297353CC}">
                    <c16:uniqueId val="{0000000A-6B8B-442A-9F8B-298B1434AD67}"/>
                  </c:ext>
                </c:extLst>
              </c15:ser>
            </c15:filteredBarSeries>
            <c15:filteredBarSeries>
              <c15:ser>
                <c:idx val="11"/>
                <c:order val="11"/>
                <c:tx>
                  <c:strRef>
                    <c:extLst xmlns:c15="http://schemas.microsoft.com/office/drawing/2012/chart">
                      <c:ext xmlns:c15="http://schemas.microsoft.com/office/drawing/2012/chart" uri="{02D57815-91ED-43cb-92C2-25804820EDAC}">
                        <c15:formulaRef>
                          <c15:sqref>Mittelwerte!$O$2</c15:sqref>
                        </c15:formulaRef>
                      </c:ext>
                    </c:extLst>
                    <c:strCache>
                      <c:ptCount val="1"/>
                      <c:pt idx="0">
                        <c:v>n-PFBS </c:v>
                      </c:pt>
                    </c:strCache>
                  </c:strRef>
                </c:tx>
                <c:spPr>
                  <a:solidFill>
                    <a:schemeClr val="accent6">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Mittelwerte!$B$43:$C$148</c15:sqref>
                        </c15:fullRef>
                        <c15:formulaRef>
                          <c15:sqref>(Mittelwerte!$B$43:$C$52,Mittelwerte!$B$113:$C$118,Mittelwerte!$B$143:$C$148)</c15:sqref>
                        </c15:formulaRef>
                      </c:ext>
                    </c:extLst>
                    <c:multiLvlStrCache>
                      <c:ptCount val="22"/>
                      <c:lvl>
                        <c:pt idx="0">
                          <c:v>1</c:v>
                        </c:pt>
                        <c:pt idx="1">
                          <c:v>5</c:v>
                        </c:pt>
                        <c:pt idx="2">
                          <c:v>17</c:v>
                        </c:pt>
                        <c:pt idx="3">
                          <c:v>38</c:v>
                        </c:pt>
                        <c:pt idx="4">
                          <c:v>54</c:v>
                        </c:pt>
                        <c:pt idx="5">
                          <c:v>57</c:v>
                        </c:pt>
                        <c:pt idx="6">
                          <c:v>61</c:v>
                        </c:pt>
                        <c:pt idx="7">
                          <c:v>73</c:v>
                        </c:pt>
                        <c:pt idx="8">
                          <c:v>101</c:v>
                        </c:pt>
                        <c:pt idx="9">
                          <c:v>136</c:v>
                        </c:pt>
                        <c:pt idx="10">
                          <c:v>1</c:v>
                        </c:pt>
                        <c:pt idx="11">
                          <c:v>5</c:v>
                        </c:pt>
                        <c:pt idx="12">
                          <c:v>17</c:v>
                        </c:pt>
                        <c:pt idx="13">
                          <c:v>57</c:v>
                        </c:pt>
                        <c:pt idx="14">
                          <c:v>61</c:v>
                        </c:pt>
                        <c:pt idx="15">
                          <c:v>136</c:v>
                        </c:pt>
                        <c:pt idx="16">
                          <c:v>1</c:v>
                        </c:pt>
                        <c:pt idx="17">
                          <c:v>5</c:v>
                        </c:pt>
                        <c:pt idx="18">
                          <c:v>17</c:v>
                        </c:pt>
                        <c:pt idx="19">
                          <c:v>57</c:v>
                        </c:pt>
                        <c:pt idx="20">
                          <c:v>61</c:v>
                        </c:pt>
                        <c:pt idx="21">
                          <c:v>136</c:v>
                        </c:pt>
                      </c:lvl>
                      <c:lvl>
                        <c:pt idx="0">
                          <c:v>Milk</c:v>
                        </c:pt>
                        <c:pt idx="10">
                          <c:v>Urine</c:v>
                        </c:pt>
                        <c:pt idx="16">
                          <c:v>Feces</c:v>
                        </c:pt>
                      </c:lvl>
                    </c:multiLvlStrCache>
                  </c:multiLvlStrRef>
                </c:cat>
                <c:val>
                  <c:numRef>
                    <c:extLst>
                      <c:ext xmlns:c15="http://schemas.microsoft.com/office/drawing/2012/chart" uri="{02D57815-91ED-43cb-92C2-25804820EDAC}">
                        <c15:fullRef>
                          <c15:sqref>Mittelwerte!$O$43:$O$148</c15:sqref>
                        </c15:fullRef>
                        <c15:formulaRef>
                          <c15:sqref>(Mittelwerte!$O$43:$O$52,Mittelwerte!$O$113:$O$118,Mittelwerte!$O$143:$O$148)</c15:sqref>
                        </c15:formulaRef>
                      </c:ext>
                    </c:extLst>
                    <c:numCache>
                      <c:formatCode>0.00</c:formatCode>
                      <c:ptCount val="22"/>
                      <c:pt idx="0">
                        <c:v>0</c:v>
                      </c:pt>
                      <c:pt idx="1">
                        <c:v>0</c:v>
                      </c:pt>
                      <c:pt idx="2">
                        <c:v>0</c:v>
                      </c:pt>
                      <c:pt idx="3">
                        <c:v>0</c:v>
                      </c:pt>
                      <c:pt idx="4">
                        <c:v>0</c:v>
                      </c:pt>
                      <c:pt idx="5">
                        <c:v>0</c:v>
                      </c:pt>
                      <c:pt idx="6">
                        <c:v>0</c:v>
                      </c:pt>
                      <c:pt idx="7">
                        <c:v>0</c:v>
                      </c:pt>
                      <c:pt idx="8">
                        <c:v>0</c:v>
                      </c:pt>
                      <c:pt idx="9">
                        <c:v>0</c:v>
                      </c:pt>
                      <c:pt idx="10">
                        <c:v>0</c:v>
                      </c:pt>
                      <c:pt idx="11">
                        <c:v>0</c:v>
                      </c:pt>
                      <c:pt idx="12">
                        <c:v>0.62</c:v>
                      </c:pt>
                      <c:pt idx="13">
                        <c:v>0</c:v>
                      </c:pt>
                      <c:pt idx="14">
                        <c:v>0</c:v>
                      </c:pt>
                      <c:pt idx="15">
                        <c:v>0</c:v>
                      </c:pt>
                      <c:pt idx="16">
                        <c:v>0</c:v>
                      </c:pt>
                      <c:pt idx="17">
                        <c:v>0</c:v>
                      </c:pt>
                      <c:pt idx="18">
                        <c:v>0</c:v>
                      </c:pt>
                      <c:pt idx="19">
                        <c:v>0</c:v>
                      </c:pt>
                      <c:pt idx="20">
                        <c:v>0</c:v>
                      </c:pt>
                      <c:pt idx="21">
                        <c:v>0</c:v>
                      </c:pt>
                    </c:numCache>
                  </c:numRef>
                </c:val>
                <c:extLst xmlns:c15="http://schemas.microsoft.com/office/drawing/2012/chart">
                  <c:ext xmlns:c16="http://schemas.microsoft.com/office/drawing/2014/chart" uri="{C3380CC4-5D6E-409C-BE32-E72D297353CC}">
                    <c16:uniqueId val="{0000000B-6B8B-442A-9F8B-298B1434AD67}"/>
                  </c:ext>
                </c:extLst>
              </c15:ser>
            </c15:filteredBarSeries>
            <c15:filteredBarSeries>
              <c15:ser>
                <c:idx val="12"/>
                <c:order val="12"/>
                <c:tx>
                  <c:strRef>
                    <c:extLst xmlns:c15="http://schemas.microsoft.com/office/drawing/2012/chart">
                      <c:ext xmlns:c15="http://schemas.microsoft.com/office/drawing/2012/chart" uri="{02D57815-91ED-43cb-92C2-25804820EDAC}">
                        <c15:formulaRef>
                          <c15:sqref>Mittelwerte!$P$2</c15:sqref>
                        </c15:formulaRef>
                      </c:ext>
                    </c:extLst>
                    <c:strCache>
                      <c:ptCount val="1"/>
                      <c:pt idx="0">
                        <c:v>n-PFPeS </c:v>
                      </c:pt>
                    </c:strCache>
                  </c:strRef>
                </c:tx>
                <c:spPr>
                  <a:solidFill>
                    <a:schemeClr val="accent1">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Mittelwerte!$B$43:$C$148</c15:sqref>
                        </c15:fullRef>
                        <c15:formulaRef>
                          <c15:sqref>(Mittelwerte!$B$43:$C$52,Mittelwerte!$B$113:$C$118,Mittelwerte!$B$143:$C$148)</c15:sqref>
                        </c15:formulaRef>
                      </c:ext>
                    </c:extLst>
                    <c:multiLvlStrCache>
                      <c:ptCount val="22"/>
                      <c:lvl>
                        <c:pt idx="0">
                          <c:v>1</c:v>
                        </c:pt>
                        <c:pt idx="1">
                          <c:v>5</c:v>
                        </c:pt>
                        <c:pt idx="2">
                          <c:v>17</c:v>
                        </c:pt>
                        <c:pt idx="3">
                          <c:v>38</c:v>
                        </c:pt>
                        <c:pt idx="4">
                          <c:v>54</c:v>
                        </c:pt>
                        <c:pt idx="5">
                          <c:v>57</c:v>
                        </c:pt>
                        <c:pt idx="6">
                          <c:v>61</c:v>
                        </c:pt>
                        <c:pt idx="7">
                          <c:v>73</c:v>
                        </c:pt>
                        <c:pt idx="8">
                          <c:v>101</c:v>
                        </c:pt>
                        <c:pt idx="9">
                          <c:v>136</c:v>
                        </c:pt>
                        <c:pt idx="10">
                          <c:v>1</c:v>
                        </c:pt>
                        <c:pt idx="11">
                          <c:v>5</c:v>
                        </c:pt>
                        <c:pt idx="12">
                          <c:v>17</c:v>
                        </c:pt>
                        <c:pt idx="13">
                          <c:v>57</c:v>
                        </c:pt>
                        <c:pt idx="14">
                          <c:v>61</c:v>
                        </c:pt>
                        <c:pt idx="15">
                          <c:v>136</c:v>
                        </c:pt>
                        <c:pt idx="16">
                          <c:v>1</c:v>
                        </c:pt>
                        <c:pt idx="17">
                          <c:v>5</c:v>
                        </c:pt>
                        <c:pt idx="18">
                          <c:v>17</c:v>
                        </c:pt>
                        <c:pt idx="19">
                          <c:v>57</c:v>
                        </c:pt>
                        <c:pt idx="20">
                          <c:v>61</c:v>
                        </c:pt>
                        <c:pt idx="21">
                          <c:v>136</c:v>
                        </c:pt>
                      </c:lvl>
                      <c:lvl>
                        <c:pt idx="0">
                          <c:v>Milk</c:v>
                        </c:pt>
                        <c:pt idx="10">
                          <c:v>Urine</c:v>
                        </c:pt>
                        <c:pt idx="16">
                          <c:v>Feces</c:v>
                        </c:pt>
                      </c:lvl>
                    </c:multiLvlStrCache>
                  </c:multiLvlStrRef>
                </c:cat>
                <c:val>
                  <c:numRef>
                    <c:extLst>
                      <c:ext xmlns:c15="http://schemas.microsoft.com/office/drawing/2012/chart" uri="{02D57815-91ED-43cb-92C2-25804820EDAC}">
                        <c15:fullRef>
                          <c15:sqref>Mittelwerte!$P$43:$P$148</c15:sqref>
                        </c15:fullRef>
                        <c15:formulaRef>
                          <c15:sqref>(Mittelwerte!$P$43:$P$52,Mittelwerte!$P$113:$P$118,Mittelwerte!$P$143:$P$148)</c15:sqref>
                        </c15:formulaRef>
                      </c:ext>
                    </c:extLst>
                    <c:numCache>
                      <c:formatCode>0.00</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val>
                <c:extLst xmlns:c15="http://schemas.microsoft.com/office/drawing/2012/chart">
                  <c:ext xmlns:c16="http://schemas.microsoft.com/office/drawing/2014/chart" uri="{C3380CC4-5D6E-409C-BE32-E72D297353CC}">
                    <c16:uniqueId val="{0000000C-6B8B-442A-9F8B-298B1434AD67}"/>
                  </c:ext>
                </c:extLst>
              </c15:ser>
            </c15:filteredBarSeries>
            <c15:filteredBarSeries>
              <c15:ser>
                <c:idx val="13"/>
                <c:order val="13"/>
                <c:tx>
                  <c:strRef>
                    <c:extLst xmlns:c15="http://schemas.microsoft.com/office/drawing/2012/chart">
                      <c:ext xmlns:c15="http://schemas.microsoft.com/office/drawing/2012/chart" uri="{02D57815-91ED-43cb-92C2-25804820EDAC}">
                        <c15:formulaRef>
                          <c15:sqref>Mittelwerte!$Q$2</c15:sqref>
                        </c15:formulaRef>
                      </c:ext>
                    </c:extLst>
                    <c:strCache>
                      <c:ptCount val="1"/>
                      <c:pt idx="0">
                        <c:v>n-PFHxS </c:v>
                      </c:pt>
                    </c:strCache>
                  </c:strRef>
                </c:tx>
                <c:spPr>
                  <a:solidFill>
                    <a:schemeClr val="accent2">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Mittelwerte!$B$43:$C$148</c15:sqref>
                        </c15:fullRef>
                        <c15:formulaRef>
                          <c15:sqref>(Mittelwerte!$B$43:$C$52,Mittelwerte!$B$113:$C$118,Mittelwerte!$B$143:$C$148)</c15:sqref>
                        </c15:formulaRef>
                      </c:ext>
                    </c:extLst>
                    <c:multiLvlStrCache>
                      <c:ptCount val="22"/>
                      <c:lvl>
                        <c:pt idx="0">
                          <c:v>1</c:v>
                        </c:pt>
                        <c:pt idx="1">
                          <c:v>5</c:v>
                        </c:pt>
                        <c:pt idx="2">
                          <c:v>17</c:v>
                        </c:pt>
                        <c:pt idx="3">
                          <c:v>38</c:v>
                        </c:pt>
                        <c:pt idx="4">
                          <c:v>54</c:v>
                        </c:pt>
                        <c:pt idx="5">
                          <c:v>57</c:v>
                        </c:pt>
                        <c:pt idx="6">
                          <c:v>61</c:v>
                        </c:pt>
                        <c:pt idx="7">
                          <c:v>73</c:v>
                        </c:pt>
                        <c:pt idx="8">
                          <c:v>101</c:v>
                        </c:pt>
                        <c:pt idx="9">
                          <c:v>136</c:v>
                        </c:pt>
                        <c:pt idx="10">
                          <c:v>1</c:v>
                        </c:pt>
                        <c:pt idx="11">
                          <c:v>5</c:v>
                        </c:pt>
                        <c:pt idx="12">
                          <c:v>17</c:v>
                        </c:pt>
                        <c:pt idx="13">
                          <c:v>57</c:v>
                        </c:pt>
                        <c:pt idx="14">
                          <c:v>61</c:v>
                        </c:pt>
                        <c:pt idx="15">
                          <c:v>136</c:v>
                        </c:pt>
                        <c:pt idx="16">
                          <c:v>1</c:v>
                        </c:pt>
                        <c:pt idx="17">
                          <c:v>5</c:v>
                        </c:pt>
                        <c:pt idx="18">
                          <c:v>17</c:v>
                        </c:pt>
                        <c:pt idx="19">
                          <c:v>57</c:v>
                        </c:pt>
                        <c:pt idx="20">
                          <c:v>61</c:v>
                        </c:pt>
                        <c:pt idx="21">
                          <c:v>136</c:v>
                        </c:pt>
                      </c:lvl>
                      <c:lvl>
                        <c:pt idx="0">
                          <c:v>Milk</c:v>
                        </c:pt>
                        <c:pt idx="10">
                          <c:v>Urine</c:v>
                        </c:pt>
                        <c:pt idx="16">
                          <c:v>Feces</c:v>
                        </c:pt>
                      </c:lvl>
                    </c:multiLvlStrCache>
                  </c:multiLvlStrRef>
                </c:cat>
                <c:val>
                  <c:numRef>
                    <c:extLst>
                      <c:ext xmlns:c15="http://schemas.microsoft.com/office/drawing/2012/chart" uri="{02D57815-91ED-43cb-92C2-25804820EDAC}">
                        <c15:fullRef>
                          <c15:sqref>Mittelwerte!$Q$43:$Q$148</c15:sqref>
                        </c15:fullRef>
                        <c15:formulaRef>
                          <c15:sqref>(Mittelwerte!$Q$43:$Q$52,Mittelwerte!$Q$113:$Q$118,Mittelwerte!$Q$143:$Q$148)</c15:sqref>
                        </c15:formulaRef>
                      </c:ext>
                    </c:extLst>
                    <c:numCache>
                      <c:formatCode>0.00</c:formatCode>
                      <c:ptCount val="22"/>
                      <c:pt idx="0">
                        <c:v>0</c:v>
                      </c:pt>
                      <c:pt idx="1">
                        <c:v>0</c:v>
                      </c:pt>
                      <c:pt idx="2">
                        <c:v>1.1669057824726343E-2</c:v>
                      </c:pt>
                      <c:pt idx="3">
                        <c:v>1.9639776176058475E-2</c:v>
                      </c:pt>
                      <c:pt idx="4">
                        <c:v>1.2951559184429225E-2</c:v>
                      </c:pt>
                      <c:pt idx="5">
                        <c:v>1.2746547846229405E-2</c:v>
                      </c:pt>
                      <c:pt idx="6">
                        <c:v>6.5082837532847099E-3</c:v>
                      </c:pt>
                      <c:pt idx="7">
                        <c:v>0</c:v>
                      </c:pt>
                      <c:pt idx="8">
                        <c:v>0</c:v>
                      </c:pt>
                      <c:pt idx="9">
                        <c:v>0</c:v>
                      </c:pt>
                      <c:pt idx="10">
                        <c:v>0</c:v>
                      </c:pt>
                      <c:pt idx="11">
                        <c:v>0</c:v>
                      </c:pt>
                      <c:pt idx="12">
                        <c:v>1.5273333333333332</c:v>
                      </c:pt>
                      <c:pt idx="13">
                        <c:v>0.85</c:v>
                      </c:pt>
                      <c:pt idx="14">
                        <c:v>0.6845</c:v>
                      </c:pt>
                      <c:pt idx="15">
                        <c:v>0</c:v>
                      </c:pt>
                      <c:pt idx="16">
                        <c:v>0</c:v>
                      </c:pt>
                      <c:pt idx="17">
                        <c:v>0</c:v>
                      </c:pt>
                      <c:pt idx="18">
                        <c:v>0</c:v>
                      </c:pt>
                      <c:pt idx="19">
                        <c:v>0</c:v>
                      </c:pt>
                      <c:pt idx="20">
                        <c:v>0</c:v>
                      </c:pt>
                      <c:pt idx="21">
                        <c:v>0</c:v>
                      </c:pt>
                    </c:numCache>
                  </c:numRef>
                </c:val>
                <c:extLst xmlns:c15="http://schemas.microsoft.com/office/drawing/2012/chart">
                  <c:ext xmlns:c16="http://schemas.microsoft.com/office/drawing/2014/chart" uri="{C3380CC4-5D6E-409C-BE32-E72D297353CC}">
                    <c16:uniqueId val="{0000000D-6B8B-442A-9F8B-298B1434AD67}"/>
                  </c:ext>
                </c:extLst>
              </c15:ser>
            </c15:filteredBarSeries>
            <c15:filteredBarSeries>
              <c15:ser>
                <c:idx val="14"/>
                <c:order val="14"/>
                <c:tx>
                  <c:strRef>
                    <c:extLst xmlns:c15="http://schemas.microsoft.com/office/drawing/2012/chart">
                      <c:ext xmlns:c15="http://schemas.microsoft.com/office/drawing/2012/chart" uri="{02D57815-91ED-43cb-92C2-25804820EDAC}">
                        <c15:formulaRef>
                          <c15:sqref>Mittelwerte!$R$2</c15:sqref>
                        </c15:formulaRef>
                      </c:ext>
                    </c:extLst>
                    <c:strCache>
                      <c:ptCount val="1"/>
                      <c:pt idx="0">
                        <c:v>n-PFHpS </c:v>
                      </c:pt>
                    </c:strCache>
                  </c:strRef>
                </c:tx>
                <c:spPr>
                  <a:solidFill>
                    <a:schemeClr val="accent3">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Mittelwerte!$B$43:$C$148</c15:sqref>
                        </c15:fullRef>
                        <c15:formulaRef>
                          <c15:sqref>(Mittelwerte!$B$43:$C$52,Mittelwerte!$B$113:$C$118,Mittelwerte!$B$143:$C$148)</c15:sqref>
                        </c15:formulaRef>
                      </c:ext>
                    </c:extLst>
                    <c:multiLvlStrCache>
                      <c:ptCount val="22"/>
                      <c:lvl>
                        <c:pt idx="0">
                          <c:v>1</c:v>
                        </c:pt>
                        <c:pt idx="1">
                          <c:v>5</c:v>
                        </c:pt>
                        <c:pt idx="2">
                          <c:v>17</c:v>
                        </c:pt>
                        <c:pt idx="3">
                          <c:v>38</c:v>
                        </c:pt>
                        <c:pt idx="4">
                          <c:v>54</c:v>
                        </c:pt>
                        <c:pt idx="5">
                          <c:v>57</c:v>
                        </c:pt>
                        <c:pt idx="6">
                          <c:v>61</c:v>
                        </c:pt>
                        <c:pt idx="7">
                          <c:v>73</c:v>
                        </c:pt>
                        <c:pt idx="8">
                          <c:v>101</c:v>
                        </c:pt>
                        <c:pt idx="9">
                          <c:v>136</c:v>
                        </c:pt>
                        <c:pt idx="10">
                          <c:v>1</c:v>
                        </c:pt>
                        <c:pt idx="11">
                          <c:v>5</c:v>
                        </c:pt>
                        <c:pt idx="12">
                          <c:v>17</c:v>
                        </c:pt>
                        <c:pt idx="13">
                          <c:v>57</c:v>
                        </c:pt>
                        <c:pt idx="14">
                          <c:v>61</c:v>
                        </c:pt>
                        <c:pt idx="15">
                          <c:v>136</c:v>
                        </c:pt>
                        <c:pt idx="16">
                          <c:v>1</c:v>
                        </c:pt>
                        <c:pt idx="17">
                          <c:v>5</c:v>
                        </c:pt>
                        <c:pt idx="18">
                          <c:v>17</c:v>
                        </c:pt>
                        <c:pt idx="19">
                          <c:v>57</c:v>
                        </c:pt>
                        <c:pt idx="20">
                          <c:v>61</c:v>
                        </c:pt>
                        <c:pt idx="21">
                          <c:v>136</c:v>
                        </c:pt>
                      </c:lvl>
                      <c:lvl>
                        <c:pt idx="0">
                          <c:v>Milk</c:v>
                        </c:pt>
                        <c:pt idx="10">
                          <c:v>Urine</c:v>
                        </c:pt>
                        <c:pt idx="16">
                          <c:v>Feces</c:v>
                        </c:pt>
                      </c:lvl>
                    </c:multiLvlStrCache>
                  </c:multiLvlStrRef>
                </c:cat>
                <c:val>
                  <c:numRef>
                    <c:extLst>
                      <c:ext xmlns:c15="http://schemas.microsoft.com/office/drawing/2012/chart" uri="{02D57815-91ED-43cb-92C2-25804820EDAC}">
                        <c15:fullRef>
                          <c15:sqref>Mittelwerte!$R$43:$R$148</c15:sqref>
                        </c15:fullRef>
                        <c15:formulaRef>
                          <c15:sqref>(Mittelwerte!$R$43:$R$52,Mittelwerte!$R$113:$R$118,Mittelwerte!$R$143:$R$148)</c15:sqref>
                        </c15:formulaRef>
                      </c:ext>
                    </c:extLst>
                    <c:numCache>
                      <c:formatCode>0.00</c:formatCode>
                      <c:ptCount val="22"/>
                      <c:pt idx="0">
                        <c:v>0</c:v>
                      </c:pt>
                      <c:pt idx="1">
                        <c:v>0</c:v>
                      </c:pt>
                      <c:pt idx="2">
                        <c:v>8.0804028258339468E-3</c:v>
                      </c:pt>
                      <c:pt idx="3">
                        <c:v>1.5628639064206949E-2</c:v>
                      </c:pt>
                      <c:pt idx="4">
                        <c:v>1.533833398812855E-2</c:v>
                      </c:pt>
                      <c:pt idx="5">
                        <c:v>1.5669051325312426E-2</c:v>
                      </c:pt>
                      <c:pt idx="6">
                        <c:v>1.071599614779597E-2</c:v>
                      </c:pt>
                      <c:pt idx="7">
                        <c:v>1.0571896179888364E-2</c:v>
                      </c:pt>
                      <c:pt idx="8">
                        <c:v>3.2426175690903826E-3</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val>
                <c:extLst xmlns:c15="http://schemas.microsoft.com/office/drawing/2012/chart">
                  <c:ext xmlns:c16="http://schemas.microsoft.com/office/drawing/2014/chart" uri="{C3380CC4-5D6E-409C-BE32-E72D297353CC}">
                    <c16:uniqueId val="{0000000E-6B8B-442A-9F8B-298B1434AD67}"/>
                  </c:ext>
                </c:extLst>
              </c15:ser>
            </c15:filteredBarSeries>
            <c15:filteredBarSeries>
              <c15:ser>
                <c:idx val="15"/>
                <c:order val="15"/>
                <c:tx>
                  <c:strRef>
                    <c:extLst xmlns:c15="http://schemas.microsoft.com/office/drawing/2012/chart">
                      <c:ext xmlns:c15="http://schemas.microsoft.com/office/drawing/2012/chart" uri="{02D57815-91ED-43cb-92C2-25804820EDAC}">
                        <c15:formulaRef>
                          <c15:sqref>Mittelwerte!$S$2</c15:sqref>
                        </c15:formulaRef>
                      </c:ext>
                    </c:extLst>
                    <c:strCache>
                      <c:ptCount val="1"/>
                      <c:pt idx="0">
                        <c:v>n-PFOS </c:v>
                      </c:pt>
                    </c:strCache>
                  </c:strRef>
                </c:tx>
                <c:spPr>
                  <a:solidFill>
                    <a:schemeClr val="accent4">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Mittelwerte!$B$43:$C$148</c15:sqref>
                        </c15:fullRef>
                        <c15:formulaRef>
                          <c15:sqref>(Mittelwerte!$B$43:$C$52,Mittelwerte!$B$113:$C$118,Mittelwerte!$B$143:$C$148)</c15:sqref>
                        </c15:formulaRef>
                      </c:ext>
                    </c:extLst>
                    <c:multiLvlStrCache>
                      <c:ptCount val="22"/>
                      <c:lvl>
                        <c:pt idx="0">
                          <c:v>1</c:v>
                        </c:pt>
                        <c:pt idx="1">
                          <c:v>5</c:v>
                        </c:pt>
                        <c:pt idx="2">
                          <c:v>17</c:v>
                        </c:pt>
                        <c:pt idx="3">
                          <c:v>38</c:v>
                        </c:pt>
                        <c:pt idx="4">
                          <c:v>54</c:v>
                        </c:pt>
                        <c:pt idx="5">
                          <c:v>57</c:v>
                        </c:pt>
                        <c:pt idx="6">
                          <c:v>61</c:v>
                        </c:pt>
                        <c:pt idx="7">
                          <c:v>73</c:v>
                        </c:pt>
                        <c:pt idx="8">
                          <c:v>101</c:v>
                        </c:pt>
                        <c:pt idx="9">
                          <c:v>136</c:v>
                        </c:pt>
                        <c:pt idx="10">
                          <c:v>1</c:v>
                        </c:pt>
                        <c:pt idx="11">
                          <c:v>5</c:v>
                        </c:pt>
                        <c:pt idx="12">
                          <c:v>17</c:v>
                        </c:pt>
                        <c:pt idx="13">
                          <c:v>57</c:v>
                        </c:pt>
                        <c:pt idx="14">
                          <c:v>61</c:v>
                        </c:pt>
                        <c:pt idx="15">
                          <c:v>136</c:v>
                        </c:pt>
                        <c:pt idx="16">
                          <c:v>1</c:v>
                        </c:pt>
                        <c:pt idx="17">
                          <c:v>5</c:v>
                        </c:pt>
                        <c:pt idx="18">
                          <c:v>17</c:v>
                        </c:pt>
                        <c:pt idx="19">
                          <c:v>57</c:v>
                        </c:pt>
                        <c:pt idx="20">
                          <c:v>61</c:v>
                        </c:pt>
                        <c:pt idx="21">
                          <c:v>136</c:v>
                        </c:pt>
                      </c:lvl>
                      <c:lvl>
                        <c:pt idx="0">
                          <c:v>Milk</c:v>
                        </c:pt>
                        <c:pt idx="10">
                          <c:v>Urine</c:v>
                        </c:pt>
                        <c:pt idx="16">
                          <c:v>Feces</c:v>
                        </c:pt>
                      </c:lvl>
                    </c:multiLvlStrCache>
                  </c:multiLvlStrRef>
                </c:cat>
                <c:val>
                  <c:numRef>
                    <c:extLst>
                      <c:ext xmlns:c15="http://schemas.microsoft.com/office/drawing/2012/chart" uri="{02D57815-91ED-43cb-92C2-25804820EDAC}">
                        <c15:fullRef>
                          <c15:sqref>Mittelwerte!$S$43:$S$148</c15:sqref>
                        </c15:fullRef>
                        <c15:formulaRef>
                          <c15:sqref>(Mittelwerte!$S$43:$S$52,Mittelwerte!$S$113:$S$118,Mittelwerte!$S$143:$S$148)</c15:sqref>
                        </c15:formulaRef>
                      </c:ext>
                    </c:extLst>
                    <c:numCache>
                      <c:formatCode>0.00</c:formatCode>
                      <c:ptCount val="22"/>
                      <c:pt idx="0">
                        <c:v>0</c:v>
                      </c:pt>
                      <c:pt idx="1">
                        <c:v>0.76866936520161011</c:v>
                      </c:pt>
                      <c:pt idx="2">
                        <c:v>7.4547068733911726</c:v>
                      </c:pt>
                      <c:pt idx="3">
                        <c:v>11.605000344309133</c:v>
                      </c:pt>
                      <c:pt idx="4">
                        <c:v>12.114684260748042</c:v>
                      </c:pt>
                      <c:pt idx="5">
                        <c:v>14.076704224348823</c:v>
                      </c:pt>
                      <c:pt idx="6">
                        <c:v>10.044136137578262</c:v>
                      </c:pt>
                      <c:pt idx="7">
                        <c:v>11.184738733030041</c:v>
                      </c:pt>
                      <c:pt idx="8">
                        <c:v>6.5502433168814678</c:v>
                      </c:pt>
                      <c:pt idx="9">
                        <c:v>1.8733297201410348</c:v>
                      </c:pt>
                      <c:pt idx="10">
                        <c:v>0</c:v>
                      </c:pt>
                      <c:pt idx="11">
                        <c:v>0</c:v>
                      </c:pt>
                      <c:pt idx="12">
                        <c:v>2.1371666666666669</c:v>
                      </c:pt>
                      <c:pt idx="13">
                        <c:v>1.3898333333333335</c:v>
                      </c:pt>
                      <c:pt idx="14">
                        <c:v>1.6633333333333331</c:v>
                      </c:pt>
                      <c:pt idx="15">
                        <c:v>0</c:v>
                      </c:pt>
                      <c:pt idx="16">
                        <c:v>0</c:v>
                      </c:pt>
                      <c:pt idx="17">
                        <c:v>0.82</c:v>
                      </c:pt>
                      <c:pt idx="18">
                        <c:v>7.1466666666666674</c:v>
                      </c:pt>
                      <c:pt idx="19">
                        <c:v>14.833333333333334</c:v>
                      </c:pt>
                      <c:pt idx="20">
                        <c:v>17.566666666666666</c:v>
                      </c:pt>
                      <c:pt idx="21">
                        <c:v>2.8233333333333337</c:v>
                      </c:pt>
                    </c:numCache>
                  </c:numRef>
                </c:val>
                <c:extLst xmlns:c15="http://schemas.microsoft.com/office/drawing/2012/chart">
                  <c:ext xmlns:c16="http://schemas.microsoft.com/office/drawing/2014/chart" uri="{C3380CC4-5D6E-409C-BE32-E72D297353CC}">
                    <c16:uniqueId val="{0000000F-6B8B-442A-9F8B-298B1434AD67}"/>
                  </c:ext>
                </c:extLst>
              </c15:ser>
            </c15:filteredBarSeries>
            <c15:filteredBarSeries>
              <c15:ser>
                <c:idx val="16"/>
                <c:order val="16"/>
                <c:tx>
                  <c:strRef>
                    <c:extLst xmlns:c15="http://schemas.microsoft.com/office/drawing/2012/chart">
                      <c:ext xmlns:c15="http://schemas.microsoft.com/office/drawing/2012/chart" uri="{02D57815-91ED-43cb-92C2-25804820EDAC}">
                        <c15:formulaRef>
                          <c15:sqref>Mittelwerte!$T$2</c15:sqref>
                        </c15:formulaRef>
                      </c:ext>
                    </c:extLst>
                    <c:strCache>
                      <c:ptCount val="1"/>
                      <c:pt idx="0">
                        <c:v>n-PFNS </c:v>
                      </c:pt>
                    </c:strCache>
                  </c:strRef>
                </c:tx>
                <c:spPr>
                  <a:solidFill>
                    <a:schemeClr val="accent5">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Mittelwerte!$B$43:$C$148</c15:sqref>
                        </c15:fullRef>
                        <c15:formulaRef>
                          <c15:sqref>(Mittelwerte!$B$43:$C$52,Mittelwerte!$B$113:$C$118,Mittelwerte!$B$143:$C$148)</c15:sqref>
                        </c15:formulaRef>
                      </c:ext>
                    </c:extLst>
                    <c:multiLvlStrCache>
                      <c:ptCount val="22"/>
                      <c:lvl>
                        <c:pt idx="0">
                          <c:v>1</c:v>
                        </c:pt>
                        <c:pt idx="1">
                          <c:v>5</c:v>
                        </c:pt>
                        <c:pt idx="2">
                          <c:v>17</c:v>
                        </c:pt>
                        <c:pt idx="3">
                          <c:v>38</c:v>
                        </c:pt>
                        <c:pt idx="4">
                          <c:v>54</c:v>
                        </c:pt>
                        <c:pt idx="5">
                          <c:v>57</c:v>
                        </c:pt>
                        <c:pt idx="6">
                          <c:v>61</c:v>
                        </c:pt>
                        <c:pt idx="7">
                          <c:v>73</c:v>
                        </c:pt>
                        <c:pt idx="8">
                          <c:v>101</c:v>
                        </c:pt>
                        <c:pt idx="9">
                          <c:v>136</c:v>
                        </c:pt>
                        <c:pt idx="10">
                          <c:v>1</c:v>
                        </c:pt>
                        <c:pt idx="11">
                          <c:v>5</c:v>
                        </c:pt>
                        <c:pt idx="12">
                          <c:v>17</c:v>
                        </c:pt>
                        <c:pt idx="13">
                          <c:v>57</c:v>
                        </c:pt>
                        <c:pt idx="14">
                          <c:v>61</c:v>
                        </c:pt>
                        <c:pt idx="15">
                          <c:v>136</c:v>
                        </c:pt>
                        <c:pt idx="16">
                          <c:v>1</c:v>
                        </c:pt>
                        <c:pt idx="17">
                          <c:v>5</c:v>
                        </c:pt>
                        <c:pt idx="18">
                          <c:v>17</c:v>
                        </c:pt>
                        <c:pt idx="19">
                          <c:v>57</c:v>
                        </c:pt>
                        <c:pt idx="20">
                          <c:v>61</c:v>
                        </c:pt>
                        <c:pt idx="21">
                          <c:v>136</c:v>
                        </c:pt>
                      </c:lvl>
                      <c:lvl>
                        <c:pt idx="0">
                          <c:v>Milk</c:v>
                        </c:pt>
                        <c:pt idx="10">
                          <c:v>Urine</c:v>
                        </c:pt>
                        <c:pt idx="16">
                          <c:v>Feces</c:v>
                        </c:pt>
                      </c:lvl>
                    </c:multiLvlStrCache>
                  </c:multiLvlStrRef>
                </c:cat>
                <c:val>
                  <c:numRef>
                    <c:extLst>
                      <c:ext xmlns:c15="http://schemas.microsoft.com/office/drawing/2012/chart" uri="{02D57815-91ED-43cb-92C2-25804820EDAC}">
                        <c15:fullRef>
                          <c15:sqref>Mittelwerte!$T$43:$T$148</c15:sqref>
                        </c15:fullRef>
                        <c15:formulaRef>
                          <c15:sqref>(Mittelwerte!$T$43:$T$52,Mittelwerte!$T$113:$T$118,Mittelwerte!$T$143:$T$148)</c15:sqref>
                        </c15:formulaRef>
                      </c:ext>
                    </c:extLst>
                    <c:numCache>
                      <c:formatCode>0.00</c:formatCode>
                      <c:ptCount val="22"/>
                      <c:pt idx="0">
                        <c:v>0</c:v>
                      </c:pt>
                      <c:pt idx="1">
                        <c:v>0.47404368291357957</c:v>
                      </c:pt>
                      <c:pt idx="2">
                        <c:v>4.7880910271523653</c:v>
                      </c:pt>
                      <c:pt idx="3">
                        <c:v>9.1402489407894727</c:v>
                      </c:pt>
                      <c:pt idx="4">
                        <c:v>7.8088782781780939</c:v>
                      </c:pt>
                      <c:pt idx="5">
                        <c:v>10.780668198294162</c:v>
                      </c:pt>
                      <c:pt idx="6">
                        <c:v>7.1658652879994094</c:v>
                      </c:pt>
                      <c:pt idx="7">
                        <c:v>7.5917563297611821</c:v>
                      </c:pt>
                      <c:pt idx="8">
                        <c:v>2.7015214236813452</c:v>
                      </c:pt>
                      <c:pt idx="9">
                        <c:v>0.33927030273870173</c:v>
                      </c:pt>
                      <c:pt idx="10">
                        <c:v>0</c:v>
                      </c:pt>
                      <c:pt idx="11">
                        <c:v>0</c:v>
                      </c:pt>
                      <c:pt idx="12">
                        <c:v>0.59199999999999997</c:v>
                      </c:pt>
                      <c:pt idx="13">
                        <c:v>0</c:v>
                      </c:pt>
                      <c:pt idx="14">
                        <c:v>0</c:v>
                      </c:pt>
                      <c:pt idx="15">
                        <c:v>0</c:v>
                      </c:pt>
                      <c:pt idx="16">
                        <c:v>0</c:v>
                      </c:pt>
                      <c:pt idx="17">
                        <c:v>0.84533333333333338</c:v>
                      </c:pt>
                      <c:pt idx="18">
                        <c:v>10.166666666666666</c:v>
                      </c:pt>
                      <c:pt idx="19">
                        <c:v>13.266666666666666</c:v>
                      </c:pt>
                      <c:pt idx="20">
                        <c:v>20.399999999999999</c:v>
                      </c:pt>
                      <c:pt idx="21">
                        <c:v>1.6406666666666665</c:v>
                      </c:pt>
                    </c:numCache>
                  </c:numRef>
                </c:val>
                <c:extLst xmlns:c15="http://schemas.microsoft.com/office/drawing/2012/chart">
                  <c:ext xmlns:c16="http://schemas.microsoft.com/office/drawing/2014/chart" uri="{C3380CC4-5D6E-409C-BE32-E72D297353CC}">
                    <c16:uniqueId val="{00000010-6B8B-442A-9F8B-298B1434AD67}"/>
                  </c:ext>
                </c:extLst>
              </c15:ser>
            </c15:filteredBarSeries>
            <c15:filteredBarSeries>
              <c15:ser>
                <c:idx val="17"/>
                <c:order val="17"/>
                <c:tx>
                  <c:strRef>
                    <c:extLst xmlns:c15="http://schemas.microsoft.com/office/drawing/2012/chart">
                      <c:ext xmlns:c15="http://schemas.microsoft.com/office/drawing/2012/chart" uri="{02D57815-91ED-43cb-92C2-25804820EDAC}">
                        <c15:formulaRef>
                          <c15:sqref>Mittelwerte!$U$2</c15:sqref>
                        </c15:formulaRef>
                      </c:ext>
                    </c:extLst>
                    <c:strCache>
                      <c:ptCount val="1"/>
                      <c:pt idx="0">
                        <c:v>n-PFDS </c:v>
                      </c:pt>
                    </c:strCache>
                  </c:strRef>
                </c:tx>
                <c:spPr>
                  <a:solidFill>
                    <a:schemeClr val="accent6">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Mittelwerte!$B$43:$C$148</c15:sqref>
                        </c15:fullRef>
                        <c15:formulaRef>
                          <c15:sqref>(Mittelwerte!$B$43:$C$52,Mittelwerte!$B$113:$C$118,Mittelwerte!$B$143:$C$148)</c15:sqref>
                        </c15:formulaRef>
                      </c:ext>
                    </c:extLst>
                    <c:multiLvlStrCache>
                      <c:ptCount val="22"/>
                      <c:lvl>
                        <c:pt idx="0">
                          <c:v>1</c:v>
                        </c:pt>
                        <c:pt idx="1">
                          <c:v>5</c:v>
                        </c:pt>
                        <c:pt idx="2">
                          <c:v>17</c:v>
                        </c:pt>
                        <c:pt idx="3">
                          <c:v>38</c:v>
                        </c:pt>
                        <c:pt idx="4">
                          <c:v>54</c:v>
                        </c:pt>
                        <c:pt idx="5">
                          <c:v>57</c:v>
                        </c:pt>
                        <c:pt idx="6">
                          <c:v>61</c:v>
                        </c:pt>
                        <c:pt idx="7">
                          <c:v>73</c:v>
                        </c:pt>
                        <c:pt idx="8">
                          <c:v>101</c:v>
                        </c:pt>
                        <c:pt idx="9">
                          <c:v>136</c:v>
                        </c:pt>
                        <c:pt idx="10">
                          <c:v>1</c:v>
                        </c:pt>
                        <c:pt idx="11">
                          <c:v>5</c:v>
                        </c:pt>
                        <c:pt idx="12">
                          <c:v>17</c:v>
                        </c:pt>
                        <c:pt idx="13">
                          <c:v>57</c:v>
                        </c:pt>
                        <c:pt idx="14">
                          <c:v>61</c:v>
                        </c:pt>
                        <c:pt idx="15">
                          <c:v>136</c:v>
                        </c:pt>
                        <c:pt idx="16">
                          <c:v>1</c:v>
                        </c:pt>
                        <c:pt idx="17">
                          <c:v>5</c:v>
                        </c:pt>
                        <c:pt idx="18">
                          <c:v>17</c:v>
                        </c:pt>
                        <c:pt idx="19">
                          <c:v>57</c:v>
                        </c:pt>
                        <c:pt idx="20">
                          <c:v>61</c:v>
                        </c:pt>
                        <c:pt idx="21">
                          <c:v>136</c:v>
                        </c:pt>
                      </c:lvl>
                      <c:lvl>
                        <c:pt idx="0">
                          <c:v>Milk</c:v>
                        </c:pt>
                        <c:pt idx="10">
                          <c:v>Urine</c:v>
                        </c:pt>
                        <c:pt idx="16">
                          <c:v>Feces</c:v>
                        </c:pt>
                      </c:lvl>
                    </c:multiLvlStrCache>
                  </c:multiLvlStrRef>
                </c:cat>
                <c:val>
                  <c:numRef>
                    <c:extLst>
                      <c:ext xmlns:c15="http://schemas.microsoft.com/office/drawing/2012/chart" uri="{02D57815-91ED-43cb-92C2-25804820EDAC}">
                        <c15:fullRef>
                          <c15:sqref>Mittelwerte!$U$43:$U$148</c15:sqref>
                        </c15:fullRef>
                        <c15:formulaRef>
                          <c15:sqref>(Mittelwerte!$U$43:$U$52,Mittelwerte!$U$113:$U$118,Mittelwerte!$U$143:$U$148)</c15:sqref>
                        </c15:formulaRef>
                      </c:ext>
                    </c:extLst>
                    <c:numCache>
                      <c:formatCode>0.00</c:formatCode>
                      <c:ptCount val="22"/>
                      <c:pt idx="0">
                        <c:v>0</c:v>
                      </c:pt>
                      <c:pt idx="1">
                        <c:v>0.3304335211617157</c:v>
                      </c:pt>
                      <c:pt idx="2">
                        <c:v>2.7656977465827026</c:v>
                      </c:pt>
                      <c:pt idx="3">
                        <c:v>3.6659224497913052</c:v>
                      </c:pt>
                      <c:pt idx="4">
                        <c:v>5.1831890988993026</c:v>
                      </c:pt>
                      <c:pt idx="5">
                        <c:v>4.0865793591024495</c:v>
                      </c:pt>
                      <c:pt idx="6">
                        <c:v>2.3999744360749475</c:v>
                      </c:pt>
                      <c:pt idx="7">
                        <c:v>1.8726619176715349</c:v>
                      </c:pt>
                      <c:pt idx="8">
                        <c:v>0.50733103924064149</c:v>
                      </c:pt>
                      <c:pt idx="9">
                        <c:v>4.3991815676489028E-2</c:v>
                      </c:pt>
                      <c:pt idx="10">
                        <c:v>0</c:v>
                      </c:pt>
                      <c:pt idx="11">
                        <c:v>0</c:v>
                      </c:pt>
                      <c:pt idx="12">
                        <c:v>0</c:v>
                      </c:pt>
                      <c:pt idx="13">
                        <c:v>0</c:v>
                      </c:pt>
                      <c:pt idx="14">
                        <c:v>0</c:v>
                      </c:pt>
                      <c:pt idx="15">
                        <c:v>0</c:v>
                      </c:pt>
                      <c:pt idx="16">
                        <c:v>0</c:v>
                      </c:pt>
                      <c:pt idx="17">
                        <c:v>3.0966666666666671</c:v>
                      </c:pt>
                      <c:pt idx="18">
                        <c:v>18.066666666666666</c:v>
                      </c:pt>
                      <c:pt idx="19">
                        <c:v>20.733333333333334</c:v>
                      </c:pt>
                      <c:pt idx="20">
                        <c:v>33.466666666666669</c:v>
                      </c:pt>
                      <c:pt idx="21">
                        <c:v>1.3199999999999998</c:v>
                      </c:pt>
                    </c:numCache>
                  </c:numRef>
                </c:val>
                <c:extLst xmlns:c15="http://schemas.microsoft.com/office/drawing/2012/chart">
                  <c:ext xmlns:c16="http://schemas.microsoft.com/office/drawing/2014/chart" uri="{C3380CC4-5D6E-409C-BE32-E72D297353CC}">
                    <c16:uniqueId val="{00000011-6B8B-442A-9F8B-298B1434AD67}"/>
                  </c:ext>
                </c:extLst>
              </c15:ser>
            </c15:filteredBarSeries>
            <c15:filteredBarSeries>
              <c15:ser>
                <c:idx val="18"/>
                <c:order val="18"/>
                <c:tx>
                  <c:strRef>
                    <c:extLst xmlns:c15="http://schemas.microsoft.com/office/drawing/2012/chart">
                      <c:ext xmlns:c15="http://schemas.microsoft.com/office/drawing/2012/chart" uri="{02D57815-91ED-43cb-92C2-25804820EDAC}">
                        <c15:formulaRef>
                          <c15:sqref>Mittelwerte!$V$2</c15:sqref>
                        </c15:formulaRef>
                      </c:ext>
                    </c:extLst>
                    <c:strCache>
                      <c:ptCount val="1"/>
                      <c:pt idx="0">
                        <c:v>n-PFUnDS </c:v>
                      </c:pt>
                    </c:strCache>
                  </c:strRef>
                </c:tx>
                <c:spPr>
                  <a:solidFill>
                    <a:schemeClr val="accent1">
                      <a:lumMod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Mittelwerte!$B$43:$C$148</c15:sqref>
                        </c15:fullRef>
                        <c15:formulaRef>
                          <c15:sqref>(Mittelwerte!$B$43:$C$52,Mittelwerte!$B$113:$C$118,Mittelwerte!$B$143:$C$148)</c15:sqref>
                        </c15:formulaRef>
                      </c:ext>
                    </c:extLst>
                    <c:multiLvlStrCache>
                      <c:ptCount val="22"/>
                      <c:lvl>
                        <c:pt idx="0">
                          <c:v>1</c:v>
                        </c:pt>
                        <c:pt idx="1">
                          <c:v>5</c:v>
                        </c:pt>
                        <c:pt idx="2">
                          <c:v>17</c:v>
                        </c:pt>
                        <c:pt idx="3">
                          <c:v>38</c:v>
                        </c:pt>
                        <c:pt idx="4">
                          <c:v>54</c:v>
                        </c:pt>
                        <c:pt idx="5">
                          <c:v>57</c:v>
                        </c:pt>
                        <c:pt idx="6">
                          <c:v>61</c:v>
                        </c:pt>
                        <c:pt idx="7">
                          <c:v>73</c:v>
                        </c:pt>
                        <c:pt idx="8">
                          <c:v>101</c:v>
                        </c:pt>
                        <c:pt idx="9">
                          <c:v>136</c:v>
                        </c:pt>
                        <c:pt idx="10">
                          <c:v>1</c:v>
                        </c:pt>
                        <c:pt idx="11">
                          <c:v>5</c:v>
                        </c:pt>
                        <c:pt idx="12">
                          <c:v>17</c:v>
                        </c:pt>
                        <c:pt idx="13">
                          <c:v>57</c:v>
                        </c:pt>
                        <c:pt idx="14">
                          <c:v>61</c:v>
                        </c:pt>
                        <c:pt idx="15">
                          <c:v>136</c:v>
                        </c:pt>
                        <c:pt idx="16">
                          <c:v>1</c:v>
                        </c:pt>
                        <c:pt idx="17">
                          <c:v>5</c:v>
                        </c:pt>
                        <c:pt idx="18">
                          <c:v>17</c:v>
                        </c:pt>
                        <c:pt idx="19">
                          <c:v>57</c:v>
                        </c:pt>
                        <c:pt idx="20">
                          <c:v>61</c:v>
                        </c:pt>
                        <c:pt idx="21">
                          <c:v>136</c:v>
                        </c:pt>
                      </c:lvl>
                      <c:lvl>
                        <c:pt idx="0">
                          <c:v>Milk</c:v>
                        </c:pt>
                        <c:pt idx="10">
                          <c:v>Urine</c:v>
                        </c:pt>
                        <c:pt idx="16">
                          <c:v>Feces</c:v>
                        </c:pt>
                      </c:lvl>
                    </c:multiLvlStrCache>
                  </c:multiLvlStrRef>
                </c:cat>
                <c:val>
                  <c:numRef>
                    <c:extLst>
                      <c:ext xmlns:c15="http://schemas.microsoft.com/office/drawing/2012/chart" uri="{02D57815-91ED-43cb-92C2-25804820EDAC}">
                        <c15:fullRef>
                          <c15:sqref>Mittelwerte!$V$43:$V$148</c15:sqref>
                        </c15:fullRef>
                        <c15:formulaRef>
                          <c15:sqref>(Mittelwerte!$V$43:$V$52,Mittelwerte!$V$113:$V$118,Mittelwerte!$V$143:$V$148)</c15:sqref>
                        </c15:formulaRef>
                      </c:ext>
                    </c:extLst>
                    <c:numCache>
                      <c:formatCode>0.00</c:formatCode>
                      <c:ptCount val="22"/>
                      <c:pt idx="0">
                        <c:v>0</c:v>
                      </c:pt>
                      <c:pt idx="1">
                        <c:v>3.172583200893675E-2</c:v>
                      </c:pt>
                      <c:pt idx="2">
                        <c:v>0.25512834508986248</c:v>
                      </c:pt>
                      <c:pt idx="3">
                        <c:v>0.29728735555045505</c:v>
                      </c:pt>
                      <c:pt idx="4">
                        <c:v>0.26429538497007299</c:v>
                      </c:pt>
                      <c:pt idx="5">
                        <c:v>0.34071257998891524</c:v>
                      </c:pt>
                      <c:pt idx="6">
                        <c:v>0.18284579112865801</c:v>
                      </c:pt>
                      <c:pt idx="7">
                        <c:v>0.10104042566593087</c:v>
                      </c:pt>
                      <c:pt idx="8">
                        <c:v>1.5974933137708775E-2</c:v>
                      </c:pt>
                      <c:pt idx="9">
                        <c:v>0</c:v>
                      </c:pt>
                      <c:pt idx="10">
                        <c:v>0</c:v>
                      </c:pt>
                      <c:pt idx="11">
                        <c:v>0</c:v>
                      </c:pt>
                      <c:pt idx="12">
                        <c:v>0</c:v>
                      </c:pt>
                      <c:pt idx="13">
                        <c:v>0</c:v>
                      </c:pt>
                      <c:pt idx="14">
                        <c:v>0</c:v>
                      </c:pt>
                      <c:pt idx="15">
                        <c:v>0</c:v>
                      </c:pt>
                      <c:pt idx="16">
                        <c:v>0</c:v>
                      </c:pt>
                      <c:pt idx="17">
                        <c:v>0.72399999999999998</c:v>
                      </c:pt>
                      <c:pt idx="18">
                        <c:v>3.0766666666666662</c:v>
                      </c:pt>
                      <c:pt idx="19">
                        <c:v>3.5966666666666662</c:v>
                      </c:pt>
                      <c:pt idx="20">
                        <c:v>3.1833333333333336</c:v>
                      </c:pt>
                      <c:pt idx="21">
                        <c:v>0</c:v>
                      </c:pt>
                    </c:numCache>
                  </c:numRef>
                </c:val>
                <c:extLst xmlns:c15="http://schemas.microsoft.com/office/drawing/2012/chart">
                  <c:ext xmlns:c16="http://schemas.microsoft.com/office/drawing/2014/chart" uri="{C3380CC4-5D6E-409C-BE32-E72D297353CC}">
                    <c16:uniqueId val="{00000012-6B8B-442A-9F8B-298B1434AD67}"/>
                  </c:ext>
                </c:extLst>
              </c15:ser>
            </c15:filteredBarSeries>
            <c15:filteredBarSeries>
              <c15:ser>
                <c:idx val="19"/>
                <c:order val="19"/>
                <c:tx>
                  <c:strRef>
                    <c:extLst xmlns:c15="http://schemas.microsoft.com/office/drawing/2012/chart">
                      <c:ext xmlns:c15="http://schemas.microsoft.com/office/drawing/2012/chart" uri="{02D57815-91ED-43cb-92C2-25804820EDAC}">
                        <c15:formulaRef>
                          <c15:sqref>Mittelwerte!$W$2</c15:sqref>
                        </c15:formulaRef>
                      </c:ext>
                    </c:extLst>
                    <c:strCache>
                      <c:ptCount val="1"/>
                      <c:pt idx="0">
                        <c:v>n-PFDoDS </c:v>
                      </c:pt>
                    </c:strCache>
                  </c:strRef>
                </c:tx>
                <c:spPr>
                  <a:solidFill>
                    <a:schemeClr val="accent2">
                      <a:lumMod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Mittelwerte!$B$43:$C$148</c15:sqref>
                        </c15:fullRef>
                        <c15:formulaRef>
                          <c15:sqref>(Mittelwerte!$B$43:$C$52,Mittelwerte!$B$113:$C$118,Mittelwerte!$B$143:$C$148)</c15:sqref>
                        </c15:formulaRef>
                      </c:ext>
                    </c:extLst>
                    <c:multiLvlStrCache>
                      <c:ptCount val="22"/>
                      <c:lvl>
                        <c:pt idx="0">
                          <c:v>1</c:v>
                        </c:pt>
                        <c:pt idx="1">
                          <c:v>5</c:v>
                        </c:pt>
                        <c:pt idx="2">
                          <c:v>17</c:v>
                        </c:pt>
                        <c:pt idx="3">
                          <c:v>38</c:v>
                        </c:pt>
                        <c:pt idx="4">
                          <c:v>54</c:v>
                        </c:pt>
                        <c:pt idx="5">
                          <c:v>57</c:v>
                        </c:pt>
                        <c:pt idx="6">
                          <c:v>61</c:v>
                        </c:pt>
                        <c:pt idx="7">
                          <c:v>73</c:v>
                        </c:pt>
                        <c:pt idx="8">
                          <c:v>101</c:v>
                        </c:pt>
                        <c:pt idx="9">
                          <c:v>136</c:v>
                        </c:pt>
                        <c:pt idx="10">
                          <c:v>1</c:v>
                        </c:pt>
                        <c:pt idx="11">
                          <c:v>5</c:v>
                        </c:pt>
                        <c:pt idx="12">
                          <c:v>17</c:v>
                        </c:pt>
                        <c:pt idx="13">
                          <c:v>57</c:v>
                        </c:pt>
                        <c:pt idx="14">
                          <c:v>61</c:v>
                        </c:pt>
                        <c:pt idx="15">
                          <c:v>136</c:v>
                        </c:pt>
                        <c:pt idx="16">
                          <c:v>1</c:v>
                        </c:pt>
                        <c:pt idx="17">
                          <c:v>5</c:v>
                        </c:pt>
                        <c:pt idx="18">
                          <c:v>17</c:v>
                        </c:pt>
                        <c:pt idx="19">
                          <c:v>57</c:v>
                        </c:pt>
                        <c:pt idx="20">
                          <c:v>61</c:v>
                        </c:pt>
                        <c:pt idx="21">
                          <c:v>136</c:v>
                        </c:pt>
                      </c:lvl>
                      <c:lvl>
                        <c:pt idx="0">
                          <c:v>Milk</c:v>
                        </c:pt>
                        <c:pt idx="10">
                          <c:v>Urine</c:v>
                        </c:pt>
                        <c:pt idx="16">
                          <c:v>Feces</c:v>
                        </c:pt>
                      </c:lvl>
                    </c:multiLvlStrCache>
                  </c:multiLvlStrRef>
                </c:cat>
                <c:val>
                  <c:numRef>
                    <c:extLst>
                      <c:ext xmlns:c15="http://schemas.microsoft.com/office/drawing/2012/chart" uri="{02D57815-91ED-43cb-92C2-25804820EDAC}">
                        <c15:fullRef>
                          <c15:sqref>Mittelwerte!$W$43:$W$148</c15:sqref>
                        </c15:fullRef>
                        <c15:formulaRef>
                          <c15:sqref>(Mittelwerte!$W$43:$W$52,Mittelwerte!$W$113:$W$118,Mittelwerte!$W$143:$W$148)</c15:sqref>
                        </c15:formulaRef>
                      </c:ext>
                    </c:extLst>
                    <c:numCache>
                      <c:formatCode>0.00</c:formatCode>
                      <c:ptCount val="22"/>
                      <c:pt idx="0">
                        <c:v>0</c:v>
                      </c:pt>
                      <c:pt idx="1">
                        <c:v>1.1606909627734998E-2</c:v>
                      </c:pt>
                      <c:pt idx="2">
                        <c:v>0.12933294383887428</c:v>
                      </c:pt>
                      <c:pt idx="3">
                        <c:v>0.13548303765611597</c:v>
                      </c:pt>
                      <c:pt idx="4">
                        <c:v>0.123179478032613</c:v>
                      </c:pt>
                      <c:pt idx="5">
                        <c:v>0.16384706643913874</c:v>
                      </c:pt>
                      <c:pt idx="6">
                        <c:v>9.2933531679118456E-2</c:v>
                      </c:pt>
                      <c:pt idx="7">
                        <c:v>3.7776014463438895E-2</c:v>
                      </c:pt>
                      <c:pt idx="8">
                        <c:v>5.5243730922837023E-3</c:v>
                      </c:pt>
                      <c:pt idx="9">
                        <c:v>0</c:v>
                      </c:pt>
                      <c:pt idx="10">
                        <c:v>0</c:v>
                      </c:pt>
                      <c:pt idx="11">
                        <c:v>0</c:v>
                      </c:pt>
                      <c:pt idx="12">
                        <c:v>0</c:v>
                      </c:pt>
                      <c:pt idx="13">
                        <c:v>0</c:v>
                      </c:pt>
                      <c:pt idx="14">
                        <c:v>0</c:v>
                      </c:pt>
                      <c:pt idx="15">
                        <c:v>0</c:v>
                      </c:pt>
                      <c:pt idx="16">
                        <c:v>0</c:v>
                      </c:pt>
                      <c:pt idx="17">
                        <c:v>0.97649999999999992</c:v>
                      </c:pt>
                      <c:pt idx="18">
                        <c:v>3.2033333333333336</c:v>
                      </c:pt>
                      <c:pt idx="19">
                        <c:v>3.4333333333333336</c:v>
                      </c:pt>
                      <c:pt idx="20">
                        <c:v>2.3466666666666671</c:v>
                      </c:pt>
                      <c:pt idx="21">
                        <c:v>0</c:v>
                      </c:pt>
                    </c:numCache>
                  </c:numRef>
                </c:val>
                <c:extLst xmlns:c15="http://schemas.microsoft.com/office/drawing/2012/chart">
                  <c:ext xmlns:c16="http://schemas.microsoft.com/office/drawing/2014/chart" uri="{C3380CC4-5D6E-409C-BE32-E72D297353CC}">
                    <c16:uniqueId val="{00000013-6B8B-442A-9F8B-298B1434AD67}"/>
                  </c:ext>
                </c:extLst>
              </c15:ser>
            </c15:filteredBarSeries>
            <c15:filteredBarSeries>
              <c15:ser>
                <c:idx val="20"/>
                <c:order val="20"/>
                <c:tx>
                  <c:strRef>
                    <c:extLst xmlns:c15="http://schemas.microsoft.com/office/drawing/2012/chart">
                      <c:ext xmlns:c15="http://schemas.microsoft.com/office/drawing/2012/chart" uri="{02D57815-91ED-43cb-92C2-25804820EDAC}">
                        <c15:formulaRef>
                          <c15:sqref>Mittelwerte!$X$2</c15:sqref>
                        </c15:formulaRef>
                      </c:ext>
                    </c:extLst>
                    <c:strCache>
                      <c:ptCount val="1"/>
                      <c:pt idx="0">
                        <c:v>n-PFTrDS </c:v>
                      </c:pt>
                    </c:strCache>
                  </c:strRef>
                </c:tx>
                <c:spPr>
                  <a:solidFill>
                    <a:schemeClr val="accent3">
                      <a:lumMod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Mittelwerte!$B$43:$C$148</c15:sqref>
                        </c15:fullRef>
                        <c15:formulaRef>
                          <c15:sqref>(Mittelwerte!$B$43:$C$52,Mittelwerte!$B$113:$C$118,Mittelwerte!$B$143:$C$148)</c15:sqref>
                        </c15:formulaRef>
                      </c:ext>
                    </c:extLst>
                    <c:multiLvlStrCache>
                      <c:ptCount val="22"/>
                      <c:lvl>
                        <c:pt idx="0">
                          <c:v>1</c:v>
                        </c:pt>
                        <c:pt idx="1">
                          <c:v>5</c:v>
                        </c:pt>
                        <c:pt idx="2">
                          <c:v>17</c:v>
                        </c:pt>
                        <c:pt idx="3">
                          <c:v>38</c:v>
                        </c:pt>
                        <c:pt idx="4">
                          <c:v>54</c:v>
                        </c:pt>
                        <c:pt idx="5">
                          <c:v>57</c:v>
                        </c:pt>
                        <c:pt idx="6">
                          <c:v>61</c:v>
                        </c:pt>
                        <c:pt idx="7">
                          <c:v>73</c:v>
                        </c:pt>
                        <c:pt idx="8">
                          <c:v>101</c:v>
                        </c:pt>
                        <c:pt idx="9">
                          <c:v>136</c:v>
                        </c:pt>
                        <c:pt idx="10">
                          <c:v>1</c:v>
                        </c:pt>
                        <c:pt idx="11">
                          <c:v>5</c:v>
                        </c:pt>
                        <c:pt idx="12">
                          <c:v>17</c:v>
                        </c:pt>
                        <c:pt idx="13">
                          <c:v>57</c:v>
                        </c:pt>
                        <c:pt idx="14">
                          <c:v>61</c:v>
                        </c:pt>
                        <c:pt idx="15">
                          <c:v>136</c:v>
                        </c:pt>
                        <c:pt idx="16">
                          <c:v>1</c:v>
                        </c:pt>
                        <c:pt idx="17">
                          <c:v>5</c:v>
                        </c:pt>
                        <c:pt idx="18">
                          <c:v>17</c:v>
                        </c:pt>
                        <c:pt idx="19">
                          <c:v>57</c:v>
                        </c:pt>
                        <c:pt idx="20">
                          <c:v>61</c:v>
                        </c:pt>
                        <c:pt idx="21">
                          <c:v>136</c:v>
                        </c:pt>
                      </c:lvl>
                      <c:lvl>
                        <c:pt idx="0">
                          <c:v>Milk</c:v>
                        </c:pt>
                        <c:pt idx="10">
                          <c:v>Urine</c:v>
                        </c:pt>
                        <c:pt idx="16">
                          <c:v>Feces</c:v>
                        </c:pt>
                      </c:lvl>
                    </c:multiLvlStrCache>
                  </c:multiLvlStrRef>
                </c:cat>
                <c:val>
                  <c:numRef>
                    <c:extLst>
                      <c:ext xmlns:c15="http://schemas.microsoft.com/office/drawing/2012/chart" uri="{02D57815-91ED-43cb-92C2-25804820EDAC}">
                        <c15:fullRef>
                          <c15:sqref>Mittelwerte!$X$43:$X$148</c15:sqref>
                        </c15:fullRef>
                        <c15:formulaRef>
                          <c15:sqref>(Mittelwerte!$X$43:$X$52,Mittelwerte!$X$113:$X$118,Mittelwerte!$X$143:$X$148)</c15:sqref>
                        </c15:formulaRef>
                      </c:ext>
                    </c:extLst>
                    <c:numCache>
                      <c:formatCode>0.00</c:formatCode>
                      <c:ptCount val="22"/>
                      <c:pt idx="0">
                        <c:v>0</c:v>
                      </c:pt>
                      <c:pt idx="1">
                        <c:v>0</c:v>
                      </c:pt>
                      <c:pt idx="2">
                        <c:v>1.5083610966765599E-2</c:v>
                      </c:pt>
                      <c:pt idx="3">
                        <c:v>2.2057276647693649E-2</c:v>
                      </c:pt>
                      <c:pt idx="4">
                        <c:v>1.6188053596271425E-2</c:v>
                      </c:pt>
                      <c:pt idx="5">
                        <c:v>2.6691177867022724E-2</c:v>
                      </c:pt>
                      <c:pt idx="6">
                        <c:v>1.589937472433375E-2</c:v>
                      </c:pt>
                      <c:pt idx="7">
                        <c:v>6.7874211799915842E-3</c:v>
                      </c:pt>
                      <c:pt idx="8">
                        <c:v>5.0783188236733006E-4</c:v>
                      </c:pt>
                      <c:pt idx="9">
                        <c:v>0</c:v>
                      </c:pt>
                      <c:pt idx="10">
                        <c:v>0</c:v>
                      </c:pt>
                      <c:pt idx="11">
                        <c:v>0</c:v>
                      </c:pt>
                      <c:pt idx="12">
                        <c:v>0</c:v>
                      </c:pt>
                      <c:pt idx="13">
                        <c:v>0</c:v>
                      </c:pt>
                      <c:pt idx="14">
                        <c:v>0</c:v>
                      </c:pt>
                      <c:pt idx="15">
                        <c:v>0</c:v>
                      </c:pt>
                      <c:pt idx="16">
                        <c:v>0</c:v>
                      </c:pt>
                      <c:pt idx="17">
                        <c:v>0</c:v>
                      </c:pt>
                      <c:pt idx="18">
                        <c:v>0.67</c:v>
                      </c:pt>
                      <c:pt idx="19">
                        <c:v>0.53200000000000003</c:v>
                      </c:pt>
                      <c:pt idx="20">
                        <c:v>0</c:v>
                      </c:pt>
                      <c:pt idx="21">
                        <c:v>0</c:v>
                      </c:pt>
                    </c:numCache>
                  </c:numRef>
                </c:val>
                <c:extLst xmlns:c15="http://schemas.microsoft.com/office/drawing/2012/chart">
                  <c:ext xmlns:c16="http://schemas.microsoft.com/office/drawing/2014/chart" uri="{C3380CC4-5D6E-409C-BE32-E72D297353CC}">
                    <c16:uniqueId val="{00000014-6B8B-442A-9F8B-298B1434AD67}"/>
                  </c:ext>
                </c:extLst>
              </c15:ser>
            </c15:filteredBarSeries>
            <c15:filteredBarSeries>
              <c15:ser>
                <c:idx val="21"/>
                <c:order val="21"/>
                <c:tx>
                  <c:strRef>
                    <c:extLst xmlns:c15="http://schemas.microsoft.com/office/drawing/2012/chart">
                      <c:ext xmlns:c15="http://schemas.microsoft.com/office/drawing/2012/chart" uri="{02D57815-91ED-43cb-92C2-25804820EDAC}">
                        <c15:formulaRef>
                          <c15:sqref>Mittelwerte!$Y$2</c15:sqref>
                        </c15:formulaRef>
                      </c:ext>
                    </c:extLst>
                    <c:strCache>
                      <c:ptCount val="1"/>
                      <c:pt idx="0">
                        <c:v>br-PFHxA</c:v>
                      </c:pt>
                    </c:strCache>
                  </c:strRef>
                </c:tx>
                <c:spPr>
                  <a:solidFill>
                    <a:schemeClr val="accent4">
                      <a:lumMod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Mittelwerte!$B$43:$C$148</c15:sqref>
                        </c15:fullRef>
                        <c15:formulaRef>
                          <c15:sqref>(Mittelwerte!$B$43:$C$52,Mittelwerte!$B$113:$C$118,Mittelwerte!$B$143:$C$148)</c15:sqref>
                        </c15:formulaRef>
                      </c:ext>
                    </c:extLst>
                    <c:multiLvlStrCache>
                      <c:ptCount val="22"/>
                      <c:lvl>
                        <c:pt idx="0">
                          <c:v>1</c:v>
                        </c:pt>
                        <c:pt idx="1">
                          <c:v>5</c:v>
                        </c:pt>
                        <c:pt idx="2">
                          <c:v>17</c:v>
                        </c:pt>
                        <c:pt idx="3">
                          <c:v>38</c:v>
                        </c:pt>
                        <c:pt idx="4">
                          <c:v>54</c:v>
                        </c:pt>
                        <c:pt idx="5">
                          <c:v>57</c:v>
                        </c:pt>
                        <c:pt idx="6">
                          <c:v>61</c:v>
                        </c:pt>
                        <c:pt idx="7">
                          <c:v>73</c:v>
                        </c:pt>
                        <c:pt idx="8">
                          <c:v>101</c:v>
                        </c:pt>
                        <c:pt idx="9">
                          <c:v>136</c:v>
                        </c:pt>
                        <c:pt idx="10">
                          <c:v>1</c:v>
                        </c:pt>
                        <c:pt idx="11">
                          <c:v>5</c:v>
                        </c:pt>
                        <c:pt idx="12">
                          <c:v>17</c:v>
                        </c:pt>
                        <c:pt idx="13">
                          <c:v>57</c:v>
                        </c:pt>
                        <c:pt idx="14">
                          <c:v>61</c:v>
                        </c:pt>
                        <c:pt idx="15">
                          <c:v>136</c:v>
                        </c:pt>
                        <c:pt idx="16">
                          <c:v>1</c:v>
                        </c:pt>
                        <c:pt idx="17">
                          <c:v>5</c:v>
                        </c:pt>
                        <c:pt idx="18">
                          <c:v>17</c:v>
                        </c:pt>
                        <c:pt idx="19">
                          <c:v>57</c:v>
                        </c:pt>
                        <c:pt idx="20">
                          <c:v>61</c:v>
                        </c:pt>
                        <c:pt idx="21">
                          <c:v>136</c:v>
                        </c:pt>
                      </c:lvl>
                      <c:lvl>
                        <c:pt idx="0">
                          <c:v>Milk</c:v>
                        </c:pt>
                        <c:pt idx="10">
                          <c:v>Urine</c:v>
                        </c:pt>
                        <c:pt idx="16">
                          <c:v>Feces</c:v>
                        </c:pt>
                      </c:lvl>
                    </c:multiLvlStrCache>
                  </c:multiLvlStrRef>
                </c:cat>
                <c:val>
                  <c:numRef>
                    <c:extLst>
                      <c:ext xmlns:c15="http://schemas.microsoft.com/office/drawing/2012/chart" uri="{02D57815-91ED-43cb-92C2-25804820EDAC}">
                        <c15:fullRef>
                          <c15:sqref>Mittelwerte!$Y$43:$Y$148</c15:sqref>
                        </c15:fullRef>
                        <c15:formulaRef>
                          <c15:sqref>(Mittelwerte!$Y$43:$Y$52,Mittelwerte!$Y$113:$Y$118,Mittelwerte!$Y$143:$Y$148)</c15:sqref>
                        </c15:formulaRef>
                      </c:ext>
                    </c:extLst>
                    <c:numCache>
                      <c:formatCode>0.00</c:formatCode>
                      <c:ptCount val="22"/>
                      <c:pt idx="0">
                        <c:v>0</c:v>
                      </c:pt>
                      <c:pt idx="1">
                        <c:v>0</c:v>
                      </c:pt>
                      <c:pt idx="2">
                        <c:v>0</c:v>
                      </c:pt>
                      <c:pt idx="3">
                        <c:v>0</c:v>
                      </c:pt>
                      <c:pt idx="4">
                        <c:v>0</c:v>
                      </c:pt>
                      <c:pt idx="5">
                        <c:v>0</c:v>
                      </c:pt>
                      <c:pt idx="6">
                        <c:v>0</c:v>
                      </c:pt>
                      <c:pt idx="7">
                        <c:v>0</c:v>
                      </c:pt>
                      <c:pt idx="8">
                        <c:v>0</c:v>
                      </c:pt>
                      <c:pt idx="9">
                        <c:v>0</c:v>
                      </c:pt>
                      <c:pt idx="10">
                        <c:v>0</c:v>
                      </c:pt>
                      <c:pt idx="11">
                        <c:v>0</c:v>
                      </c:pt>
                      <c:pt idx="12">
                        <c:v>0.61599999999999999</c:v>
                      </c:pt>
                      <c:pt idx="13">
                        <c:v>0</c:v>
                      </c:pt>
                      <c:pt idx="14">
                        <c:v>0</c:v>
                      </c:pt>
                      <c:pt idx="15">
                        <c:v>0</c:v>
                      </c:pt>
                      <c:pt idx="16">
                        <c:v>0</c:v>
                      </c:pt>
                      <c:pt idx="17">
                        <c:v>0</c:v>
                      </c:pt>
                      <c:pt idx="18">
                        <c:v>0</c:v>
                      </c:pt>
                      <c:pt idx="19">
                        <c:v>0</c:v>
                      </c:pt>
                      <c:pt idx="20">
                        <c:v>0</c:v>
                      </c:pt>
                      <c:pt idx="21">
                        <c:v>0</c:v>
                      </c:pt>
                    </c:numCache>
                  </c:numRef>
                </c:val>
                <c:extLst xmlns:c15="http://schemas.microsoft.com/office/drawing/2012/chart">
                  <c:ext xmlns:c16="http://schemas.microsoft.com/office/drawing/2014/chart" uri="{C3380CC4-5D6E-409C-BE32-E72D297353CC}">
                    <c16:uniqueId val="{00000015-6B8B-442A-9F8B-298B1434AD67}"/>
                  </c:ext>
                </c:extLst>
              </c15:ser>
            </c15:filteredBarSeries>
            <c15:filteredBarSeries>
              <c15:ser>
                <c:idx val="22"/>
                <c:order val="22"/>
                <c:tx>
                  <c:strRef>
                    <c:extLst xmlns:c15="http://schemas.microsoft.com/office/drawing/2012/chart">
                      <c:ext xmlns:c15="http://schemas.microsoft.com/office/drawing/2012/chart" uri="{02D57815-91ED-43cb-92C2-25804820EDAC}">
                        <c15:formulaRef>
                          <c15:sqref>Mittelwerte!$Z$2</c15:sqref>
                        </c15:formulaRef>
                      </c:ext>
                    </c:extLst>
                    <c:strCache>
                      <c:ptCount val="1"/>
                      <c:pt idx="0">
                        <c:v>br-PFHpA </c:v>
                      </c:pt>
                    </c:strCache>
                  </c:strRef>
                </c:tx>
                <c:spPr>
                  <a:solidFill>
                    <a:schemeClr val="accent5">
                      <a:lumMod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Mittelwerte!$B$43:$C$148</c15:sqref>
                        </c15:fullRef>
                        <c15:formulaRef>
                          <c15:sqref>(Mittelwerte!$B$43:$C$52,Mittelwerte!$B$113:$C$118,Mittelwerte!$B$143:$C$148)</c15:sqref>
                        </c15:formulaRef>
                      </c:ext>
                    </c:extLst>
                    <c:multiLvlStrCache>
                      <c:ptCount val="22"/>
                      <c:lvl>
                        <c:pt idx="0">
                          <c:v>1</c:v>
                        </c:pt>
                        <c:pt idx="1">
                          <c:v>5</c:v>
                        </c:pt>
                        <c:pt idx="2">
                          <c:v>17</c:v>
                        </c:pt>
                        <c:pt idx="3">
                          <c:v>38</c:v>
                        </c:pt>
                        <c:pt idx="4">
                          <c:v>54</c:v>
                        </c:pt>
                        <c:pt idx="5">
                          <c:v>57</c:v>
                        </c:pt>
                        <c:pt idx="6">
                          <c:v>61</c:v>
                        </c:pt>
                        <c:pt idx="7">
                          <c:v>73</c:v>
                        </c:pt>
                        <c:pt idx="8">
                          <c:v>101</c:v>
                        </c:pt>
                        <c:pt idx="9">
                          <c:v>136</c:v>
                        </c:pt>
                        <c:pt idx="10">
                          <c:v>1</c:v>
                        </c:pt>
                        <c:pt idx="11">
                          <c:v>5</c:v>
                        </c:pt>
                        <c:pt idx="12">
                          <c:v>17</c:v>
                        </c:pt>
                        <c:pt idx="13">
                          <c:v>57</c:v>
                        </c:pt>
                        <c:pt idx="14">
                          <c:v>61</c:v>
                        </c:pt>
                        <c:pt idx="15">
                          <c:v>136</c:v>
                        </c:pt>
                        <c:pt idx="16">
                          <c:v>1</c:v>
                        </c:pt>
                        <c:pt idx="17">
                          <c:v>5</c:v>
                        </c:pt>
                        <c:pt idx="18">
                          <c:v>17</c:v>
                        </c:pt>
                        <c:pt idx="19">
                          <c:v>57</c:v>
                        </c:pt>
                        <c:pt idx="20">
                          <c:v>61</c:v>
                        </c:pt>
                        <c:pt idx="21">
                          <c:v>136</c:v>
                        </c:pt>
                      </c:lvl>
                      <c:lvl>
                        <c:pt idx="0">
                          <c:v>Milk</c:v>
                        </c:pt>
                        <c:pt idx="10">
                          <c:v>Urine</c:v>
                        </c:pt>
                        <c:pt idx="16">
                          <c:v>Feces</c:v>
                        </c:pt>
                      </c:lvl>
                    </c:multiLvlStrCache>
                  </c:multiLvlStrRef>
                </c:cat>
                <c:val>
                  <c:numRef>
                    <c:extLst>
                      <c:ext xmlns:c15="http://schemas.microsoft.com/office/drawing/2012/chart" uri="{02D57815-91ED-43cb-92C2-25804820EDAC}">
                        <c15:fullRef>
                          <c15:sqref>Mittelwerte!$Z$43:$Z$148</c15:sqref>
                        </c15:fullRef>
                        <c15:formulaRef>
                          <c15:sqref>(Mittelwerte!$Z$43:$Z$52,Mittelwerte!$Z$113:$Z$118,Mittelwerte!$Z$143:$Z$148)</c15:sqref>
                        </c15:formulaRef>
                      </c:ext>
                    </c:extLst>
                    <c:numCache>
                      <c:formatCode>0.00</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val>
                <c:extLst xmlns:c15="http://schemas.microsoft.com/office/drawing/2012/chart">
                  <c:ext xmlns:c16="http://schemas.microsoft.com/office/drawing/2014/chart" uri="{C3380CC4-5D6E-409C-BE32-E72D297353CC}">
                    <c16:uniqueId val="{00000016-6B8B-442A-9F8B-298B1434AD67}"/>
                  </c:ext>
                </c:extLst>
              </c15:ser>
            </c15:filteredBarSeries>
            <c15:filteredBarSeries>
              <c15:ser>
                <c:idx val="23"/>
                <c:order val="23"/>
                <c:tx>
                  <c:strRef>
                    <c:extLst xmlns:c15="http://schemas.microsoft.com/office/drawing/2012/chart">
                      <c:ext xmlns:c15="http://schemas.microsoft.com/office/drawing/2012/chart" uri="{02D57815-91ED-43cb-92C2-25804820EDAC}">
                        <c15:formulaRef>
                          <c15:sqref>Mittelwerte!$AA$2</c15:sqref>
                        </c15:formulaRef>
                      </c:ext>
                    </c:extLst>
                    <c:strCache>
                      <c:ptCount val="1"/>
                      <c:pt idx="0">
                        <c:v>br-PFOA </c:v>
                      </c:pt>
                    </c:strCache>
                  </c:strRef>
                </c:tx>
                <c:spPr>
                  <a:solidFill>
                    <a:schemeClr val="accent6">
                      <a:lumMod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Mittelwerte!$B$43:$C$148</c15:sqref>
                        </c15:fullRef>
                        <c15:formulaRef>
                          <c15:sqref>(Mittelwerte!$B$43:$C$52,Mittelwerte!$B$113:$C$118,Mittelwerte!$B$143:$C$148)</c15:sqref>
                        </c15:formulaRef>
                      </c:ext>
                    </c:extLst>
                    <c:multiLvlStrCache>
                      <c:ptCount val="22"/>
                      <c:lvl>
                        <c:pt idx="0">
                          <c:v>1</c:v>
                        </c:pt>
                        <c:pt idx="1">
                          <c:v>5</c:v>
                        </c:pt>
                        <c:pt idx="2">
                          <c:v>17</c:v>
                        </c:pt>
                        <c:pt idx="3">
                          <c:v>38</c:v>
                        </c:pt>
                        <c:pt idx="4">
                          <c:v>54</c:v>
                        </c:pt>
                        <c:pt idx="5">
                          <c:v>57</c:v>
                        </c:pt>
                        <c:pt idx="6">
                          <c:v>61</c:v>
                        </c:pt>
                        <c:pt idx="7">
                          <c:v>73</c:v>
                        </c:pt>
                        <c:pt idx="8">
                          <c:v>101</c:v>
                        </c:pt>
                        <c:pt idx="9">
                          <c:v>136</c:v>
                        </c:pt>
                        <c:pt idx="10">
                          <c:v>1</c:v>
                        </c:pt>
                        <c:pt idx="11">
                          <c:v>5</c:v>
                        </c:pt>
                        <c:pt idx="12">
                          <c:v>17</c:v>
                        </c:pt>
                        <c:pt idx="13">
                          <c:v>57</c:v>
                        </c:pt>
                        <c:pt idx="14">
                          <c:v>61</c:v>
                        </c:pt>
                        <c:pt idx="15">
                          <c:v>136</c:v>
                        </c:pt>
                        <c:pt idx="16">
                          <c:v>1</c:v>
                        </c:pt>
                        <c:pt idx="17">
                          <c:v>5</c:v>
                        </c:pt>
                        <c:pt idx="18">
                          <c:v>17</c:v>
                        </c:pt>
                        <c:pt idx="19">
                          <c:v>57</c:v>
                        </c:pt>
                        <c:pt idx="20">
                          <c:v>61</c:v>
                        </c:pt>
                        <c:pt idx="21">
                          <c:v>136</c:v>
                        </c:pt>
                      </c:lvl>
                      <c:lvl>
                        <c:pt idx="0">
                          <c:v>Milk</c:v>
                        </c:pt>
                        <c:pt idx="10">
                          <c:v>Urine</c:v>
                        </c:pt>
                        <c:pt idx="16">
                          <c:v>Feces</c:v>
                        </c:pt>
                      </c:lvl>
                    </c:multiLvlStrCache>
                  </c:multiLvlStrRef>
                </c:cat>
                <c:val>
                  <c:numRef>
                    <c:extLst>
                      <c:ext xmlns:c15="http://schemas.microsoft.com/office/drawing/2012/chart" uri="{02D57815-91ED-43cb-92C2-25804820EDAC}">
                        <c15:fullRef>
                          <c15:sqref>Mittelwerte!$AA$43:$AA$148</c15:sqref>
                        </c15:fullRef>
                        <c15:formulaRef>
                          <c15:sqref>(Mittelwerte!$AA$43:$AA$52,Mittelwerte!$AA$113:$AA$118,Mittelwerte!$AA$143:$AA$148)</c15:sqref>
                        </c15:formulaRef>
                      </c:ext>
                    </c:extLst>
                    <c:numCache>
                      <c:formatCode>0.00</c:formatCode>
                      <c:ptCount val="22"/>
                      <c:pt idx="0">
                        <c:v>1.3230305350351995E-5</c:v>
                      </c:pt>
                      <c:pt idx="1">
                        <c:v>6.6656346684719038E-3</c:v>
                      </c:pt>
                      <c:pt idx="2">
                        <c:v>1.6566822189054919E-2</c:v>
                      </c:pt>
                      <c:pt idx="3">
                        <c:v>3.3886488638472266E-3</c:v>
                      </c:pt>
                      <c:pt idx="4">
                        <c:v>4.4242580664495736E-3</c:v>
                      </c:pt>
                      <c:pt idx="5">
                        <c:v>1.1115165815001008E-3</c:v>
                      </c:pt>
                      <c:pt idx="6">
                        <c:v>3.1928429689304621E-5</c:v>
                      </c:pt>
                      <c:pt idx="7">
                        <c:v>1.0079106685117994E-5</c:v>
                      </c:pt>
                      <c:pt idx="8">
                        <c:v>2.6630698897605497E-5</c:v>
                      </c:pt>
                      <c:pt idx="9">
                        <c:v>1.964802978307012E-5</c:v>
                      </c:pt>
                      <c:pt idx="10">
                        <c:v>0</c:v>
                      </c:pt>
                      <c:pt idx="11">
                        <c:v>3.7716666666666665</c:v>
                      </c:pt>
                      <c:pt idx="12">
                        <c:v>5.1366666666666667</c:v>
                      </c:pt>
                      <c:pt idx="13">
                        <c:v>1.5516666666666665</c:v>
                      </c:pt>
                      <c:pt idx="14">
                        <c:v>0</c:v>
                      </c:pt>
                      <c:pt idx="15">
                        <c:v>0</c:v>
                      </c:pt>
                      <c:pt idx="16">
                        <c:v>0</c:v>
                      </c:pt>
                      <c:pt idx="17">
                        <c:v>0</c:v>
                      </c:pt>
                      <c:pt idx="18">
                        <c:v>0</c:v>
                      </c:pt>
                      <c:pt idx="19">
                        <c:v>0</c:v>
                      </c:pt>
                      <c:pt idx="20">
                        <c:v>0</c:v>
                      </c:pt>
                      <c:pt idx="21">
                        <c:v>0</c:v>
                      </c:pt>
                    </c:numCache>
                  </c:numRef>
                </c:val>
                <c:extLst xmlns:c15="http://schemas.microsoft.com/office/drawing/2012/chart">
                  <c:ext xmlns:c16="http://schemas.microsoft.com/office/drawing/2014/chart" uri="{C3380CC4-5D6E-409C-BE32-E72D297353CC}">
                    <c16:uniqueId val="{00000017-6B8B-442A-9F8B-298B1434AD67}"/>
                  </c:ext>
                </c:extLst>
              </c15:ser>
            </c15:filteredBarSeries>
            <c15:filteredBarSeries>
              <c15:ser>
                <c:idx val="24"/>
                <c:order val="24"/>
                <c:tx>
                  <c:strRef>
                    <c:extLst xmlns:c15="http://schemas.microsoft.com/office/drawing/2012/chart">
                      <c:ext xmlns:c15="http://schemas.microsoft.com/office/drawing/2012/chart" uri="{02D57815-91ED-43cb-92C2-25804820EDAC}">
                        <c15:formulaRef>
                          <c15:sqref>Mittelwerte!$AB$2</c15:sqref>
                        </c15:formulaRef>
                      </c:ext>
                    </c:extLst>
                    <c:strCache>
                      <c:ptCount val="1"/>
                      <c:pt idx="0">
                        <c:v>br-PFNA </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Mittelwerte!$B$43:$C$148</c15:sqref>
                        </c15:fullRef>
                        <c15:formulaRef>
                          <c15:sqref>(Mittelwerte!$B$43:$C$52,Mittelwerte!$B$113:$C$118,Mittelwerte!$B$143:$C$148)</c15:sqref>
                        </c15:formulaRef>
                      </c:ext>
                    </c:extLst>
                    <c:multiLvlStrCache>
                      <c:ptCount val="22"/>
                      <c:lvl>
                        <c:pt idx="0">
                          <c:v>1</c:v>
                        </c:pt>
                        <c:pt idx="1">
                          <c:v>5</c:v>
                        </c:pt>
                        <c:pt idx="2">
                          <c:v>17</c:v>
                        </c:pt>
                        <c:pt idx="3">
                          <c:v>38</c:v>
                        </c:pt>
                        <c:pt idx="4">
                          <c:v>54</c:v>
                        </c:pt>
                        <c:pt idx="5">
                          <c:v>57</c:v>
                        </c:pt>
                        <c:pt idx="6">
                          <c:v>61</c:v>
                        </c:pt>
                        <c:pt idx="7">
                          <c:v>73</c:v>
                        </c:pt>
                        <c:pt idx="8">
                          <c:v>101</c:v>
                        </c:pt>
                        <c:pt idx="9">
                          <c:v>136</c:v>
                        </c:pt>
                        <c:pt idx="10">
                          <c:v>1</c:v>
                        </c:pt>
                        <c:pt idx="11">
                          <c:v>5</c:v>
                        </c:pt>
                        <c:pt idx="12">
                          <c:v>17</c:v>
                        </c:pt>
                        <c:pt idx="13">
                          <c:v>57</c:v>
                        </c:pt>
                        <c:pt idx="14">
                          <c:v>61</c:v>
                        </c:pt>
                        <c:pt idx="15">
                          <c:v>136</c:v>
                        </c:pt>
                        <c:pt idx="16">
                          <c:v>1</c:v>
                        </c:pt>
                        <c:pt idx="17">
                          <c:v>5</c:v>
                        </c:pt>
                        <c:pt idx="18">
                          <c:v>17</c:v>
                        </c:pt>
                        <c:pt idx="19">
                          <c:v>57</c:v>
                        </c:pt>
                        <c:pt idx="20">
                          <c:v>61</c:v>
                        </c:pt>
                        <c:pt idx="21">
                          <c:v>136</c:v>
                        </c:pt>
                      </c:lvl>
                      <c:lvl>
                        <c:pt idx="0">
                          <c:v>Milk</c:v>
                        </c:pt>
                        <c:pt idx="10">
                          <c:v>Urine</c:v>
                        </c:pt>
                        <c:pt idx="16">
                          <c:v>Feces</c:v>
                        </c:pt>
                      </c:lvl>
                    </c:multiLvlStrCache>
                  </c:multiLvlStrRef>
                </c:cat>
                <c:val>
                  <c:numRef>
                    <c:extLst>
                      <c:ext xmlns:c15="http://schemas.microsoft.com/office/drawing/2012/chart" uri="{02D57815-91ED-43cb-92C2-25804820EDAC}">
                        <c15:fullRef>
                          <c15:sqref>Mittelwerte!$AB$43:$AB$148</c15:sqref>
                        </c15:fullRef>
                        <c15:formulaRef>
                          <c15:sqref>(Mittelwerte!$AB$43:$AB$52,Mittelwerte!$AB$113:$AB$118,Mittelwerte!$AB$143:$AB$148)</c15:sqref>
                        </c15:formulaRef>
                      </c:ext>
                    </c:extLst>
                    <c:numCache>
                      <c:formatCode>0.00</c:formatCode>
                      <c:ptCount val="22"/>
                      <c:pt idx="0">
                        <c:v>0</c:v>
                      </c:pt>
                      <c:pt idx="1">
                        <c:v>4.1172349751166751E-4</c:v>
                      </c:pt>
                      <c:pt idx="2">
                        <c:v>1.4264531186678039E-3</c:v>
                      </c:pt>
                      <c:pt idx="3">
                        <c:v>6.5905630316147123E-5</c:v>
                      </c:pt>
                      <c:pt idx="4">
                        <c:v>6.7760773280484135E-5</c:v>
                      </c:pt>
                      <c:pt idx="5">
                        <c:v>2.7385540593418113E-5</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val>
                <c:extLst xmlns:c15="http://schemas.microsoft.com/office/drawing/2012/chart">
                  <c:ext xmlns:c16="http://schemas.microsoft.com/office/drawing/2014/chart" uri="{C3380CC4-5D6E-409C-BE32-E72D297353CC}">
                    <c16:uniqueId val="{00000018-6B8B-442A-9F8B-298B1434AD67}"/>
                  </c:ext>
                </c:extLst>
              </c15:ser>
            </c15:filteredBarSeries>
            <c15:filteredBarSeries>
              <c15:ser>
                <c:idx val="25"/>
                <c:order val="25"/>
                <c:tx>
                  <c:strRef>
                    <c:extLst xmlns:c15="http://schemas.microsoft.com/office/drawing/2012/chart">
                      <c:ext xmlns:c15="http://schemas.microsoft.com/office/drawing/2012/chart" uri="{02D57815-91ED-43cb-92C2-25804820EDAC}">
                        <c15:formulaRef>
                          <c15:sqref>Mittelwerte!$AC$2</c15:sqref>
                        </c15:formulaRef>
                      </c:ext>
                    </c:extLst>
                    <c:strCache>
                      <c:ptCount val="1"/>
                      <c:pt idx="0">
                        <c:v>br-PFDA </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Mittelwerte!$B$43:$C$148</c15:sqref>
                        </c15:fullRef>
                        <c15:formulaRef>
                          <c15:sqref>(Mittelwerte!$B$43:$C$52,Mittelwerte!$B$113:$C$118,Mittelwerte!$B$143:$C$148)</c15:sqref>
                        </c15:formulaRef>
                      </c:ext>
                    </c:extLst>
                    <c:multiLvlStrCache>
                      <c:ptCount val="22"/>
                      <c:lvl>
                        <c:pt idx="0">
                          <c:v>1</c:v>
                        </c:pt>
                        <c:pt idx="1">
                          <c:v>5</c:v>
                        </c:pt>
                        <c:pt idx="2">
                          <c:v>17</c:v>
                        </c:pt>
                        <c:pt idx="3">
                          <c:v>38</c:v>
                        </c:pt>
                        <c:pt idx="4">
                          <c:v>54</c:v>
                        </c:pt>
                        <c:pt idx="5">
                          <c:v>57</c:v>
                        </c:pt>
                        <c:pt idx="6">
                          <c:v>61</c:v>
                        </c:pt>
                        <c:pt idx="7">
                          <c:v>73</c:v>
                        </c:pt>
                        <c:pt idx="8">
                          <c:v>101</c:v>
                        </c:pt>
                        <c:pt idx="9">
                          <c:v>136</c:v>
                        </c:pt>
                        <c:pt idx="10">
                          <c:v>1</c:v>
                        </c:pt>
                        <c:pt idx="11">
                          <c:v>5</c:v>
                        </c:pt>
                        <c:pt idx="12">
                          <c:v>17</c:v>
                        </c:pt>
                        <c:pt idx="13">
                          <c:v>57</c:v>
                        </c:pt>
                        <c:pt idx="14">
                          <c:v>61</c:v>
                        </c:pt>
                        <c:pt idx="15">
                          <c:v>136</c:v>
                        </c:pt>
                        <c:pt idx="16">
                          <c:v>1</c:v>
                        </c:pt>
                        <c:pt idx="17">
                          <c:v>5</c:v>
                        </c:pt>
                        <c:pt idx="18">
                          <c:v>17</c:v>
                        </c:pt>
                        <c:pt idx="19">
                          <c:v>57</c:v>
                        </c:pt>
                        <c:pt idx="20">
                          <c:v>61</c:v>
                        </c:pt>
                        <c:pt idx="21">
                          <c:v>136</c:v>
                        </c:pt>
                      </c:lvl>
                      <c:lvl>
                        <c:pt idx="0">
                          <c:v>Milk</c:v>
                        </c:pt>
                        <c:pt idx="10">
                          <c:v>Urine</c:v>
                        </c:pt>
                        <c:pt idx="16">
                          <c:v>Feces</c:v>
                        </c:pt>
                      </c:lvl>
                    </c:multiLvlStrCache>
                  </c:multiLvlStrRef>
                </c:cat>
                <c:val>
                  <c:numRef>
                    <c:extLst>
                      <c:ext xmlns:c15="http://schemas.microsoft.com/office/drawing/2012/chart" uri="{02D57815-91ED-43cb-92C2-25804820EDAC}">
                        <c15:fullRef>
                          <c15:sqref>Mittelwerte!$AC$43:$AC$148</c15:sqref>
                        </c15:fullRef>
                        <c15:formulaRef>
                          <c15:sqref>(Mittelwerte!$AC$43:$AC$52,Mittelwerte!$AC$113:$AC$118,Mittelwerte!$AC$143:$AC$148)</c15:sqref>
                        </c15:formulaRef>
                      </c:ext>
                    </c:extLst>
                    <c:numCache>
                      <c:formatCode>0.00</c:formatCode>
                      <c:ptCount val="22"/>
                      <c:pt idx="0">
                        <c:v>0</c:v>
                      </c:pt>
                      <c:pt idx="1">
                        <c:v>0</c:v>
                      </c:pt>
                      <c:pt idx="2">
                        <c:v>7.0955579918327496E-4</c:v>
                      </c:pt>
                      <c:pt idx="3">
                        <c:v>3.4930438908842999E-3</c:v>
                      </c:pt>
                      <c:pt idx="4">
                        <c:v>8.4950384452249386E-4</c:v>
                      </c:pt>
                      <c:pt idx="5">
                        <c:v>9.1641143603447622E-4</c:v>
                      </c:pt>
                      <c:pt idx="6">
                        <c:v>6.1888828582567883E-4</c:v>
                      </c:pt>
                      <c:pt idx="7">
                        <c:v>5.0517857492787756E-4</c:v>
                      </c:pt>
                      <c:pt idx="8">
                        <c:v>2.2022419137443299E-4</c:v>
                      </c:pt>
                      <c:pt idx="9">
                        <c:v>7.3654394017892759E-5</c:v>
                      </c:pt>
                      <c:pt idx="10">
                        <c:v>0</c:v>
                      </c:pt>
                      <c:pt idx="11">
                        <c:v>0</c:v>
                      </c:pt>
                      <c:pt idx="12">
                        <c:v>0</c:v>
                      </c:pt>
                      <c:pt idx="13">
                        <c:v>0</c:v>
                      </c:pt>
                      <c:pt idx="14">
                        <c:v>0</c:v>
                      </c:pt>
                      <c:pt idx="15">
                        <c:v>0</c:v>
                      </c:pt>
                      <c:pt idx="16">
                        <c:v>0</c:v>
                      </c:pt>
                      <c:pt idx="17">
                        <c:v>0</c:v>
                      </c:pt>
                      <c:pt idx="18">
                        <c:v>0</c:v>
                      </c:pt>
                      <c:pt idx="19">
                        <c:v>0</c:v>
                      </c:pt>
                      <c:pt idx="20">
                        <c:v>0</c:v>
                      </c:pt>
                      <c:pt idx="21">
                        <c:v>0</c:v>
                      </c:pt>
                    </c:numCache>
                  </c:numRef>
                </c:val>
                <c:extLst xmlns:c15="http://schemas.microsoft.com/office/drawing/2012/chart">
                  <c:ext xmlns:c16="http://schemas.microsoft.com/office/drawing/2014/chart" uri="{C3380CC4-5D6E-409C-BE32-E72D297353CC}">
                    <c16:uniqueId val="{00000019-6B8B-442A-9F8B-298B1434AD67}"/>
                  </c:ext>
                </c:extLst>
              </c15:ser>
            </c15:filteredBarSeries>
            <c15:filteredBarSeries>
              <c15:ser>
                <c:idx val="26"/>
                <c:order val="26"/>
                <c:tx>
                  <c:strRef>
                    <c:extLst xmlns:c15="http://schemas.microsoft.com/office/drawing/2012/chart">
                      <c:ext xmlns:c15="http://schemas.microsoft.com/office/drawing/2012/chart" uri="{02D57815-91ED-43cb-92C2-25804820EDAC}">
                        <c15:formulaRef>
                          <c15:sqref>Mittelwerte!$AD$2</c15:sqref>
                        </c15:formulaRef>
                      </c:ext>
                    </c:extLst>
                    <c:strCache>
                      <c:ptCount val="1"/>
                      <c:pt idx="0">
                        <c:v>br-PFUnDA </c:v>
                      </c:pt>
                    </c:strCache>
                  </c:strRef>
                </c:tx>
                <c:spPr>
                  <a:solidFill>
                    <a:schemeClr val="accent3">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Mittelwerte!$B$43:$C$148</c15:sqref>
                        </c15:fullRef>
                        <c15:formulaRef>
                          <c15:sqref>(Mittelwerte!$B$43:$C$52,Mittelwerte!$B$113:$C$118,Mittelwerte!$B$143:$C$148)</c15:sqref>
                        </c15:formulaRef>
                      </c:ext>
                    </c:extLst>
                    <c:multiLvlStrCache>
                      <c:ptCount val="22"/>
                      <c:lvl>
                        <c:pt idx="0">
                          <c:v>1</c:v>
                        </c:pt>
                        <c:pt idx="1">
                          <c:v>5</c:v>
                        </c:pt>
                        <c:pt idx="2">
                          <c:v>17</c:v>
                        </c:pt>
                        <c:pt idx="3">
                          <c:v>38</c:v>
                        </c:pt>
                        <c:pt idx="4">
                          <c:v>54</c:v>
                        </c:pt>
                        <c:pt idx="5">
                          <c:v>57</c:v>
                        </c:pt>
                        <c:pt idx="6">
                          <c:v>61</c:v>
                        </c:pt>
                        <c:pt idx="7">
                          <c:v>73</c:v>
                        </c:pt>
                        <c:pt idx="8">
                          <c:v>101</c:v>
                        </c:pt>
                        <c:pt idx="9">
                          <c:v>136</c:v>
                        </c:pt>
                        <c:pt idx="10">
                          <c:v>1</c:v>
                        </c:pt>
                        <c:pt idx="11">
                          <c:v>5</c:v>
                        </c:pt>
                        <c:pt idx="12">
                          <c:v>17</c:v>
                        </c:pt>
                        <c:pt idx="13">
                          <c:v>57</c:v>
                        </c:pt>
                        <c:pt idx="14">
                          <c:v>61</c:v>
                        </c:pt>
                        <c:pt idx="15">
                          <c:v>136</c:v>
                        </c:pt>
                        <c:pt idx="16">
                          <c:v>1</c:v>
                        </c:pt>
                        <c:pt idx="17">
                          <c:v>5</c:v>
                        </c:pt>
                        <c:pt idx="18">
                          <c:v>17</c:v>
                        </c:pt>
                        <c:pt idx="19">
                          <c:v>57</c:v>
                        </c:pt>
                        <c:pt idx="20">
                          <c:v>61</c:v>
                        </c:pt>
                        <c:pt idx="21">
                          <c:v>136</c:v>
                        </c:pt>
                      </c:lvl>
                      <c:lvl>
                        <c:pt idx="0">
                          <c:v>Milk</c:v>
                        </c:pt>
                        <c:pt idx="10">
                          <c:v>Urine</c:v>
                        </c:pt>
                        <c:pt idx="16">
                          <c:v>Feces</c:v>
                        </c:pt>
                      </c:lvl>
                    </c:multiLvlStrCache>
                  </c:multiLvlStrRef>
                </c:cat>
                <c:val>
                  <c:numRef>
                    <c:extLst>
                      <c:ext xmlns:c15="http://schemas.microsoft.com/office/drawing/2012/chart" uri="{02D57815-91ED-43cb-92C2-25804820EDAC}">
                        <c15:fullRef>
                          <c15:sqref>Mittelwerte!$AD$43:$AD$148</c15:sqref>
                        </c15:fullRef>
                        <c15:formulaRef>
                          <c15:sqref>(Mittelwerte!$AD$43:$AD$52,Mittelwerte!$AD$113:$AD$118,Mittelwerte!$AD$143:$AD$148)</c15:sqref>
                        </c15:formulaRef>
                      </c:ext>
                    </c:extLst>
                    <c:numCache>
                      <c:formatCode>0.00</c:formatCode>
                      <c:ptCount val="22"/>
                      <c:pt idx="0">
                        <c:v>0</c:v>
                      </c:pt>
                      <c:pt idx="1">
                        <c:v>0</c:v>
                      </c:pt>
                      <c:pt idx="2">
                        <c:v>9.5527262010306237E-3</c:v>
                      </c:pt>
                      <c:pt idx="3">
                        <c:v>1.5172736562437047E-2</c:v>
                      </c:pt>
                      <c:pt idx="4">
                        <c:v>1.4890973369154729E-2</c:v>
                      </c:pt>
                      <c:pt idx="5">
                        <c:v>1.6622288173280701E-2</c:v>
                      </c:pt>
                      <c:pt idx="6">
                        <c:v>1.2666054158735484E-2</c:v>
                      </c:pt>
                      <c:pt idx="7">
                        <c:v>1.5560484120744669E-2</c:v>
                      </c:pt>
                      <c:pt idx="8">
                        <c:v>1.0172282507818688E-2</c:v>
                      </c:pt>
                      <c:pt idx="9">
                        <c:v>1.3171140879265964E-3</c:v>
                      </c:pt>
                      <c:pt idx="10">
                        <c:v>0</c:v>
                      </c:pt>
                      <c:pt idx="11">
                        <c:v>0</c:v>
                      </c:pt>
                      <c:pt idx="12">
                        <c:v>0</c:v>
                      </c:pt>
                      <c:pt idx="13">
                        <c:v>0</c:v>
                      </c:pt>
                      <c:pt idx="14">
                        <c:v>0</c:v>
                      </c:pt>
                      <c:pt idx="15">
                        <c:v>0</c:v>
                      </c:pt>
                      <c:pt idx="16">
                        <c:v>0</c:v>
                      </c:pt>
                      <c:pt idx="17">
                        <c:v>0</c:v>
                      </c:pt>
                      <c:pt idx="18">
                        <c:v>0</c:v>
                      </c:pt>
                      <c:pt idx="19">
                        <c:v>0</c:v>
                      </c:pt>
                      <c:pt idx="20">
                        <c:v>0</c:v>
                      </c:pt>
                      <c:pt idx="21">
                        <c:v>0</c:v>
                      </c:pt>
                    </c:numCache>
                  </c:numRef>
                </c:val>
                <c:extLst xmlns:c15="http://schemas.microsoft.com/office/drawing/2012/chart">
                  <c:ext xmlns:c16="http://schemas.microsoft.com/office/drawing/2014/chart" uri="{C3380CC4-5D6E-409C-BE32-E72D297353CC}">
                    <c16:uniqueId val="{0000001A-6B8B-442A-9F8B-298B1434AD67}"/>
                  </c:ext>
                </c:extLst>
              </c15:ser>
            </c15:filteredBarSeries>
            <c15:filteredBarSeries>
              <c15:ser>
                <c:idx val="27"/>
                <c:order val="27"/>
                <c:tx>
                  <c:strRef>
                    <c:extLst xmlns:c15="http://schemas.microsoft.com/office/drawing/2012/chart">
                      <c:ext xmlns:c15="http://schemas.microsoft.com/office/drawing/2012/chart" uri="{02D57815-91ED-43cb-92C2-25804820EDAC}">
                        <c15:formulaRef>
                          <c15:sqref>Mittelwerte!$AE$2</c15:sqref>
                        </c15:formulaRef>
                      </c:ext>
                    </c:extLst>
                    <c:strCache>
                      <c:ptCount val="1"/>
                      <c:pt idx="0">
                        <c:v>br-PFDoDA </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Mittelwerte!$B$43:$C$148</c15:sqref>
                        </c15:fullRef>
                        <c15:formulaRef>
                          <c15:sqref>(Mittelwerte!$B$43:$C$52,Mittelwerte!$B$113:$C$118,Mittelwerte!$B$143:$C$148)</c15:sqref>
                        </c15:formulaRef>
                      </c:ext>
                    </c:extLst>
                    <c:multiLvlStrCache>
                      <c:ptCount val="22"/>
                      <c:lvl>
                        <c:pt idx="0">
                          <c:v>1</c:v>
                        </c:pt>
                        <c:pt idx="1">
                          <c:v>5</c:v>
                        </c:pt>
                        <c:pt idx="2">
                          <c:v>17</c:v>
                        </c:pt>
                        <c:pt idx="3">
                          <c:v>38</c:v>
                        </c:pt>
                        <c:pt idx="4">
                          <c:v>54</c:v>
                        </c:pt>
                        <c:pt idx="5">
                          <c:v>57</c:v>
                        </c:pt>
                        <c:pt idx="6">
                          <c:v>61</c:v>
                        </c:pt>
                        <c:pt idx="7">
                          <c:v>73</c:v>
                        </c:pt>
                        <c:pt idx="8">
                          <c:v>101</c:v>
                        </c:pt>
                        <c:pt idx="9">
                          <c:v>136</c:v>
                        </c:pt>
                        <c:pt idx="10">
                          <c:v>1</c:v>
                        </c:pt>
                        <c:pt idx="11">
                          <c:v>5</c:v>
                        </c:pt>
                        <c:pt idx="12">
                          <c:v>17</c:v>
                        </c:pt>
                        <c:pt idx="13">
                          <c:v>57</c:v>
                        </c:pt>
                        <c:pt idx="14">
                          <c:v>61</c:v>
                        </c:pt>
                        <c:pt idx="15">
                          <c:v>136</c:v>
                        </c:pt>
                        <c:pt idx="16">
                          <c:v>1</c:v>
                        </c:pt>
                        <c:pt idx="17">
                          <c:v>5</c:v>
                        </c:pt>
                        <c:pt idx="18">
                          <c:v>17</c:v>
                        </c:pt>
                        <c:pt idx="19">
                          <c:v>57</c:v>
                        </c:pt>
                        <c:pt idx="20">
                          <c:v>61</c:v>
                        </c:pt>
                        <c:pt idx="21">
                          <c:v>136</c:v>
                        </c:pt>
                      </c:lvl>
                      <c:lvl>
                        <c:pt idx="0">
                          <c:v>Milk</c:v>
                        </c:pt>
                        <c:pt idx="10">
                          <c:v>Urine</c:v>
                        </c:pt>
                        <c:pt idx="16">
                          <c:v>Feces</c:v>
                        </c:pt>
                      </c:lvl>
                    </c:multiLvlStrCache>
                  </c:multiLvlStrRef>
                </c:cat>
                <c:val>
                  <c:numRef>
                    <c:extLst>
                      <c:ext xmlns:c15="http://schemas.microsoft.com/office/drawing/2012/chart" uri="{02D57815-91ED-43cb-92C2-25804820EDAC}">
                        <c15:fullRef>
                          <c15:sqref>Mittelwerte!$AE$43:$AE$148</c15:sqref>
                        </c15:fullRef>
                        <c15:formulaRef>
                          <c15:sqref>(Mittelwerte!$AE$43:$AE$52,Mittelwerte!$AE$113:$AE$118,Mittelwerte!$AE$143:$AE$148)</c15:sqref>
                        </c15:formulaRef>
                      </c:ext>
                    </c:extLst>
                    <c:numCache>
                      <c:formatCode>0.00</c:formatCode>
                      <c:ptCount val="22"/>
                      <c:pt idx="0">
                        <c:v>0</c:v>
                      </c:pt>
                      <c:pt idx="1">
                        <c:v>7.0205606805730182E-4</c:v>
                      </c:pt>
                      <c:pt idx="2">
                        <c:v>3.5557836605531926E-2</c:v>
                      </c:pt>
                      <c:pt idx="3">
                        <c:v>4.9795363117221818E-2</c:v>
                      </c:pt>
                      <c:pt idx="4">
                        <c:v>3.891122778689754E-2</c:v>
                      </c:pt>
                      <c:pt idx="5">
                        <c:v>4.6756776342572602E-2</c:v>
                      </c:pt>
                      <c:pt idx="6">
                        <c:v>3.4086192039754264E-2</c:v>
                      </c:pt>
                      <c:pt idx="7">
                        <c:v>2.6381674552878129E-2</c:v>
                      </c:pt>
                      <c:pt idx="8">
                        <c:v>1.1049445916705753E-2</c:v>
                      </c:pt>
                      <c:pt idx="9">
                        <c:v>9.7861468610703321E-4</c:v>
                      </c:pt>
                      <c:pt idx="10">
                        <c:v>0</c:v>
                      </c:pt>
                      <c:pt idx="11">
                        <c:v>0</c:v>
                      </c:pt>
                      <c:pt idx="12">
                        <c:v>0</c:v>
                      </c:pt>
                      <c:pt idx="13">
                        <c:v>0</c:v>
                      </c:pt>
                      <c:pt idx="14">
                        <c:v>0</c:v>
                      </c:pt>
                      <c:pt idx="15">
                        <c:v>0</c:v>
                      </c:pt>
                      <c:pt idx="16">
                        <c:v>0</c:v>
                      </c:pt>
                      <c:pt idx="17">
                        <c:v>0</c:v>
                      </c:pt>
                      <c:pt idx="18">
                        <c:v>0</c:v>
                      </c:pt>
                      <c:pt idx="19">
                        <c:v>0</c:v>
                      </c:pt>
                      <c:pt idx="20">
                        <c:v>0</c:v>
                      </c:pt>
                      <c:pt idx="21">
                        <c:v>0</c:v>
                      </c:pt>
                    </c:numCache>
                  </c:numRef>
                </c:val>
                <c:extLst xmlns:c15="http://schemas.microsoft.com/office/drawing/2012/chart">
                  <c:ext xmlns:c16="http://schemas.microsoft.com/office/drawing/2014/chart" uri="{C3380CC4-5D6E-409C-BE32-E72D297353CC}">
                    <c16:uniqueId val="{0000001B-6B8B-442A-9F8B-298B1434AD67}"/>
                  </c:ext>
                </c:extLst>
              </c15:ser>
            </c15:filteredBarSeries>
            <c15:filteredBarSeries>
              <c15:ser>
                <c:idx val="28"/>
                <c:order val="28"/>
                <c:tx>
                  <c:strRef>
                    <c:extLst xmlns:c15="http://schemas.microsoft.com/office/drawing/2012/chart">
                      <c:ext xmlns:c15="http://schemas.microsoft.com/office/drawing/2012/chart" uri="{02D57815-91ED-43cb-92C2-25804820EDAC}">
                        <c15:formulaRef>
                          <c15:sqref>Mittelwerte!$AF$2</c15:sqref>
                        </c15:formulaRef>
                      </c:ext>
                    </c:extLst>
                    <c:strCache>
                      <c:ptCount val="1"/>
                      <c:pt idx="0">
                        <c:v>br-PFTrDA </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Mittelwerte!$B$43:$C$148</c15:sqref>
                        </c15:fullRef>
                        <c15:formulaRef>
                          <c15:sqref>(Mittelwerte!$B$43:$C$52,Mittelwerte!$B$113:$C$118,Mittelwerte!$B$143:$C$148)</c15:sqref>
                        </c15:formulaRef>
                      </c:ext>
                    </c:extLst>
                    <c:multiLvlStrCache>
                      <c:ptCount val="22"/>
                      <c:lvl>
                        <c:pt idx="0">
                          <c:v>1</c:v>
                        </c:pt>
                        <c:pt idx="1">
                          <c:v>5</c:v>
                        </c:pt>
                        <c:pt idx="2">
                          <c:v>17</c:v>
                        </c:pt>
                        <c:pt idx="3">
                          <c:v>38</c:v>
                        </c:pt>
                        <c:pt idx="4">
                          <c:v>54</c:v>
                        </c:pt>
                        <c:pt idx="5">
                          <c:v>57</c:v>
                        </c:pt>
                        <c:pt idx="6">
                          <c:v>61</c:v>
                        </c:pt>
                        <c:pt idx="7">
                          <c:v>73</c:v>
                        </c:pt>
                        <c:pt idx="8">
                          <c:v>101</c:v>
                        </c:pt>
                        <c:pt idx="9">
                          <c:v>136</c:v>
                        </c:pt>
                        <c:pt idx="10">
                          <c:v>1</c:v>
                        </c:pt>
                        <c:pt idx="11">
                          <c:v>5</c:v>
                        </c:pt>
                        <c:pt idx="12">
                          <c:v>17</c:v>
                        </c:pt>
                        <c:pt idx="13">
                          <c:v>57</c:v>
                        </c:pt>
                        <c:pt idx="14">
                          <c:v>61</c:v>
                        </c:pt>
                        <c:pt idx="15">
                          <c:v>136</c:v>
                        </c:pt>
                        <c:pt idx="16">
                          <c:v>1</c:v>
                        </c:pt>
                        <c:pt idx="17">
                          <c:v>5</c:v>
                        </c:pt>
                        <c:pt idx="18">
                          <c:v>17</c:v>
                        </c:pt>
                        <c:pt idx="19">
                          <c:v>57</c:v>
                        </c:pt>
                        <c:pt idx="20">
                          <c:v>61</c:v>
                        </c:pt>
                        <c:pt idx="21">
                          <c:v>136</c:v>
                        </c:pt>
                      </c:lvl>
                      <c:lvl>
                        <c:pt idx="0">
                          <c:v>Milk</c:v>
                        </c:pt>
                        <c:pt idx="10">
                          <c:v>Urine</c:v>
                        </c:pt>
                        <c:pt idx="16">
                          <c:v>Feces</c:v>
                        </c:pt>
                      </c:lvl>
                    </c:multiLvlStrCache>
                  </c:multiLvlStrRef>
                </c:cat>
                <c:val>
                  <c:numRef>
                    <c:extLst>
                      <c:ext xmlns:c15="http://schemas.microsoft.com/office/drawing/2012/chart" uri="{02D57815-91ED-43cb-92C2-25804820EDAC}">
                        <c15:fullRef>
                          <c15:sqref>Mittelwerte!$AF$43:$AF$148</c15:sqref>
                        </c15:fullRef>
                        <c15:formulaRef>
                          <c15:sqref>(Mittelwerte!$AF$43:$AF$52,Mittelwerte!$AF$113:$AF$118,Mittelwerte!$AF$143:$AF$148)</c15:sqref>
                        </c15:formulaRef>
                      </c:ext>
                    </c:extLst>
                    <c:numCache>
                      <c:formatCode>0.00</c:formatCode>
                      <c:ptCount val="22"/>
                      <c:pt idx="0">
                        <c:v>0</c:v>
                      </c:pt>
                      <c:pt idx="1">
                        <c:v>2.5133203793562845E-3</c:v>
                      </c:pt>
                      <c:pt idx="2">
                        <c:v>2.0303427222428429E-2</c:v>
                      </c:pt>
                      <c:pt idx="3">
                        <c:v>1.6244120266830316E-2</c:v>
                      </c:pt>
                      <c:pt idx="4">
                        <c:v>1.2913500800577613E-2</c:v>
                      </c:pt>
                      <c:pt idx="5">
                        <c:v>1.5065663346580231E-2</c:v>
                      </c:pt>
                      <c:pt idx="6">
                        <c:v>7.2384018726777879E-3</c:v>
                      </c:pt>
                      <c:pt idx="7">
                        <c:v>2.5396506640408185E-3</c:v>
                      </c:pt>
                      <c:pt idx="8">
                        <c:v>8.4295018724994515E-5</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val>
                <c:extLst xmlns:c15="http://schemas.microsoft.com/office/drawing/2012/chart">
                  <c:ext xmlns:c16="http://schemas.microsoft.com/office/drawing/2014/chart" uri="{C3380CC4-5D6E-409C-BE32-E72D297353CC}">
                    <c16:uniqueId val="{0000001C-6B8B-442A-9F8B-298B1434AD67}"/>
                  </c:ext>
                </c:extLst>
              </c15:ser>
            </c15:filteredBarSeries>
            <c15:filteredBarSeries>
              <c15:ser>
                <c:idx val="29"/>
                <c:order val="29"/>
                <c:tx>
                  <c:strRef>
                    <c:extLst xmlns:c15="http://schemas.microsoft.com/office/drawing/2012/chart">
                      <c:ext xmlns:c15="http://schemas.microsoft.com/office/drawing/2012/chart" uri="{02D57815-91ED-43cb-92C2-25804820EDAC}">
                        <c15:formulaRef>
                          <c15:sqref>Mittelwerte!$AG$2</c15:sqref>
                        </c15:formulaRef>
                      </c:ext>
                    </c:extLst>
                    <c:strCache>
                      <c:ptCount val="1"/>
                      <c:pt idx="0">
                        <c:v>br-PFTeDA </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Mittelwerte!$B$43:$C$148</c15:sqref>
                        </c15:fullRef>
                        <c15:formulaRef>
                          <c15:sqref>(Mittelwerte!$B$43:$C$52,Mittelwerte!$B$113:$C$118,Mittelwerte!$B$143:$C$148)</c15:sqref>
                        </c15:formulaRef>
                      </c:ext>
                    </c:extLst>
                    <c:multiLvlStrCache>
                      <c:ptCount val="22"/>
                      <c:lvl>
                        <c:pt idx="0">
                          <c:v>1</c:v>
                        </c:pt>
                        <c:pt idx="1">
                          <c:v>5</c:v>
                        </c:pt>
                        <c:pt idx="2">
                          <c:v>17</c:v>
                        </c:pt>
                        <c:pt idx="3">
                          <c:v>38</c:v>
                        </c:pt>
                        <c:pt idx="4">
                          <c:v>54</c:v>
                        </c:pt>
                        <c:pt idx="5">
                          <c:v>57</c:v>
                        </c:pt>
                        <c:pt idx="6">
                          <c:v>61</c:v>
                        </c:pt>
                        <c:pt idx="7">
                          <c:v>73</c:v>
                        </c:pt>
                        <c:pt idx="8">
                          <c:v>101</c:v>
                        </c:pt>
                        <c:pt idx="9">
                          <c:v>136</c:v>
                        </c:pt>
                        <c:pt idx="10">
                          <c:v>1</c:v>
                        </c:pt>
                        <c:pt idx="11">
                          <c:v>5</c:v>
                        </c:pt>
                        <c:pt idx="12">
                          <c:v>17</c:v>
                        </c:pt>
                        <c:pt idx="13">
                          <c:v>57</c:v>
                        </c:pt>
                        <c:pt idx="14">
                          <c:v>61</c:v>
                        </c:pt>
                        <c:pt idx="15">
                          <c:v>136</c:v>
                        </c:pt>
                        <c:pt idx="16">
                          <c:v>1</c:v>
                        </c:pt>
                        <c:pt idx="17">
                          <c:v>5</c:v>
                        </c:pt>
                        <c:pt idx="18">
                          <c:v>17</c:v>
                        </c:pt>
                        <c:pt idx="19">
                          <c:v>57</c:v>
                        </c:pt>
                        <c:pt idx="20">
                          <c:v>61</c:v>
                        </c:pt>
                        <c:pt idx="21">
                          <c:v>136</c:v>
                        </c:pt>
                      </c:lvl>
                      <c:lvl>
                        <c:pt idx="0">
                          <c:v>Milk</c:v>
                        </c:pt>
                        <c:pt idx="10">
                          <c:v>Urine</c:v>
                        </c:pt>
                        <c:pt idx="16">
                          <c:v>Feces</c:v>
                        </c:pt>
                      </c:lvl>
                    </c:multiLvlStrCache>
                  </c:multiLvlStrRef>
                </c:cat>
                <c:val>
                  <c:numRef>
                    <c:extLst>
                      <c:ext xmlns:c15="http://schemas.microsoft.com/office/drawing/2012/chart" uri="{02D57815-91ED-43cb-92C2-25804820EDAC}">
                        <c15:fullRef>
                          <c15:sqref>Mittelwerte!$AG$43:$AG$148</c15:sqref>
                        </c15:fullRef>
                        <c15:formulaRef>
                          <c15:sqref>(Mittelwerte!$AG$43:$AG$52,Mittelwerte!$AG$113:$AG$118,Mittelwerte!$AG$143:$AG$148)</c15:sqref>
                        </c15:formulaRef>
                      </c:ext>
                    </c:extLst>
                    <c:numCache>
                      <c:formatCode>0.00</c:formatCode>
                      <c:ptCount val="22"/>
                      <c:pt idx="0">
                        <c:v>0</c:v>
                      </c:pt>
                      <c:pt idx="1">
                        <c:v>2.7415149856105272E-3</c:v>
                      </c:pt>
                      <c:pt idx="2">
                        <c:v>1.4997562172844203E-2</c:v>
                      </c:pt>
                      <c:pt idx="3">
                        <c:v>4.8260881816243545E-3</c:v>
                      </c:pt>
                      <c:pt idx="4">
                        <c:v>4.8088299198440635E-3</c:v>
                      </c:pt>
                      <c:pt idx="5">
                        <c:v>5.9025164979644466E-3</c:v>
                      </c:pt>
                      <c:pt idx="6">
                        <c:v>6.2150509336594503E-4</c:v>
                      </c:pt>
                      <c:pt idx="7">
                        <c:v>6.8681134312208994E-5</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val>
                <c:extLst xmlns:c15="http://schemas.microsoft.com/office/drawing/2012/chart">
                  <c:ext xmlns:c16="http://schemas.microsoft.com/office/drawing/2014/chart" uri="{C3380CC4-5D6E-409C-BE32-E72D297353CC}">
                    <c16:uniqueId val="{0000001D-6B8B-442A-9F8B-298B1434AD67}"/>
                  </c:ext>
                </c:extLst>
              </c15:ser>
            </c15:filteredBarSeries>
            <c15:filteredBarSeries>
              <c15:ser>
                <c:idx val="30"/>
                <c:order val="30"/>
                <c:tx>
                  <c:strRef>
                    <c:extLst xmlns:c15="http://schemas.microsoft.com/office/drawing/2012/chart">
                      <c:ext xmlns:c15="http://schemas.microsoft.com/office/drawing/2012/chart" uri="{02D57815-91ED-43cb-92C2-25804820EDAC}">
                        <c15:formulaRef>
                          <c15:sqref>Mittelwerte!$AH$2</c15:sqref>
                        </c15:formulaRef>
                      </c:ext>
                    </c:extLst>
                    <c:strCache>
                      <c:ptCount val="1"/>
                      <c:pt idx="0">
                        <c:v>br-PFHxS</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Mittelwerte!$B$43:$C$148</c15:sqref>
                        </c15:fullRef>
                        <c15:formulaRef>
                          <c15:sqref>(Mittelwerte!$B$43:$C$52,Mittelwerte!$B$113:$C$118,Mittelwerte!$B$143:$C$148)</c15:sqref>
                        </c15:formulaRef>
                      </c:ext>
                    </c:extLst>
                    <c:multiLvlStrCache>
                      <c:ptCount val="22"/>
                      <c:lvl>
                        <c:pt idx="0">
                          <c:v>1</c:v>
                        </c:pt>
                        <c:pt idx="1">
                          <c:v>5</c:v>
                        </c:pt>
                        <c:pt idx="2">
                          <c:v>17</c:v>
                        </c:pt>
                        <c:pt idx="3">
                          <c:v>38</c:v>
                        </c:pt>
                        <c:pt idx="4">
                          <c:v>54</c:v>
                        </c:pt>
                        <c:pt idx="5">
                          <c:v>57</c:v>
                        </c:pt>
                        <c:pt idx="6">
                          <c:v>61</c:v>
                        </c:pt>
                        <c:pt idx="7">
                          <c:v>73</c:v>
                        </c:pt>
                        <c:pt idx="8">
                          <c:v>101</c:v>
                        </c:pt>
                        <c:pt idx="9">
                          <c:v>136</c:v>
                        </c:pt>
                        <c:pt idx="10">
                          <c:v>1</c:v>
                        </c:pt>
                        <c:pt idx="11">
                          <c:v>5</c:v>
                        </c:pt>
                        <c:pt idx="12">
                          <c:v>17</c:v>
                        </c:pt>
                        <c:pt idx="13">
                          <c:v>57</c:v>
                        </c:pt>
                        <c:pt idx="14">
                          <c:v>61</c:v>
                        </c:pt>
                        <c:pt idx="15">
                          <c:v>136</c:v>
                        </c:pt>
                        <c:pt idx="16">
                          <c:v>1</c:v>
                        </c:pt>
                        <c:pt idx="17">
                          <c:v>5</c:v>
                        </c:pt>
                        <c:pt idx="18">
                          <c:v>17</c:v>
                        </c:pt>
                        <c:pt idx="19">
                          <c:v>57</c:v>
                        </c:pt>
                        <c:pt idx="20">
                          <c:v>61</c:v>
                        </c:pt>
                        <c:pt idx="21">
                          <c:v>136</c:v>
                        </c:pt>
                      </c:lvl>
                      <c:lvl>
                        <c:pt idx="0">
                          <c:v>Milk</c:v>
                        </c:pt>
                        <c:pt idx="10">
                          <c:v>Urine</c:v>
                        </c:pt>
                        <c:pt idx="16">
                          <c:v>Feces</c:v>
                        </c:pt>
                      </c:lvl>
                    </c:multiLvlStrCache>
                  </c:multiLvlStrRef>
                </c:cat>
                <c:val>
                  <c:numRef>
                    <c:extLst>
                      <c:ext xmlns:c15="http://schemas.microsoft.com/office/drawing/2012/chart" uri="{02D57815-91ED-43cb-92C2-25804820EDAC}">
                        <c15:fullRef>
                          <c15:sqref>Mittelwerte!$AH$43:$AH$148</c15:sqref>
                        </c15:fullRef>
                        <c15:formulaRef>
                          <c15:sqref>(Mittelwerte!$AH$43:$AH$52,Mittelwerte!$AH$113:$AH$118,Mittelwerte!$AH$143:$AH$148)</c15:sqref>
                        </c15:formulaRef>
                      </c:ext>
                    </c:extLst>
                    <c:numCache>
                      <c:formatCode>0.00</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val>
                <c:extLst xmlns:c15="http://schemas.microsoft.com/office/drawing/2012/chart">
                  <c:ext xmlns:c16="http://schemas.microsoft.com/office/drawing/2014/chart" uri="{C3380CC4-5D6E-409C-BE32-E72D297353CC}">
                    <c16:uniqueId val="{0000001E-6B8B-442A-9F8B-298B1434AD67}"/>
                  </c:ext>
                </c:extLst>
              </c15:ser>
            </c15:filteredBarSeries>
            <c15:filteredBarSeries>
              <c15:ser>
                <c:idx val="31"/>
                <c:order val="31"/>
                <c:tx>
                  <c:strRef>
                    <c:extLst xmlns:c15="http://schemas.microsoft.com/office/drawing/2012/chart">
                      <c:ext xmlns:c15="http://schemas.microsoft.com/office/drawing/2012/chart" uri="{02D57815-91ED-43cb-92C2-25804820EDAC}">
                        <c15:formulaRef>
                          <c15:sqref>Mittelwerte!$AI$2</c15:sqref>
                        </c15:formulaRef>
                      </c:ext>
                    </c:extLst>
                    <c:strCache>
                      <c:ptCount val="1"/>
                      <c:pt idx="0">
                        <c:v>br-PFHpS</c:v>
                      </c:pt>
                    </c:strCache>
                  </c:strRef>
                </c:tx>
                <c:spPr>
                  <a:solidFill>
                    <a:schemeClr val="accent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Mittelwerte!$B$43:$C$148</c15:sqref>
                        </c15:fullRef>
                        <c15:formulaRef>
                          <c15:sqref>(Mittelwerte!$B$43:$C$52,Mittelwerte!$B$113:$C$118,Mittelwerte!$B$143:$C$148)</c15:sqref>
                        </c15:formulaRef>
                      </c:ext>
                    </c:extLst>
                    <c:multiLvlStrCache>
                      <c:ptCount val="22"/>
                      <c:lvl>
                        <c:pt idx="0">
                          <c:v>1</c:v>
                        </c:pt>
                        <c:pt idx="1">
                          <c:v>5</c:v>
                        </c:pt>
                        <c:pt idx="2">
                          <c:v>17</c:v>
                        </c:pt>
                        <c:pt idx="3">
                          <c:v>38</c:v>
                        </c:pt>
                        <c:pt idx="4">
                          <c:v>54</c:v>
                        </c:pt>
                        <c:pt idx="5">
                          <c:v>57</c:v>
                        </c:pt>
                        <c:pt idx="6">
                          <c:v>61</c:v>
                        </c:pt>
                        <c:pt idx="7">
                          <c:v>73</c:v>
                        </c:pt>
                        <c:pt idx="8">
                          <c:v>101</c:v>
                        </c:pt>
                        <c:pt idx="9">
                          <c:v>136</c:v>
                        </c:pt>
                        <c:pt idx="10">
                          <c:v>1</c:v>
                        </c:pt>
                        <c:pt idx="11">
                          <c:v>5</c:v>
                        </c:pt>
                        <c:pt idx="12">
                          <c:v>17</c:v>
                        </c:pt>
                        <c:pt idx="13">
                          <c:v>57</c:v>
                        </c:pt>
                        <c:pt idx="14">
                          <c:v>61</c:v>
                        </c:pt>
                        <c:pt idx="15">
                          <c:v>136</c:v>
                        </c:pt>
                        <c:pt idx="16">
                          <c:v>1</c:v>
                        </c:pt>
                        <c:pt idx="17">
                          <c:v>5</c:v>
                        </c:pt>
                        <c:pt idx="18">
                          <c:v>17</c:v>
                        </c:pt>
                        <c:pt idx="19">
                          <c:v>57</c:v>
                        </c:pt>
                        <c:pt idx="20">
                          <c:v>61</c:v>
                        </c:pt>
                        <c:pt idx="21">
                          <c:v>136</c:v>
                        </c:pt>
                      </c:lvl>
                      <c:lvl>
                        <c:pt idx="0">
                          <c:v>Milk</c:v>
                        </c:pt>
                        <c:pt idx="10">
                          <c:v>Urine</c:v>
                        </c:pt>
                        <c:pt idx="16">
                          <c:v>Feces</c:v>
                        </c:pt>
                      </c:lvl>
                    </c:multiLvlStrCache>
                  </c:multiLvlStrRef>
                </c:cat>
                <c:val>
                  <c:numRef>
                    <c:extLst>
                      <c:ext xmlns:c15="http://schemas.microsoft.com/office/drawing/2012/chart" uri="{02D57815-91ED-43cb-92C2-25804820EDAC}">
                        <c15:fullRef>
                          <c15:sqref>Mittelwerte!$AI$43:$AI$148</c15:sqref>
                        </c15:fullRef>
                        <c15:formulaRef>
                          <c15:sqref>(Mittelwerte!$AI$43:$AI$52,Mittelwerte!$AI$113:$AI$118,Mittelwerte!$AI$143:$AI$148)</c15:sqref>
                        </c15:formulaRef>
                      </c:ext>
                    </c:extLst>
                    <c:numCache>
                      <c:formatCode>0.00</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val>
                <c:extLst xmlns:c15="http://schemas.microsoft.com/office/drawing/2012/chart">
                  <c:ext xmlns:c16="http://schemas.microsoft.com/office/drawing/2014/chart" uri="{C3380CC4-5D6E-409C-BE32-E72D297353CC}">
                    <c16:uniqueId val="{0000001F-6B8B-442A-9F8B-298B1434AD67}"/>
                  </c:ext>
                </c:extLst>
              </c15:ser>
            </c15:filteredBarSeries>
            <c15:filteredBarSeries>
              <c15:ser>
                <c:idx val="32"/>
                <c:order val="32"/>
                <c:tx>
                  <c:strRef>
                    <c:extLst xmlns:c15="http://schemas.microsoft.com/office/drawing/2012/chart">
                      <c:ext xmlns:c15="http://schemas.microsoft.com/office/drawing/2012/chart" uri="{02D57815-91ED-43cb-92C2-25804820EDAC}">
                        <c15:formulaRef>
                          <c15:sqref>Mittelwerte!$AJ$2</c15:sqref>
                        </c15:formulaRef>
                      </c:ext>
                    </c:extLst>
                    <c:strCache>
                      <c:ptCount val="1"/>
                      <c:pt idx="0">
                        <c:v>br-PFOS </c:v>
                      </c:pt>
                    </c:strCache>
                  </c:strRef>
                </c:tx>
                <c:spPr>
                  <a:solidFill>
                    <a:schemeClr val="accent3">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Mittelwerte!$B$43:$C$148</c15:sqref>
                        </c15:fullRef>
                        <c15:formulaRef>
                          <c15:sqref>(Mittelwerte!$B$43:$C$52,Mittelwerte!$B$113:$C$118,Mittelwerte!$B$143:$C$148)</c15:sqref>
                        </c15:formulaRef>
                      </c:ext>
                    </c:extLst>
                    <c:multiLvlStrCache>
                      <c:ptCount val="22"/>
                      <c:lvl>
                        <c:pt idx="0">
                          <c:v>1</c:v>
                        </c:pt>
                        <c:pt idx="1">
                          <c:v>5</c:v>
                        </c:pt>
                        <c:pt idx="2">
                          <c:v>17</c:v>
                        </c:pt>
                        <c:pt idx="3">
                          <c:v>38</c:v>
                        </c:pt>
                        <c:pt idx="4">
                          <c:v>54</c:v>
                        </c:pt>
                        <c:pt idx="5">
                          <c:v>57</c:v>
                        </c:pt>
                        <c:pt idx="6">
                          <c:v>61</c:v>
                        </c:pt>
                        <c:pt idx="7">
                          <c:v>73</c:v>
                        </c:pt>
                        <c:pt idx="8">
                          <c:v>101</c:v>
                        </c:pt>
                        <c:pt idx="9">
                          <c:v>136</c:v>
                        </c:pt>
                        <c:pt idx="10">
                          <c:v>1</c:v>
                        </c:pt>
                        <c:pt idx="11">
                          <c:v>5</c:v>
                        </c:pt>
                        <c:pt idx="12">
                          <c:v>17</c:v>
                        </c:pt>
                        <c:pt idx="13">
                          <c:v>57</c:v>
                        </c:pt>
                        <c:pt idx="14">
                          <c:v>61</c:v>
                        </c:pt>
                        <c:pt idx="15">
                          <c:v>136</c:v>
                        </c:pt>
                        <c:pt idx="16">
                          <c:v>1</c:v>
                        </c:pt>
                        <c:pt idx="17">
                          <c:v>5</c:v>
                        </c:pt>
                        <c:pt idx="18">
                          <c:v>17</c:v>
                        </c:pt>
                        <c:pt idx="19">
                          <c:v>57</c:v>
                        </c:pt>
                        <c:pt idx="20">
                          <c:v>61</c:v>
                        </c:pt>
                        <c:pt idx="21">
                          <c:v>136</c:v>
                        </c:pt>
                      </c:lvl>
                      <c:lvl>
                        <c:pt idx="0">
                          <c:v>Milk</c:v>
                        </c:pt>
                        <c:pt idx="10">
                          <c:v>Urine</c:v>
                        </c:pt>
                        <c:pt idx="16">
                          <c:v>Feces</c:v>
                        </c:pt>
                      </c:lvl>
                    </c:multiLvlStrCache>
                  </c:multiLvlStrRef>
                </c:cat>
                <c:val>
                  <c:numRef>
                    <c:extLst>
                      <c:ext xmlns:c15="http://schemas.microsoft.com/office/drawing/2012/chart" uri="{02D57815-91ED-43cb-92C2-25804820EDAC}">
                        <c15:fullRef>
                          <c15:sqref>Mittelwerte!$AJ$43:$AJ$148</c15:sqref>
                        </c15:fullRef>
                        <c15:formulaRef>
                          <c15:sqref>(Mittelwerte!$AJ$43:$AJ$52,Mittelwerte!$AJ$113:$AJ$118,Mittelwerte!$AJ$143:$AJ$148)</c15:sqref>
                        </c15:formulaRef>
                      </c:ext>
                    </c:extLst>
                    <c:numCache>
                      <c:formatCode>0.00</c:formatCode>
                      <c:ptCount val="22"/>
                      <c:pt idx="0">
                        <c:v>0</c:v>
                      </c:pt>
                      <c:pt idx="1">
                        <c:v>0.14172760057861289</c:v>
                      </c:pt>
                      <c:pt idx="2">
                        <c:v>0.99622041122724947</c:v>
                      </c:pt>
                      <c:pt idx="3">
                        <c:v>2.1150749164059017</c:v>
                      </c:pt>
                      <c:pt idx="4">
                        <c:v>2.3834637520754574</c:v>
                      </c:pt>
                      <c:pt idx="5">
                        <c:v>2.4059463786285447</c:v>
                      </c:pt>
                      <c:pt idx="6">
                        <c:v>1.4996158559246471</c:v>
                      </c:pt>
                      <c:pt idx="7">
                        <c:v>1.7641916354149023</c:v>
                      </c:pt>
                      <c:pt idx="8">
                        <c:v>0.91542596545072874</c:v>
                      </c:pt>
                      <c:pt idx="9">
                        <c:v>0.307309575185157</c:v>
                      </c:pt>
                      <c:pt idx="10">
                        <c:v>0</c:v>
                      </c:pt>
                      <c:pt idx="11">
                        <c:v>0</c:v>
                      </c:pt>
                      <c:pt idx="12">
                        <c:v>1.4023333333333332</c:v>
                      </c:pt>
                      <c:pt idx="13">
                        <c:v>0.89050000000000007</c:v>
                      </c:pt>
                      <c:pt idx="14">
                        <c:v>0.95299999999999996</c:v>
                      </c:pt>
                      <c:pt idx="15">
                        <c:v>0</c:v>
                      </c:pt>
                      <c:pt idx="16">
                        <c:v>0</c:v>
                      </c:pt>
                      <c:pt idx="17">
                        <c:v>0</c:v>
                      </c:pt>
                      <c:pt idx="18">
                        <c:v>0.97699999999999987</c:v>
                      </c:pt>
                      <c:pt idx="19">
                        <c:v>1.5266666666666666</c:v>
                      </c:pt>
                      <c:pt idx="20">
                        <c:v>1.53</c:v>
                      </c:pt>
                      <c:pt idx="21">
                        <c:v>0</c:v>
                      </c:pt>
                    </c:numCache>
                  </c:numRef>
                </c:val>
                <c:extLst xmlns:c15="http://schemas.microsoft.com/office/drawing/2012/chart">
                  <c:ext xmlns:c16="http://schemas.microsoft.com/office/drawing/2014/chart" uri="{C3380CC4-5D6E-409C-BE32-E72D297353CC}">
                    <c16:uniqueId val="{00000020-6B8B-442A-9F8B-298B1434AD67}"/>
                  </c:ext>
                </c:extLst>
              </c15:ser>
            </c15:filteredBarSeries>
            <c15:filteredBarSeries>
              <c15:ser>
                <c:idx val="33"/>
                <c:order val="33"/>
                <c:tx>
                  <c:strRef>
                    <c:extLst xmlns:c15="http://schemas.microsoft.com/office/drawing/2012/chart">
                      <c:ext xmlns:c15="http://schemas.microsoft.com/office/drawing/2012/chart" uri="{02D57815-91ED-43cb-92C2-25804820EDAC}">
                        <c15:formulaRef>
                          <c15:sqref>Mittelwerte!$AK$2</c15:sqref>
                        </c15:formulaRef>
                      </c:ext>
                    </c:extLst>
                    <c:strCache>
                      <c:ptCount val="1"/>
                      <c:pt idx="0">
                        <c:v>br-PFNS </c:v>
                      </c:pt>
                    </c:strCache>
                  </c:strRef>
                </c:tx>
                <c:spPr>
                  <a:solidFill>
                    <a:schemeClr val="accent4">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Mittelwerte!$B$43:$C$148</c15:sqref>
                        </c15:fullRef>
                        <c15:formulaRef>
                          <c15:sqref>(Mittelwerte!$B$43:$C$52,Mittelwerte!$B$113:$C$118,Mittelwerte!$B$143:$C$148)</c15:sqref>
                        </c15:formulaRef>
                      </c:ext>
                    </c:extLst>
                    <c:multiLvlStrCache>
                      <c:ptCount val="22"/>
                      <c:lvl>
                        <c:pt idx="0">
                          <c:v>1</c:v>
                        </c:pt>
                        <c:pt idx="1">
                          <c:v>5</c:v>
                        </c:pt>
                        <c:pt idx="2">
                          <c:v>17</c:v>
                        </c:pt>
                        <c:pt idx="3">
                          <c:v>38</c:v>
                        </c:pt>
                        <c:pt idx="4">
                          <c:v>54</c:v>
                        </c:pt>
                        <c:pt idx="5">
                          <c:v>57</c:v>
                        </c:pt>
                        <c:pt idx="6">
                          <c:v>61</c:v>
                        </c:pt>
                        <c:pt idx="7">
                          <c:v>73</c:v>
                        </c:pt>
                        <c:pt idx="8">
                          <c:v>101</c:v>
                        </c:pt>
                        <c:pt idx="9">
                          <c:v>136</c:v>
                        </c:pt>
                        <c:pt idx="10">
                          <c:v>1</c:v>
                        </c:pt>
                        <c:pt idx="11">
                          <c:v>5</c:v>
                        </c:pt>
                        <c:pt idx="12">
                          <c:v>17</c:v>
                        </c:pt>
                        <c:pt idx="13">
                          <c:v>57</c:v>
                        </c:pt>
                        <c:pt idx="14">
                          <c:v>61</c:v>
                        </c:pt>
                        <c:pt idx="15">
                          <c:v>136</c:v>
                        </c:pt>
                        <c:pt idx="16">
                          <c:v>1</c:v>
                        </c:pt>
                        <c:pt idx="17">
                          <c:v>5</c:v>
                        </c:pt>
                        <c:pt idx="18">
                          <c:v>17</c:v>
                        </c:pt>
                        <c:pt idx="19">
                          <c:v>57</c:v>
                        </c:pt>
                        <c:pt idx="20">
                          <c:v>61</c:v>
                        </c:pt>
                        <c:pt idx="21">
                          <c:v>136</c:v>
                        </c:pt>
                      </c:lvl>
                      <c:lvl>
                        <c:pt idx="0">
                          <c:v>Milk</c:v>
                        </c:pt>
                        <c:pt idx="10">
                          <c:v>Urine</c:v>
                        </c:pt>
                        <c:pt idx="16">
                          <c:v>Feces</c:v>
                        </c:pt>
                      </c:lvl>
                    </c:multiLvlStrCache>
                  </c:multiLvlStrRef>
                </c:cat>
                <c:val>
                  <c:numRef>
                    <c:extLst>
                      <c:ext xmlns:c15="http://schemas.microsoft.com/office/drawing/2012/chart" uri="{02D57815-91ED-43cb-92C2-25804820EDAC}">
                        <c15:fullRef>
                          <c15:sqref>Mittelwerte!$AK$43:$AK$148</c15:sqref>
                        </c15:fullRef>
                        <c15:formulaRef>
                          <c15:sqref>(Mittelwerte!$AK$43:$AK$52,Mittelwerte!$AK$113:$AK$118,Mittelwerte!$AK$143:$AK$148)</c15:sqref>
                        </c15:formulaRef>
                      </c:ext>
                    </c:extLst>
                    <c:numCache>
                      <c:formatCode>0.00</c:formatCode>
                      <c:ptCount val="22"/>
                      <c:pt idx="0">
                        <c:v>0</c:v>
                      </c:pt>
                      <c:pt idx="1">
                        <c:v>0.80640764981079505</c:v>
                      </c:pt>
                      <c:pt idx="2">
                        <c:v>10.134075497016578</c:v>
                      </c:pt>
                      <c:pt idx="3">
                        <c:v>19.204016230503196</c:v>
                      </c:pt>
                      <c:pt idx="4">
                        <c:v>19.288553936407038</c:v>
                      </c:pt>
                      <c:pt idx="5">
                        <c:v>23.175070493982599</c:v>
                      </c:pt>
                      <c:pt idx="6">
                        <c:v>13.345218149352268</c:v>
                      </c:pt>
                      <c:pt idx="7">
                        <c:v>15.207864218962332</c:v>
                      </c:pt>
                      <c:pt idx="8">
                        <c:v>6.4602050004256322</c:v>
                      </c:pt>
                      <c:pt idx="9">
                        <c:v>1.2941348516501363</c:v>
                      </c:pt>
                      <c:pt idx="10">
                        <c:v>0</c:v>
                      </c:pt>
                      <c:pt idx="11">
                        <c:v>0</c:v>
                      </c:pt>
                      <c:pt idx="12">
                        <c:v>1.4424999999999999</c:v>
                      </c:pt>
                      <c:pt idx="13">
                        <c:v>0.78900000000000003</c:v>
                      </c:pt>
                      <c:pt idx="14">
                        <c:v>0.53200000000000003</c:v>
                      </c:pt>
                      <c:pt idx="15">
                        <c:v>0</c:v>
                      </c:pt>
                      <c:pt idx="16">
                        <c:v>0</c:v>
                      </c:pt>
                      <c:pt idx="17">
                        <c:v>0.92300000000000004</c:v>
                      </c:pt>
                      <c:pt idx="18">
                        <c:v>14.6</c:v>
                      </c:pt>
                      <c:pt idx="19">
                        <c:v>21.766666666666669</c:v>
                      </c:pt>
                      <c:pt idx="20">
                        <c:v>25.533333333333331</c:v>
                      </c:pt>
                      <c:pt idx="21">
                        <c:v>3.1233333333333335</c:v>
                      </c:pt>
                    </c:numCache>
                  </c:numRef>
                </c:val>
                <c:extLst xmlns:c15="http://schemas.microsoft.com/office/drawing/2012/chart">
                  <c:ext xmlns:c16="http://schemas.microsoft.com/office/drawing/2014/chart" uri="{C3380CC4-5D6E-409C-BE32-E72D297353CC}">
                    <c16:uniqueId val="{00000021-6B8B-442A-9F8B-298B1434AD67}"/>
                  </c:ext>
                </c:extLst>
              </c15:ser>
            </c15:filteredBarSeries>
            <c15:filteredBarSeries>
              <c15:ser>
                <c:idx val="34"/>
                <c:order val="34"/>
                <c:tx>
                  <c:strRef>
                    <c:extLst xmlns:c15="http://schemas.microsoft.com/office/drawing/2012/chart">
                      <c:ext xmlns:c15="http://schemas.microsoft.com/office/drawing/2012/chart" uri="{02D57815-91ED-43cb-92C2-25804820EDAC}">
                        <c15:formulaRef>
                          <c15:sqref>Mittelwerte!$AL$2</c15:sqref>
                        </c15:formulaRef>
                      </c:ext>
                    </c:extLst>
                    <c:strCache>
                      <c:ptCount val="1"/>
                      <c:pt idx="0">
                        <c:v>br-PFDS </c:v>
                      </c:pt>
                    </c:strCache>
                  </c:strRef>
                </c:tx>
                <c:spPr>
                  <a:solidFill>
                    <a:schemeClr val="accent5">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Mittelwerte!$B$43:$C$148</c15:sqref>
                        </c15:fullRef>
                        <c15:formulaRef>
                          <c15:sqref>(Mittelwerte!$B$43:$C$52,Mittelwerte!$B$113:$C$118,Mittelwerte!$B$143:$C$148)</c15:sqref>
                        </c15:formulaRef>
                      </c:ext>
                    </c:extLst>
                    <c:multiLvlStrCache>
                      <c:ptCount val="22"/>
                      <c:lvl>
                        <c:pt idx="0">
                          <c:v>1</c:v>
                        </c:pt>
                        <c:pt idx="1">
                          <c:v>5</c:v>
                        </c:pt>
                        <c:pt idx="2">
                          <c:v>17</c:v>
                        </c:pt>
                        <c:pt idx="3">
                          <c:v>38</c:v>
                        </c:pt>
                        <c:pt idx="4">
                          <c:v>54</c:v>
                        </c:pt>
                        <c:pt idx="5">
                          <c:v>57</c:v>
                        </c:pt>
                        <c:pt idx="6">
                          <c:v>61</c:v>
                        </c:pt>
                        <c:pt idx="7">
                          <c:v>73</c:v>
                        </c:pt>
                        <c:pt idx="8">
                          <c:v>101</c:v>
                        </c:pt>
                        <c:pt idx="9">
                          <c:v>136</c:v>
                        </c:pt>
                        <c:pt idx="10">
                          <c:v>1</c:v>
                        </c:pt>
                        <c:pt idx="11">
                          <c:v>5</c:v>
                        </c:pt>
                        <c:pt idx="12">
                          <c:v>17</c:v>
                        </c:pt>
                        <c:pt idx="13">
                          <c:v>57</c:v>
                        </c:pt>
                        <c:pt idx="14">
                          <c:v>61</c:v>
                        </c:pt>
                        <c:pt idx="15">
                          <c:v>136</c:v>
                        </c:pt>
                        <c:pt idx="16">
                          <c:v>1</c:v>
                        </c:pt>
                        <c:pt idx="17">
                          <c:v>5</c:v>
                        </c:pt>
                        <c:pt idx="18">
                          <c:v>17</c:v>
                        </c:pt>
                        <c:pt idx="19">
                          <c:v>57</c:v>
                        </c:pt>
                        <c:pt idx="20">
                          <c:v>61</c:v>
                        </c:pt>
                        <c:pt idx="21">
                          <c:v>136</c:v>
                        </c:pt>
                      </c:lvl>
                      <c:lvl>
                        <c:pt idx="0">
                          <c:v>Milk</c:v>
                        </c:pt>
                        <c:pt idx="10">
                          <c:v>Urine</c:v>
                        </c:pt>
                        <c:pt idx="16">
                          <c:v>Feces</c:v>
                        </c:pt>
                      </c:lvl>
                    </c:multiLvlStrCache>
                  </c:multiLvlStrRef>
                </c:cat>
                <c:val>
                  <c:numRef>
                    <c:extLst>
                      <c:ext xmlns:c15="http://schemas.microsoft.com/office/drawing/2012/chart" uri="{02D57815-91ED-43cb-92C2-25804820EDAC}">
                        <c15:fullRef>
                          <c15:sqref>Mittelwerte!$AL$43:$AL$148</c15:sqref>
                        </c15:fullRef>
                        <c15:formulaRef>
                          <c15:sqref>(Mittelwerte!$AL$43:$AL$52,Mittelwerte!$AL$113:$AL$118,Mittelwerte!$AL$143:$AL$148)</c15:sqref>
                        </c15:formulaRef>
                      </c:ext>
                    </c:extLst>
                    <c:numCache>
                      <c:formatCode>0.00</c:formatCode>
                      <c:ptCount val="22"/>
                      <c:pt idx="0">
                        <c:v>0</c:v>
                      </c:pt>
                      <c:pt idx="1">
                        <c:v>0.20883309613596324</c:v>
                      </c:pt>
                      <c:pt idx="2">
                        <c:v>2.0577039885451338</c:v>
                      </c:pt>
                      <c:pt idx="3">
                        <c:v>2.6862473119152526</c:v>
                      </c:pt>
                      <c:pt idx="4">
                        <c:v>3.0188717339607516</c:v>
                      </c:pt>
                      <c:pt idx="5">
                        <c:v>2.8364254659032624</c:v>
                      </c:pt>
                      <c:pt idx="6">
                        <c:v>1.3922926922367131</c:v>
                      </c:pt>
                      <c:pt idx="7">
                        <c:v>0.90250363309860937</c:v>
                      </c:pt>
                      <c:pt idx="8">
                        <c:v>0.20082621346622848</c:v>
                      </c:pt>
                      <c:pt idx="9">
                        <c:v>3.8199928301204944E-2</c:v>
                      </c:pt>
                      <c:pt idx="10">
                        <c:v>0</c:v>
                      </c:pt>
                      <c:pt idx="11">
                        <c:v>0</c:v>
                      </c:pt>
                      <c:pt idx="12">
                        <c:v>0</c:v>
                      </c:pt>
                      <c:pt idx="13">
                        <c:v>0</c:v>
                      </c:pt>
                      <c:pt idx="14">
                        <c:v>0</c:v>
                      </c:pt>
                      <c:pt idx="15">
                        <c:v>0</c:v>
                      </c:pt>
                      <c:pt idx="16">
                        <c:v>0</c:v>
                      </c:pt>
                      <c:pt idx="17">
                        <c:v>1.4266666666666667</c:v>
                      </c:pt>
                      <c:pt idx="18">
                        <c:v>21.833333333333332</c:v>
                      </c:pt>
                      <c:pt idx="19">
                        <c:v>26.033333333333331</c:v>
                      </c:pt>
                      <c:pt idx="20">
                        <c:v>26.066666666666666</c:v>
                      </c:pt>
                      <c:pt idx="21">
                        <c:v>1.2925</c:v>
                      </c:pt>
                    </c:numCache>
                  </c:numRef>
                </c:val>
                <c:extLst xmlns:c15="http://schemas.microsoft.com/office/drawing/2012/chart">
                  <c:ext xmlns:c16="http://schemas.microsoft.com/office/drawing/2014/chart" uri="{C3380CC4-5D6E-409C-BE32-E72D297353CC}">
                    <c16:uniqueId val="{00000022-6B8B-442A-9F8B-298B1434AD67}"/>
                  </c:ext>
                </c:extLst>
              </c15:ser>
            </c15:filteredBarSeries>
            <c15:filteredBarSeries>
              <c15:ser>
                <c:idx val="35"/>
                <c:order val="35"/>
                <c:tx>
                  <c:strRef>
                    <c:extLst xmlns:c15="http://schemas.microsoft.com/office/drawing/2012/chart">
                      <c:ext xmlns:c15="http://schemas.microsoft.com/office/drawing/2012/chart" uri="{02D57815-91ED-43cb-92C2-25804820EDAC}">
                        <c15:formulaRef>
                          <c15:sqref>Mittelwerte!$AM$2</c15:sqref>
                        </c15:formulaRef>
                      </c:ext>
                    </c:extLst>
                    <c:strCache>
                      <c:ptCount val="1"/>
                      <c:pt idx="0">
                        <c:v>br-PFUnDS </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Mittelwerte!$B$43:$C$148</c15:sqref>
                        </c15:fullRef>
                        <c15:formulaRef>
                          <c15:sqref>(Mittelwerte!$B$43:$C$52,Mittelwerte!$B$113:$C$118,Mittelwerte!$B$143:$C$148)</c15:sqref>
                        </c15:formulaRef>
                      </c:ext>
                    </c:extLst>
                    <c:multiLvlStrCache>
                      <c:ptCount val="22"/>
                      <c:lvl>
                        <c:pt idx="0">
                          <c:v>1</c:v>
                        </c:pt>
                        <c:pt idx="1">
                          <c:v>5</c:v>
                        </c:pt>
                        <c:pt idx="2">
                          <c:v>17</c:v>
                        </c:pt>
                        <c:pt idx="3">
                          <c:v>38</c:v>
                        </c:pt>
                        <c:pt idx="4">
                          <c:v>54</c:v>
                        </c:pt>
                        <c:pt idx="5">
                          <c:v>57</c:v>
                        </c:pt>
                        <c:pt idx="6">
                          <c:v>61</c:v>
                        </c:pt>
                        <c:pt idx="7">
                          <c:v>73</c:v>
                        </c:pt>
                        <c:pt idx="8">
                          <c:v>101</c:v>
                        </c:pt>
                        <c:pt idx="9">
                          <c:v>136</c:v>
                        </c:pt>
                        <c:pt idx="10">
                          <c:v>1</c:v>
                        </c:pt>
                        <c:pt idx="11">
                          <c:v>5</c:v>
                        </c:pt>
                        <c:pt idx="12">
                          <c:v>17</c:v>
                        </c:pt>
                        <c:pt idx="13">
                          <c:v>57</c:v>
                        </c:pt>
                        <c:pt idx="14">
                          <c:v>61</c:v>
                        </c:pt>
                        <c:pt idx="15">
                          <c:v>136</c:v>
                        </c:pt>
                        <c:pt idx="16">
                          <c:v>1</c:v>
                        </c:pt>
                        <c:pt idx="17">
                          <c:v>5</c:v>
                        </c:pt>
                        <c:pt idx="18">
                          <c:v>17</c:v>
                        </c:pt>
                        <c:pt idx="19">
                          <c:v>57</c:v>
                        </c:pt>
                        <c:pt idx="20">
                          <c:v>61</c:v>
                        </c:pt>
                        <c:pt idx="21">
                          <c:v>136</c:v>
                        </c:pt>
                      </c:lvl>
                      <c:lvl>
                        <c:pt idx="0">
                          <c:v>Milk</c:v>
                        </c:pt>
                        <c:pt idx="10">
                          <c:v>Urine</c:v>
                        </c:pt>
                        <c:pt idx="16">
                          <c:v>Feces</c:v>
                        </c:pt>
                      </c:lvl>
                    </c:multiLvlStrCache>
                  </c:multiLvlStrRef>
                </c:cat>
                <c:val>
                  <c:numRef>
                    <c:extLst>
                      <c:ext xmlns:c15="http://schemas.microsoft.com/office/drawing/2012/chart" uri="{02D57815-91ED-43cb-92C2-25804820EDAC}">
                        <c15:fullRef>
                          <c15:sqref>Mittelwerte!$AM$43:$AM$148</c15:sqref>
                        </c15:fullRef>
                        <c15:formulaRef>
                          <c15:sqref>(Mittelwerte!$AM$43:$AM$52,Mittelwerte!$AM$113:$AM$118,Mittelwerte!$AM$143:$AM$148)</c15:sqref>
                        </c15:formulaRef>
                      </c:ext>
                    </c:extLst>
                    <c:numCache>
                      <c:formatCode>0.00</c:formatCode>
                      <c:ptCount val="22"/>
                      <c:pt idx="0">
                        <c:v>0</c:v>
                      </c:pt>
                      <c:pt idx="1">
                        <c:v>0.18899551615248475</c:v>
                      </c:pt>
                      <c:pt idx="2">
                        <c:v>1.1944071029853354</c:v>
                      </c:pt>
                      <c:pt idx="3">
                        <c:v>0.73668682239732575</c:v>
                      </c:pt>
                      <c:pt idx="4">
                        <c:v>0.7454181149147433</c:v>
                      </c:pt>
                      <c:pt idx="5">
                        <c:v>0.81545233186239652</c:v>
                      </c:pt>
                      <c:pt idx="6">
                        <c:v>0.28691628090800103</c:v>
                      </c:pt>
                      <c:pt idx="7">
                        <c:v>3.943240579007358E-2</c:v>
                      </c:pt>
                      <c:pt idx="8">
                        <c:v>1.5277022996786024E-3</c:v>
                      </c:pt>
                      <c:pt idx="9">
                        <c:v>0</c:v>
                      </c:pt>
                      <c:pt idx="10">
                        <c:v>0</c:v>
                      </c:pt>
                      <c:pt idx="11">
                        <c:v>0</c:v>
                      </c:pt>
                      <c:pt idx="12">
                        <c:v>0</c:v>
                      </c:pt>
                      <c:pt idx="13">
                        <c:v>0</c:v>
                      </c:pt>
                      <c:pt idx="14">
                        <c:v>0</c:v>
                      </c:pt>
                      <c:pt idx="15">
                        <c:v>0</c:v>
                      </c:pt>
                      <c:pt idx="16">
                        <c:v>0</c:v>
                      </c:pt>
                      <c:pt idx="17">
                        <c:v>2.1033333333333335</c:v>
                      </c:pt>
                      <c:pt idx="18">
                        <c:v>8.0666666666666682</c:v>
                      </c:pt>
                      <c:pt idx="19">
                        <c:v>13.733333333333334</c:v>
                      </c:pt>
                      <c:pt idx="20">
                        <c:v>10.700000000000001</c:v>
                      </c:pt>
                      <c:pt idx="21">
                        <c:v>0</c:v>
                      </c:pt>
                    </c:numCache>
                  </c:numRef>
                </c:val>
                <c:extLst xmlns:c15="http://schemas.microsoft.com/office/drawing/2012/chart">
                  <c:ext xmlns:c16="http://schemas.microsoft.com/office/drawing/2014/chart" uri="{C3380CC4-5D6E-409C-BE32-E72D297353CC}">
                    <c16:uniqueId val="{00000023-6B8B-442A-9F8B-298B1434AD67}"/>
                  </c:ext>
                </c:extLst>
              </c15:ser>
            </c15:filteredBarSeries>
            <c15:filteredBarSeries>
              <c15:ser>
                <c:idx val="36"/>
                <c:order val="36"/>
                <c:tx>
                  <c:strRef>
                    <c:extLst xmlns:c15="http://schemas.microsoft.com/office/drawing/2012/chart">
                      <c:ext xmlns:c15="http://schemas.microsoft.com/office/drawing/2012/chart" uri="{02D57815-91ED-43cb-92C2-25804820EDAC}">
                        <c15:formulaRef>
                          <c15:sqref>Mittelwerte!$AN$2</c15:sqref>
                        </c15:formulaRef>
                      </c:ext>
                    </c:extLst>
                    <c:strCache>
                      <c:ptCount val="1"/>
                      <c:pt idx="0">
                        <c:v>br-PFDoDS </c:v>
                      </c:pt>
                    </c:strCache>
                  </c:strRef>
                </c:tx>
                <c:spPr>
                  <a:solidFill>
                    <a:schemeClr val="accent1">
                      <a:lumMod val="70000"/>
                      <a:lumOff val="3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Mittelwerte!$B$43:$C$148</c15:sqref>
                        </c15:fullRef>
                        <c15:formulaRef>
                          <c15:sqref>(Mittelwerte!$B$43:$C$52,Mittelwerte!$B$113:$C$118,Mittelwerte!$B$143:$C$148)</c15:sqref>
                        </c15:formulaRef>
                      </c:ext>
                    </c:extLst>
                    <c:multiLvlStrCache>
                      <c:ptCount val="22"/>
                      <c:lvl>
                        <c:pt idx="0">
                          <c:v>1</c:v>
                        </c:pt>
                        <c:pt idx="1">
                          <c:v>5</c:v>
                        </c:pt>
                        <c:pt idx="2">
                          <c:v>17</c:v>
                        </c:pt>
                        <c:pt idx="3">
                          <c:v>38</c:v>
                        </c:pt>
                        <c:pt idx="4">
                          <c:v>54</c:v>
                        </c:pt>
                        <c:pt idx="5">
                          <c:v>57</c:v>
                        </c:pt>
                        <c:pt idx="6">
                          <c:v>61</c:v>
                        </c:pt>
                        <c:pt idx="7">
                          <c:v>73</c:v>
                        </c:pt>
                        <c:pt idx="8">
                          <c:v>101</c:v>
                        </c:pt>
                        <c:pt idx="9">
                          <c:v>136</c:v>
                        </c:pt>
                        <c:pt idx="10">
                          <c:v>1</c:v>
                        </c:pt>
                        <c:pt idx="11">
                          <c:v>5</c:v>
                        </c:pt>
                        <c:pt idx="12">
                          <c:v>17</c:v>
                        </c:pt>
                        <c:pt idx="13">
                          <c:v>57</c:v>
                        </c:pt>
                        <c:pt idx="14">
                          <c:v>61</c:v>
                        </c:pt>
                        <c:pt idx="15">
                          <c:v>136</c:v>
                        </c:pt>
                        <c:pt idx="16">
                          <c:v>1</c:v>
                        </c:pt>
                        <c:pt idx="17">
                          <c:v>5</c:v>
                        </c:pt>
                        <c:pt idx="18">
                          <c:v>17</c:v>
                        </c:pt>
                        <c:pt idx="19">
                          <c:v>57</c:v>
                        </c:pt>
                        <c:pt idx="20">
                          <c:v>61</c:v>
                        </c:pt>
                        <c:pt idx="21">
                          <c:v>136</c:v>
                        </c:pt>
                      </c:lvl>
                      <c:lvl>
                        <c:pt idx="0">
                          <c:v>Milk</c:v>
                        </c:pt>
                        <c:pt idx="10">
                          <c:v>Urine</c:v>
                        </c:pt>
                        <c:pt idx="16">
                          <c:v>Feces</c:v>
                        </c:pt>
                      </c:lvl>
                    </c:multiLvlStrCache>
                  </c:multiLvlStrRef>
                </c:cat>
                <c:val>
                  <c:numRef>
                    <c:extLst>
                      <c:ext xmlns:c15="http://schemas.microsoft.com/office/drawing/2012/chart" uri="{02D57815-91ED-43cb-92C2-25804820EDAC}">
                        <c15:fullRef>
                          <c15:sqref>Mittelwerte!$AN$43:$AN$148</c15:sqref>
                        </c15:fullRef>
                        <c15:formulaRef>
                          <c15:sqref>(Mittelwerte!$AN$43:$AN$52,Mittelwerte!$AN$113:$AN$118,Mittelwerte!$AN$143:$AN$148)</c15:sqref>
                        </c15:formulaRef>
                      </c:ext>
                    </c:extLst>
                    <c:numCache>
                      <c:formatCode>0.00</c:formatCode>
                      <c:ptCount val="22"/>
                      <c:pt idx="0">
                        <c:v>0</c:v>
                      </c:pt>
                      <c:pt idx="1">
                        <c:v>5.4757186843355177E-2</c:v>
                      </c:pt>
                      <c:pt idx="2">
                        <c:v>0.26709595247278245</c:v>
                      </c:pt>
                      <c:pt idx="3">
                        <c:v>0.1014179690881214</c:v>
                      </c:pt>
                      <c:pt idx="4">
                        <c:v>0.15013892063543224</c:v>
                      </c:pt>
                      <c:pt idx="5">
                        <c:v>0.14310612453179825</c:v>
                      </c:pt>
                      <c:pt idx="6">
                        <c:v>3.4190712570129053E-2</c:v>
                      </c:pt>
                      <c:pt idx="7">
                        <c:v>7.06158355288255E-4</c:v>
                      </c:pt>
                      <c:pt idx="8">
                        <c:v>0</c:v>
                      </c:pt>
                      <c:pt idx="9">
                        <c:v>0</c:v>
                      </c:pt>
                      <c:pt idx="10">
                        <c:v>0</c:v>
                      </c:pt>
                      <c:pt idx="11">
                        <c:v>0</c:v>
                      </c:pt>
                      <c:pt idx="12">
                        <c:v>0</c:v>
                      </c:pt>
                      <c:pt idx="13">
                        <c:v>0</c:v>
                      </c:pt>
                      <c:pt idx="14">
                        <c:v>0</c:v>
                      </c:pt>
                      <c:pt idx="15">
                        <c:v>0</c:v>
                      </c:pt>
                      <c:pt idx="16">
                        <c:v>0</c:v>
                      </c:pt>
                      <c:pt idx="17">
                        <c:v>4.3833333333333337</c:v>
                      </c:pt>
                      <c:pt idx="18">
                        <c:v>13.896666666666667</c:v>
                      </c:pt>
                      <c:pt idx="19">
                        <c:v>12.799999999999999</c:v>
                      </c:pt>
                      <c:pt idx="20">
                        <c:v>4.51</c:v>
                      </c:pt>
                      <c:pt idx="21">
                        <c:v>0</c:v>
                      </c:pt>
                    </c:numCache>
                  </c:numRef>
                </c:val>
                <c:extLst xmlns:c15="http://schemas.microsoft.com/office/drawing/2012/chart">
                  <c:ext xmlns:c16="http://schemas.microsoft.com/office/drawing/2014/chart" uri="{C3380CC4-5D6E-409C-BE32-E72D297353CC}">
                    <c16:uniqueId val="{00000024-6B8B-442A-9F8B-298B1434AD67}"/>
                  </c:ext>
                </c:extLst>
              </c15:ser>
            </c15:filteredBarSeries>
            <c15:filteredBarSeries>
              <c15:ser>
                <c:idx val="37"/>
                <c:order val="37"/>
                <c:tx>
                  <c:strRef>
                    <c:extLst xmlns:c15="http://schemas.microsoft.com/office/drawing/2012/chart">
                      <c:ext xmlns:c15="http://schemas.microsoft.com/office/drawing/2012/chart" uri="{02D57815-91ED-43cb-92C2-25804820EDAC}">
                        <c15:formulaRef>
                          <c15:sqref>Mittelwerte!$AO$2</c15:sqref>
                        </c15:formulaRef>
                      </c:ext>
                    </c:extLst>
                    <c:strCache>
                      <c:ptCount val="1"/>
                      <c:pt idx="0">
                        <c:v>br-PFTrDS </c:v>
                      </c:pt>
                    </c:strCache>
                  </c:strRef>
                </c:tx>
                <c:spPr>
                  <a:solidFill>
                    <a:schemeClr val="accent2">
                      <a:lumMod val="70000"/>
                      <a:lumOff val="3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Mittelwerte!$B$43:$C$148</c15:sqref>
                        </c15:fullRef>
                        <c15:formulaRef>
                          <c15:sqref>(Mittelwerte!$B$43:$C$52,Mittelwerte!$B$113:$C$118,Mittelwerte!$B$143:$C$148)</c15:sqref>
                        </c15:formulaRef>
                      </c:ext>
                    </c:extLst>
                    <c:multiLvlStrCache>
                      <c:ptCount val="22"/>
                      <c:lvl>
                        <c:pt idx="0">
                          <c:v>1</c:v>
                        </c:pt>
                        <c:pt idx="1">
                          <c:v>5</c:v>
                        </c:pt>
                        <c:pt idx="2">
                          <c:v>17</c:v>
                        </c:pt>
                        <c:pt idx="3">
                          <c:v>38</c:v>
                        </c:pt>
                        <c:pt idx="4">
                          <c:v>54</c:v>
                        </c:pt>
                        <c:pt idx="5">
                          <c:v>57</c:v>
                        </c:pt>
                        <c:pt idx="6">
                          <c:v>61</c:v>
                        </c:pt>
                        <c:pt idx="7">
                          <c:v>73</c:v>
                        </c:pt>
                        <c:pt idx="8">
                          <c:v>101</c:v>
                        </c:pt>
                        <c:pt idx="9">
                          <c:v>136</c:v>
                        </c:pt>
                        <c:pt idx="10">
                          <c:v>1</c:v>
                        </c:pt>
                        <c:pt idx="11">
                          <c:v>5</c:v>
                        </c:pt>
                        <c:pt idx="12">
                          <c:v>17</c:v>
                        </c:pt>
                        <c:pt idx="13">
                          <c:v>57</c:v>
                        </c:pt>
                        <c:pt idx="14">
                          <c:v>61</c:v>
                        </c:pt>
                        <c:pt idx="15">
                          <c:v>136</c:v>
                        </c:pt>
                        <c:pt idx="16">
                          <c:v>1</c:v>
                        </c:pt>
                        <c:pt idx="17">
                          <c:v>5</c:v>
                        </c:pt>
                        <c:pt idx="18">
                          <c:v>17</c:v>
                        </c:pt>
                        <c:pt idx="19">
                          <c:v>57</c:v>
                        </c:pt>
                        <c:pt idx="20">
                          <c:v>61</c:v>
                        </c:pt>
                        <c:pt idx="21">
                          <c:v>136</c:v>
                        </c:pt>
                      </c:lvl>
                      <c:lvl>
                        <c:pt idx="0">
                          <c:v>Milk</c:v>
                        </c:pt>
                        <c:pt idx="10">
                          <c:v>Urine</c:v>
                        </c:pt>
                        <c:pt idx="16">
                          <c:v>Feces</c:v>
                        </c:pt>
                      </c:lvl>
                    </c:multiLvlStrCache>
                  </c:multiLvlStrRef>
                </c:cat>
                <c:val>
                  <c:numRef>
                    <c:extLst>
                      <c:ext xmlns:c15="http://schemas.microsoft.com/office/drawing/2012/chart" uri="{02D57815-91ED-43cb-92C2-25804820EDAC}">
                        <c15:fullRef>
                          <c15:sqref>Mittelwerte!$AO$43:$AO$148</c15:sqref>
                        </c15:fullRef>
                        <c15:formulaRef>
                          <c15:sqref>(Mittelwerte!$AO$43:$AO$52,Mittelwerte!$AO$113:$AO$118,Mittelwerte!$AO$143:$AO$148)</c15:sqref>
                        </c15:formulaRef>
                      </c:ext>
                    </c:extLst>
                    <c:numCache>
                      <c:formatCode>0.00</c:formatCode>
                      <c:ptCount val="22"/>
                      <c:pt idx="0">
                        <c:v>0</c:v>
                      </c:pt>
                      <c:pt idx="1">
                        <c:v>2.5464359033751355E-2</c:v>
                      </c:pt>
                      <c:pt idx="2">
                        <c:v>0.12181007200107703</c:v>
                      </c:pt>
                      <c:pt idx="3">
                        <c:v>3.3668774822408515E-2</c:v>
                      </c:pt>
                      <c:pt idx="4">
                        <c:v>6.3004407723677242E-2</c:v>
                      </c:pt>
                      <c:pt idx="5">
                        <c:v>4.7832423123505712E-2</c:v>
                      </c:pt>
                      <c:pt idx="6">
                        <c:v>5.1645926733535075E-3</c:v>
                      </c:pt>
                      <c:pt idx="7">
                        <c:v>5.2049790325361879E-4</c:v>
                      </c:pt>
                      <c:pt idx="8">
                        <c:v>0</c:v>
                      </c:pt>
                      <c:pt idx="9">
                        <c:v>0</c:v>
                      </c:pt>
                      <c:pt idx="10">
                        <c:v>0</c:v>
                      </c:pt>
                      <c:pt idx="11">
                        <c:v>0</c:v>
                      </c:pt>
                      <c:pt idx="12">
                        <c:v>0</c:v>
                      </c:pt>
                      <c:pt idx="13">
                        <c:v>0</c:v>
                      </c:pt>
                      <c:pt idx="14">
                        <c:v>0</c:v>
                      </c:pt>
                      <c:pt idx="15">
                        <c:v>0</c:v>
                      </c:pt>
                      <c:pt idx="16">
                        <c:v>0</c:v>
                      </c:pt>
                      <c:pt idx="17">
                        <c:v>5.1899999999999995</c:v>
                      </c:pt>
                      <c:pt idx="18">
                        <c:v>3.276666666666666</c:v>
                      </c:pt>
                      <c:pt idx="19">
                        <c:v>10.223333333333334</c:v>
                      </c:pt>
                      <c:pt idx="20">
                        <c:v>1.1045</c:v>
                      </c:pt>
                      <c:pt idx="21">
                        <c:v>0</c:v>
                      </c:pt>
                    </c:numCache>
                  </c:numRef>
                </c:val>
                <c:extLst xmlns:c15="http://schemas.microsoft.com/office/drawing/2012/chart">
                  <c:ext xmlns:c16="http://schemas.microsoft.com/office/drawing/2014/chart" uri="{C3380CC4-5D6E-409C-BE32-E72D297353CC}">
                    <c16:uniqueId val="{00000025-6B8B-442A-9F8B-298B1434AD67}"/>
                  </c:ext>
                </c:extLst>
              </c15:ser>
            </c15:filteredBarSeries>
            <c15:filteredBarSeries>
              <c15:ser>
                <c:idx val="39"/>
                <c:order val="39"/>
                <c:tx>
                  <c:strRef>
                    <c:extLst xmlns:c15="http://schemas.microsoft.com/office/drawing/2012/chart">
                      <c:ext xmlns:c15="http://schemas.microsoft.com/office/drawing/2012/chart" uri="{02D57815-91ED-43cb-92C2-25804820EDAC}">
                        <c15:formulaRef>
                          <c15:sqref>Mittelwerte!$AQ$2</c15:sqref>
                        </c15:formulaRef>
                      </c:ext>
                    </c:extLst>
                    <c:strCache>
                      <c:ptCount val="1"/>
                      <c:pt idx="0">
                        <c:v>Summe n-</c:v>
                      </c:pt>
                    </c:strCache>
                  </c:strRef>
                </c:tx>
                <c:spPr>
                  <a:solidFill>
                    <a:schemeClr val="accent4">
                      <a:lumMod val="70000"/>
                      <a:lumOff val="30000"/>
                    </a:schemeClr>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Mittelwerte!$B$43:$C$148</c15:sqref>
                        </c15:fullRef>
                        <c15:formulaRef>
                          <c15:sqref>(Mittelwerte!$B$43:$C$52,Mittelwerte!$B$113:$C$118,Mittelwerte!$B$143:$C$148)</c15:sqref>
                        </c15:formulaRef>
                      </c:ext>
                    </c:extLst>
                    <c:multiLvlStrCache>
                      <c:ptCount val="22"/>
                      <c:lvl>
                        <c:pt idx="0">
                          <c:v>1</c:v>
                        </c:pt>
                        <c:pt idx="1">
                          <c:v>5</c:v>
                        </c:pt>
                        <c:pt idx="2">
                          <c:v>17</c:v>
                        </c:pt>
                        <c:pt idx="3">
                          <c:v>38</c:v>
                        </c:pt>
                        <c:pt idx="4">
                          <c:v>54</c:v>
                        </c:pt>
                        <c:pt idx="5">
                          <c:v>57</c:v>
                        </c:pt>
                        <c:pt idx="6">
                          <c:v>61</c:v>
                        </c:pt>
                        <c:pt idx="7">
                          <c:v>73</c:v>
                        </c:pt>
                        <c:pt idx="8">
                          <c:v>101</c:v>
                        </c:pt>
                        <c:pt idx="9">
                          <c:v>136</c:v>
                        </c:pt>
                        <c:pt idx="10">
                          <c:v>1</c:v>
                        </c:pt>
                        <c:pt idx="11">
                          <c:v>5</c:v>
                        </c:pt>
                        <c:pt idx="12">
                          <c:v>17</c:v>
                        </c:pt>
                        <c:pt idx="13">
                          <c:v>57</c:v>
                        </c:pt>
                        <c:pt idx="14">
                          <c:v>61</c:v>
                        </c:pt>
                        <c:pt idx="15">
                          <c:v>136</c:v>
                        </c:pt>
                        <c:pt idx="16">
                          <c:v>1</c:v>
                        </c:pt>
                        <c:pt idx="17">
                          <c:v>5</c:v>
                        </c:pt>
                        <c:pt idx="18">
                          <c:v>17</c:v>
                        </c:pt>
                        <c:pt idx="19">
                          <c:v>57</c:v>
                        </c:pt>
                        <c:pt idx="20">
                          <c:v>61</c:v>
                        </c:pt>
                        <c:pt idx="21">
                          <c:v>136</c:v>
                        </c:pt>
                      </c:lvl>
                      <c:lvl>
                        <c:pt idx="0">
                          <c:v>Milk</c:v>
                        </c:pt>
                        <c:pt idx="10">
                          <c:v>Urine</c:v>
                        </c:pt>
                        <c:pt idx="16">
                          <c:v>Feces</c:v>
                        </c:pt>
                      </c:lvl>
                    </c:multiLvlStrCache>
                  </c:multiLvlStrRef>
                </c:cat>
                <c:val>
                  <c:numRef>
                    <c:extLst>
                      <c:ext xmlns:c15="http://schemas.microsoft.com/office/drawing/2012/chart" uri="{02D57815-91ED-43cb-92C2-25804820EDAC}">
                        <c15:fullRef>
                          <c15:sqref>Mittelwerte!$AQ$43:$AQ$148</c15:sqref>
                        </c15:fullRef>
                        <c15:formulaRef>
                          <c15:sqref>(Mittelwerte!$AQ$43:$AQ$52,Mittelwerte!$AQ$113:$AQ$118,Mittelwerte!$AQ$143:$AQ$148)</c15:sqref>
                        </c15:formulaRef>
                      </c:ext>
                    </c:extLst>
                    <c:numCache>
                      <c:formatCode>0.00</c:formatCode>
                      <c:ptCount val="22"/>
                      <c:pt idx="0">
                        <c:v>1.6603733270025168E-2</c:v>
                      </c:pt>
                      <c:pt idx="1">
                        <c:v>2.585538166567563</c:v>
                      </c:pt>
                      <c:pt idx="2">
                        <c:v>18.048855690892822</c:v>
                      </c:pt>
                      <c:pt idx="3">
                        <c:v>25.717747172090156</c:v>
                      </c:pt>
                      <c:pt idx="4">
                        <c:v>26.6726178026044</c:v>
                      </c:pt>
                      <c:pt idx="5">
                        <c:v>30.10662116779304</c:v>
                      </c:pt>
                      <c:pt idx="6">
                        <c:v>20.05148060360608</c:v>
                      </c:pt>
                      <c:pt idx="7">
                        <c:v>20.942511713099137</c:v>
                      </c:pt>
                      <c:pt idx="8">
                        <c:v>9.8567474455150546</c:v>
                      </c:pt>
                      <c:pt idx="9">
                        <c:v>2.2741863299004059</c:v>
                      </c:pt>
                      <c:pt idx="10">
                        <c:v>1.8499999999999999</c:v>
                      </c:pt>
                      <c:pt idx="11">
                        <c:v>47.963666666666661</c:v>
                      </c:pt>
                      <c:pt idx="12">
                        <c:v>114.34683333333334</c:v>
                      </c:pt>
                      <c:pt idx="13">
                        <c:v>43.574666666666666</c:v>
                      </c:pt>
                      <c:pt idx="14">
                        <c:v>2.3249999999999997</c:v>
                      </c:pt>
                      <c:pt idx="15">
                        <c:v>0</c:v>
                      </c:pt>
                      <c:pt idx="16">
                        <c:v>0</c:v>
                      </c:pt>
                      <c:pt idx="17">
                        <c:v>13.860999999999999</c:v>
                      </c:pt>
                      <c:pt idx="18">
                        <c:v>49.892000000000003</c:v>
                      </c:pt>
                      <c:pt idx="19">
                        <c:v>60.584666666666671</c:v>
                      </c:pt>
                      <c:pt idx="20">
                        <c:v>76.963333333333338</c:v>
                      </c:pt>
                      <c:pt idx="21">
                        <c:v>5.3440000000000003</c:v>
                      </c:pt>
                    </c:numCache>
                  </c:numRef>
                </c:val>
                <c:extLst xmlns:c15="http://schemas.microsoft.com/office/drawing/2012/chart">
                  <c:ext xmlns:c16="http://schemas.microsoft.com/office/drawing/2014/chart" uri="{C3380CC4-5D6E-409C-BE32-E72D297353CC}">
                    <c16:uniqueId val="{00000027-6B8B-442A-9F8B-298B1434AD67}"/>
                  </c:ext>
                </c:extLst>
              </c15:ser>
            </c15:filteredBarSeries>
            <c15:filteredBarSeries>
              <c15:ser>
                <c:idx val="40"/>
                <c:order val="40"/>
                <c:tx>
                  <c:strRef>
                    <c:extLst xmlns:c15="http://schemas.microsoft.com/office/drawing/2012/chart">
                      <c:ext xmlns:c15="http://schemas.microsoft.com/office/drawing/2012/chart" uri="{02D57815-91ED-43cb-92C2-25804820EDAC}">
                        <c15:formulaRef>
                          <c15:sqref>Mittelwerte!$AR$2</c15:sqref>
                        </c15:formulaRef>
                      </c:ext>
                    </c:extLst>
                    <c:strCache>
                      <c:ptCount val="1"/>
                      <c:pt idx="0">
                        <c:v>Summe br-</c:v>
                      </c:pt>
                    </c:strCache>
                  </c:strRef>
                </c:tx>
                <c:spPr>
                  <a:solidFill>
                    <a:schemeClr val="accent5">
                      <a:lumMod val="70000"/>
                      <a:lumOff val="30000"/>
                    </a:schemeClr>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Mittelwerte!$B$43:$C$148</c15:sqref>
                        </c15:fullRef>
                        <c15:formulaRef>
                          <c15:sqref>(Mittelwerte!$B$43:$C$52,Mittelwerte!$B$113:$C$118,Mittelwerte!$B$143:$C$148)</c15:sqref>
                        </c15:formulaRef>
                      </c:ext>
                    </c:extLst>
                    <c:multiLvlStrCache>
                      <c:ptCount val="22"/>
                      <c:lvl>
                        <c:pt idx="0">
                          <c:v>1</c:v>
                        </c:pt>
                        <c:pt idx="1">
                          <c:v>5</c:v>
                        </c:pt>
                        <c:pt idx="2">
                          <c:v>17</c:v>
                        </c:pt>
                        <c:pt idx="3">
                          <c:v>38</c:v>
                        </c:pt>
                        <c:pt idx="4">
                          <c:v>54</c:v>
                        </c:pt>
                        <c:pt idx="5">
                          <c:v>57</c:v>
                        </c:pt>
                        <c:pt idx="6">
                          <c:v>61</c:v>
                        </c:pt>
                        <c:pt idx="7">
                          <c:v>73</c:v>
                        </c:pt>
                        <c:pt idx="8">
                          <c:v>101</c:v>
                        </c:pt>
                        <c:pt idx="9">
                          <c:v>136</c:v>
                        </c:pt>
                        <c:pt idx="10">
                          <c:v>1</c:v>
                        </c:pt>
                        <c:pt idx="11">
                          <c:v>5</c:v>
                        </c:pt>
                        <c:pt idx="12">
                          <c:v>17</c:v>
                        </c:pt>
                        <c:pt idx="13">
                          <c:v>57</c:v>
                        </c:pt>
                        <c:pt idx="14">
                          <c:v>61</c:v>
                        </c:pt>
                        <c:pt idx="15">
                          <c:v>136</c:v>
                        </c:pt>
                        <c:pt idx="16">
                          <c:v>1</c:v>
                        </c:pt>
                        <c:pt idx="17">
                          <c:v>5</c:v>
                        </c:pt>
                        <c:pt idx="18">
                          <c:v>17</c:v>
                        </c:pt>
                        <c:pt idx="19">
                          <c:v>57</c:v>
                        </c:pt>
                        <c:pt idx="20">
                          <c:v>61</c:v>
                        </c:pt>
                        <c:pt idx="21">
                          <c:v>136</c:v>
                        </c:pt>
                      </c:lvl>
                      <c:lvl>
                        <c:pt idx="0">
                          <c:v>Milk</c:v>
                        </c:pt>
                        <c:pt idx="10">
                          <c:v>Urine</c:v>
                        </c:pt>
                        <c:pt idx="16">
                          <c:v>Feces</c:v>
                        </c:pt>
                      </c:lvl>
                    </c:multiLvlStrCache>
                  </c:multiLvlStrRef>
                </c:cat>
                <c:val>
                  <c:numRef>
                    <c:extLst>
                      <c:ext xmlns:c15="http://schemas.microsoft.com/office/drawing/2012/chart" uri="{02D57815-91ED-43cb-92C2-25804820EDAC}">
                        <c15:fullRef>
                          <c15:sqref>Mittelwerte!$AR$43:$AR$148</c15:sqref>
                        </c15:fullRef>
                        <c15:formulaRef>
                          <c15:sqref>(Mittelwerte!$AR$43:$AR$52,Mittelwerte!$AR$113:$AR$118,Mittelwerte!$AR$143:$AR$148)</c15:sqref>
                        </c15:formulaRef>
                      </c:ext>
                    </c:extLst>
                    <c:numCache>
                      <c:formatCode>0.00</c:formatCode>
                      <c:ptCount val="22"/>
                      <c:pt idx="0">
                        <c:v>1.3230305350351995E-5</c:v>
                      </c:pt>
                      <c:pt idx="1">
                        <c:v>1.43921965815397</c:v>
                      </c:pt>
                      <c:pt idx="2">
                        <c:v>14.870427407556898</c:v>
                      </c:pt>
                      <c:pt idx="3">
                        <c:v>24.97009793164537</c:v>
                      </c:pt>
                      <c:pt idx="4">
                        <c:v>25.726316920277828</c:v>
                      </c:pt>
                      <c:pt idx="5">
                        <c:v>29.51023577595063</c:v>
                      </c:pt>
                      <c:pt idx="6">
                        <c:v>16.618661253545159</c:v>
                      </c:pt>
                      <c:pt idx="7">
                        <c:v>17.960284297678047</c:v>
                      </c:pt>
                      <c:pt idx="8">
                        <c:v>7.5995377599757896</c:v>
                      </c:pt>
                      <c:pt idx="9">
                        <c:v>1.642033386334333</c:v>
                      </c:pt>
                      <c:pt idx="10">
                        <c:v>0</c:v>
                      </c:pt>
                      <c:pt idx="11">
                        <c:v>3.7716666666666665</c:v>
                      </c:pt>
                      <c:pt idx="12">
                        <c:v>7.7059999999999995</c:v>
                      </c:pt>
                      <c:pt idx="13">
                        <c:v>2.4083333333333332</c:v>
                      </c:pt>
                      <c:pt idx="14">
                        <c:v>1.1303333333333334</c:v>
                      </c:pt>
                      <c:pt idx="15">
                        <c:v>0</c:v>
                      </c:pt>
                      <c:pt idx="16">
                        <c:v>0</c:v>
                      </c:pt>
                      <c:pt idx="17">
                        <c:v>13.718666666666666</c:v>
                      </c:pt>
                      <c:pt idx="18">
                        <c:v>62.650333333333329</c:v>
                      </c:pt>
                      <c:pt idx="19">
                        <c:v>86.083333333333329</c:v>
                      </c:pt>
                      <c:pt idx="20">
                        <c:v>69.076333333333324</c:v>
                      </c:pt>
                      <c:pt idx="21">
                        <c:v>3.9850000000000008</c:v>
                      </c:pt>
                    </c:numCache>
                  </c:numRef>
                </c:val>
                <c:extLst xmlns:c15="http://schemas.microsoft.com/office/drawing/2012/chart">
                  <c:ext xmlns:c16="http://schemas.microsoft.com/office/drawing/2014/chart" uri="{C3380CC4-5D6E-409C-BE32-E72D297353CC}">
                    <c16:uniqueId val="{00000028-6B8B-442A-9F8B-298B1434AD67}"/>
                  </c:ext>
                </c:extLst>
              </c15:ser>
            </c15:filteredBarSeries>
          </c:ext>
        </c:extLst>
      </c:barChart>
      <c:catAx>
        <c:axId val="202152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176559"/>
        <c:crosses val="autoZero"/>
        <c:auto val="1"/>
        <c:lblAlgn val="ctr"/>
        <c:lblOffset val="100"/>
        <c:noMultiLvlLbl val="0"/>
      </c:catAx>
      <c:valAx>
        <c:axId val="20217655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1524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8740157499999996" l="0.7" r="0.7" t="0.78740157499999996"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38"/>
          <c:order val="38"/>
          <c:tx>
            <c:strRef>
              <c:f>Mittelwerte!$AP$2</c:f>
              <c:strCache>
                <c:ptCount val="1"/>
                <c:pt idx="0">
                  <c:v>Summe</c:v>
                </c:pt>
              </c:strCache>
            </c:strRef>
          </c:tx>
          <c:spPr>
            <a:solidFill>
              <a:schemeClr val="accent3">
                <a:lumMod val="70000"/>
                <a:lumOff val="3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Mittelwerte!$B$43:$C$148</c15:sqref>
                  </c15:fullRef>
                </c:ext>
              </c:extLst>
              <c:f>Mittelwerte!$B$80:$C$88</c:f>
              <c:multiLvlStrCache>
                <c:ptCount val="9"/>
                <c:lvl>
                  <c:pt idx="0">
                    <c:v>1</c:v>
                  </c:pt>
                  <c:pt idx="1">
                    <c:v>5</c:v>
                  </c:pt>
                  <c:pt idx="2">
                    <c:v>17</c:v>
                  </c:pt>
                  <c:pt idx="3">
                    <c:v>38</c:v>
                  </c:pt>
                  <c:pt idx="4">
                    <c:v>57</c:v>
                  </c:pt>
                  <c:pt idx="5">
                    <c:v>61</c:v>
                  </c:pt>
                  <c:pt idx="6">
                    <c:v>73</c:v>
                  </c:pt>
                  <c:pt idx="7">
                    <c:v>101</c:v>
                  </c:pt>
                  <c:pt idx="8">
                    <c:v>136</c:v>
                  </c:pt>
                </c:lvl>
                <c:lvl>
                  <c:pt idx="0">
                    <c:v>Serum</c:v>
                  </c:pt>
                </c:lvl>
              </c:multiLvlStrCache>
            </c:multiLvlStrRef>
          </c:cat>
          <c:val>
            <c:numRef>
              <c:extLst>
                <c:ext xmlns:c15="http://schemas.microsoft.com/office/drawing/2012/chart" uri="{02D57815-91ED-43cb-92C2-25804820EDAC}">
                  <c15:fullRef>
                    <c15:sqref>Mittelwerte!$AP$43:$AP$148</c15:sqref>
                  </c15:fullRef>
                </c:ext>
              </c:extLst>
              <c:f>Mittelwerte!$AP$80:$AP$88</c:f>
              <c:numCache>
                <c:formatCode>0.00</c:formatCode>
                <c:ptCount val="9"/>
                <c:pt idx="0">
                  <c:v>0</c:v>
                </c:pt>
                <c:pt idx="1">
                  <c:v>34.241000000000007</c:v>
                </c:pt>
                <c:pt idx="2">
                  <c:v>539.94566666666663</c:v>
                </c:pt>
                <c:pt idx="3">
                  <c:v>1091.2093333333332</c:v>
                </c:pt>
                <c:pt idx="4">
                  <c:v>1532.3263333333334</c:v>
                </c:pt>
                <c:pt idx="5">
                  <c:v>1290.4816666666666</c:v>
                </c:pt>
                <c:pt idx="6">
                  <c:v>749.25466666666659</c:v>
                </c:pt>
                <c:pt idx="7">
                  <c:v>308.23133333333334</c:v>
                </c:pt>
                <c:pt idx="8">
                  <c:v>123.176</c:v>
                </c:pt>
              </c:numCache>
            </c:numRef>
          </c:val>
          <c:extLst xmlns:c15="http://schemas.microsoft.com/office/drawing/2012/chart">
            <c:ext xmlns:c16="http://schemas.microsoft.com/office/drawing/2014/chart" uri="{C3380CC4-5D6E-409C-BE32-E72D297353CC}">
              <c16:uniqueId val="{00000000-25D1-4B24-A4BB-C7EEA7F68D56}"/>
            </c:ext>
          </c:extLst>
        </c:ser>
        <c:ser>
          <c:idx val="39"/>
          <c:order val="39"/>
          <c:tx>
            <c:strRef>
              <c:f>Mittelwerte!$AQ$2</c:f>
              <c:strCache>
                <c:ptCount val="1"/>
                <c:pt idx="0">
                  <c:v>Summe n-</c:v>
                </c:pt>
              </c:strCache>
            </c:strRef>
          </c:tx>
          <c:spPr>
            <a:solidFill>
              <a:schemeClr val="accent4">
                <a:lumMod val="70000"/>
                <a:lumOff val="30000"/>
              </a:schemeClr>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Mittelwerte!$B$43:$C$148</c15:sqref>
                  </c15:fullRef>
                </c:ext>
              </c:extLst>
              <c:f>Mittelwerte!$B$80:$C$88</c:f>
              <c:multiLvlStrCache>
                <c:ptCount val="9"/>
                <c:lvl>
                  <c:pt idx="0">
                    <c:v>1</c:v>
                  </c:pt>
                  <c:pt idx="1">
                    <c:v>5</c:v>
                  </c:pt>
                  <c:pt idx="2">
                    <c:v>17</c:v>
                  </c:pt>
                  <c:pt idx="3">
                    <c:v>38</c:v>
                  </c:pt>
                  <c:pt idx="4">
                    <c:v>57</c:v>
                  </c:pt>
                  <c:pt idx="5">
                    <c:v>61</c:v>
                  </c:pt>
                  <c:pt idx="6">
                    <c:v>73</c:v>
                  </c:pt>
                  <c:pt idx="7">
                    <c:v>101</c:v>
                  </c:pt>
                  <c:pt idx="8">
                    <c:v>136</c:v>
                  </c:pt>
                </c:lvl>
                <c:lvl>
                  <c:pt idx="0">
                    <c:v>Serum</c:v>
                  </c:pt>
                </c:lvl>
              </c:multiLvlStrCache>
            </c:multiLvlStrRef>
          </c:cat>
          <c:val>
            <c:numRef>
              <c:extLst>
                <c:ext xmlns:c15="http://schemas.microsoft.com/office/drawing/2012/chart" uri="{02D57815-91ED-43cb-92C2-25804820EDAC}">
                  <c15:fullRef>
                    <c15:sqref>Mittelwerte!$AQ$43:$AQ$148</c15:sqref>
                  </c15:fullRef>
                </c:ext>
              </c:extLst>
              <c:f>Mittelwerte!$AQ$80:$AQ$88</c:f>
              <c:numCache>
                <c:formatCode>0.00</c:formatCode>
                <c:ptCount val="9"/>
                <c:pt idx="0">
                  <c:v>0</c:v>
                </c:pt>
                <c:pt idx="1">
                  <c:v>15.760666666666671</c:v>
                </c:pt>
                <c:pt idx="2">
                  <c:v>206.44200000000001</c:v>
                </c:pt>
                <c:pt idx="3">
                  <c:v>486.87233333333342</c:v>
                </c:pt>
                <c:pt idx="4">
                  <c:v>519.28000000000009</c:v>
                </c:pt>
                <c:pt idx="5">
                  <c:v>461.66100000000006</c:v>
                </c:pt>
                <c:pt idx="6">
                  <c:v>347.4013333333333</c:v>
                </c:pt>
                <c:pt idx="7">
                  <c:v>129.94133333333335</c:v>
                </c:pt>
                <c:pt idx="8">
                  <c:v>51.463000000000001</c:v>
                </c:pt>
              </c:numCache>
            </c:numRef>
          </c:val>
          <c:extLst>
            <c:ext xmlns:c16="http://schemas.microsoft.com/office/drawing/2014/chart" uri="{C3380CC4-5D6E-409C-BE32-E72D297353CC}">
              <c16:uniqueId val="{00000001-25D1-4B24-A4BB-C7EEA7F68D56}"/>
            </c:ext>
          </c:extLst>
        </c:ser>
        <c:ser>
          <c:idx val="40"/>
          <c:order val="40"/>
          <c:tx>
            <c:strRef>
              <c:f>Mittelwerte!$AR$2</c:f>
              <c:strCache>
                <c:ptCount val="1"/>
                <c:pt idx="0">
                  <c:v>Summe br-</c:v>
                </c:pt>
              </c:strCache>
            </c:strRef>
          </c:tx>
          <c:spPr>
            <a:solidFill>
              <a:schemeClr val="accent5">
                <a:lumMod val="70000"/>
                <a:lumOff val="30000"/>
              </a:schemeClr>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Mittelwerte!$B$43:$C$148</c15:sqref>
                  </c15:fullRef>
                </c:ext>
              </c:extLst>
              <c:f>Mittelwerte!$B$80:$C$88</c:f>
              <c:multiLvlStrCache>
                <c:ptCount val="9"/>
                <c:lvl>
                  <c:pt idx="0">
                    <c:v>1</c:v>
                  </c:pt>
                  <c:pt idx="1">
                    <c:v>5</c:v>
                  </c:pt>
                  <c:pt idx="2">
                    <c:v>17</c:v>
                  </c:pt>
                  <c:pt idx="3">
                    <c:v>38</c:v>
                  </c:pt>
                  <c:pt idx="4">
                    <c:v>57</c:v>
                  </c:pt>
                  <c:pt idx="5">
                    <c:v>61</c:v>
                  </c:pt>
                  <c:pt idx="6">
                    <c:v>73</c:v>
                  </c:pt>
                  <c:pt idx="7">
                    <c:v>101</c:v>
                  </c:pt>
                  <c:pt idx="8">
                    <c:v>136</c:v>
                  </c:pt>
                </c:lvl>
                <c:lvl>
                  <c:pt idx="0">
                    <c:v>Serum</c:v>
                  </c:pt>
                </c:lvl>
              </c:multiLvlStrCache>
            </c:multiLvlStrRef>
          </c:cat>
          <c:val>
            <c:numRef>
              <c:extLst>
                <c:ext xmlns:c15="http://schemas.microsoft.com/office/drawing/2012/chart" uri="{02D57815-91ED-43cb-92C2-25804820EDAC}">
                  <c15:fullRef>
                    <c15:sqref>Mittelwerte!$AR$43:$AR$148</c15:sqref>
                  </c15:fullRef>
                </c:ext>
              </c:extLst>
              <c:f>Mittelwerte!$AR$80:$AR$88</c:f>
              <c:numCache>
                <c:formatCode>0.00</c:formatCode>
                <c:ptCount val="9"/>
                <c:pt idx="0">
                  <c:v>0</c:v>
                </c:pt>
                <c:pt idx="1">
                  <c:v>18.480333333333334</c:v>
                </c:pt>
                <c:pt idx="2">
                  <c:v>333.50366666666667</c:v>
                </c:pt>
                <c:pt idx="3">
                  <c:v>604.3370000000001</c:v>
                </c:pt>
                <c:pt idx="4">
                  <c:v>1013.0463333333333</c:v>
                </c:pt>
                <c:pt idx="5">
                  <c:v>828.82066666666663</c:v>
                </c:pt>
                <c:pt idx="6">
                  <c:v>401.8533333333333</c:v>
                </c:pt>
                <c:pt idx="7">
                  <c:v>178.29</c:v>
                </c:pt>
                <c:pt idx="8">
                  <c:v>71.713000000000008</c:v>
                </c:pt>
              </c:numCache>
            </c:numRef>
          </c:val>
          <c:extLst>
            <c:ext xmlns:c16="http://schemas.microsoft.com/office/drawing/2014/chart" uri="{C3380CC4-5D6E-409C-BE32-E72D297353CC}">
              <c16:uniqueId val="{00000002-25D1-4B24-A4BB-C7EEA7F68D56}"/>
            </c:ext>
          </c:extLst>
        </c:ser>
        <c:dLbls>
          <c:dLblPos val="ctr"/>
          <c:showLegendKey val="0"/>
          <c:showVal val="1"/>
          <c:showCatName val="0"/>
          <c:showSerName val="0"/>
          <c:showPercent val="0"/>
          <c:showBubbleSize val="0"/>
        </c:dLbls>
        <c:gapWidth val="150"/>
        <c:overlap val="100"/>
        <c:axId val="202152431"/>
        <c:axId val="202176559"/>
        <c:extLst>
          <c:ext xmlns:c15="http://schemas.microsoft.com/office/drawing/2012/chart" uri="{02D57815-91ED-43cb-92C2-25804820EDAC}">
            <c15:filteredBarSeries>
              <c15:ser>
                <c:idx val="0"/>
                <c:order val="0"/>
                <c:tx>
                  <c:strRef>
                    <c:extLst>
                      <c:ext uri="{02D57815-91ED-43cb-92C2-25804820EDAC}">
                        <c15:formulaRef>
                          <c15:sqref>Mittelwerte!$D$2</c15:sqref>
                        </c15:formulaRef>
                      </c:ext>
                    </c:extLst>
                    <c:strCache>
                      <c:ptCount val="1"/>
                      <c:pt idx="0">
                        <c:v>n-PFBA</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uri="{02D57815-91ED-43cb-92C2-25804820EDAC}">
                        <c15:fullRef>
                          <c15:sqref>Mittelwerte!$B$43:$C$148</c15:sqref>
                        </c15:fullRef>
                        <c15:formulaRef>
                          <c15:sqref>Mittelwerte!$B$80:$C$88</c15:sqref>
                        </c15:formulaRef>
                      </c:ext>
                    </c:extLst>
                    <c:multiLvlStrCache>
                      <c:ptCount val="9"/>
                      <c:lvl>
                        <c:pt idx="0">
                          <c:v>1</c:v>
                        </c:pt>
                        <c:pt idx="1">
                          <c:v>5</c:v>
                        </c:pt>
                        <c:pt idx="2">
                          <c:v>17</c:v>
                        </c:pt>
                        <c:pt idx="3">
                          <c:v>38</c:v>
                        </c:pt>
                        <c:pt idx="4">
                          <c:v>57</c:v>
                        </c:pt>
                        <c:pt idx="5">
                          <c:v>61</c:v>
                        </c:pt>
                        <c:pt idx="6">
                          <c:v>73</c:v>
                        </c:pt>
                        <c:pt idx="7">
                          <c:v>101</c:v>
                        </c:pt>
                        <c:pt idx="8">
                          <c:v>136</c:v>
                        </c:pt>
                      </c:lvl>
                      <c:lvl>
                        <c:pt idx="0">
                          <c:v>Serum</c:v>
                        </c:pt>
                      </c:lvl>
                    </c:multiLvlStrCache>
                  </c:multiLvlStrRef>
                </c:cat>
                <c:val>
                  <c:numRef>
                    <c:extLst>
                      <c:ext uri="{02D57815-91ED-43cb-92C2-25804820EDAC}">
                        <c15:fullRef>
                          <c15:sqref>Mittelwerte!$D$43:$D$148</c15:sqref>
                        </c15:fullRef>
                        <c15:formulaRef>
                          <c15:sqref>Mittelwerte!$D$80:$D$88</c15:sqref>
                        </c15:formulaRef>
                      </c:ext>
                    </c:extLst>
                    <c:numCache>
                      <c:formatCode>0.00</c:formatCode>
                      <c:ptCount val="9"/>
                      <c:pt idx="0">
                        <c:v>0</c:v>
                      </c:pt>
                      <c:pt idx="1">
                        <c:v>2.9333333333333336</c:v>
                      </c:pt>
                      <c:pt idx="2">
                        <c:v>8.3666666666666671</c:v>
                      </c:pt>
                      <c:pt idx="3">
                        <c:v>3.53</c:v>
                      </c:pt>
                      <c:pt idx="4">
                        <c:v>2.19</c:v>
                      </c:pt>
                      <c:pt idx="5">
                        <c:v>0</c:v>
                      </c:pt>
                      <c:pt idx="6">
                        <c:v>0</c:v>
                      </c:pt>
                      <c:pt idx="7">
                        <c:v>0</c:v>
                      </c:pt>
                      <c:pt idx="8">
                        <c:v>0</c:v>
                      </c:pt>
                    </c:numCache>
                  </c:numRef>
                </c:val>
                <c:extLst>
                  <c:ext xmlns:c16="http://schemas.microsoft.com/office/drawing/2014/chart" uri="{C3380CC4-5D6E-409C-BE32-E72D297353CC}">
                    <c16:uniqueId val="{00000003-25D1-4B24-A4BB-C7EEA7F68D56}"/>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Mittelwerte!$E$2</c15:sqref>
                        </c15:formulaRef>
                      </c:ext>
                    </c:extLst>
                    <c:strCache>
                      <c:ptCount val="1"/>
                      <c:pt idx="0">
                        <c:v>n-PFPeA </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Mittelwerte!$B$43:$C$148</c15:sqref>
                        </c15:fullRef>
                        <c15:formulaRef>
                          <c15:sqref>Mittelwerte!$B$80:$C$88</c15:sqref>
                        </c15:formulaRef>
                      </c:ext>
                    </c:extLst>
                    <c:multiLvlStrCache>
                      <c:ptCount val="9"/>
                      <c:lvl>
                        <c:pt idx="0">
                          <c:v>1</c:v>
                        </c:pt>
                        <c:pt idx="1">
                          <c:v>5</c:v>
                        </c:pt>
                        <c:pt idx="2">
                          <c:v>17</c:v>
                        </c:pt>
                        <c:pt idx="3">
                          <c:v>38</c:v>
                        </c:pt>
                        <c:pt idx="4">
                          <c:v>57</c:v>
                        </c:pt>
                        <c:pt idx="5">
                          <c:v>61</c:v>
                        </c:pt>
                        <c:pt idx="6">
                          <c:v>73</c:v>
                        </c:pt>
                        <c:pt idx="7">
                          <c:v>101</c:v>
                        </c:pt>
                        <c:pt idx="8">
                          <c:v>136</c:v>
                        </c:pt>
                      </c:lvl>
                      <c:lvl>
                        <c:pt idx="0">
                          <c:v>Serum</c:v>
                        </c:pt>
                      </c:lvl>
                    </c:multiLvlStrCache>
                  </c:multiLvlStrRef>
                </c:cat>
                <c:val>
                  <c:numRef>
                    <c:extLst>
                      <c:ext xmlns:c15="http://schemas.microsoft.com/office/drawing/2012/chart" uri="{02D57815-91ED-43cb-92C2-25804820EDAC}">
                        <c15:fullRef>
                          <c15:sqref>Mittelwerte!$E$43:$E$148</c15:sqref>
                        </c15:fullRef>
                        <c15:formulaRef>
                          <c15:sqref>Mittelwerte!$E$80:$E$88</c15:sqref>
                        </c15:formulaRef>
                      </c:ext>
                    </c:extLst>
                    <c:numCache>
                      <c:formatCode>0.00</c:formatCode>
                      <c:ptCount val="9"/>
                      <c:pt idx="0">
                        <c:v>0</c:v>
                      </c:pt>
                      <c:pt idx="1">
                        <c:v>0</c:v>
                      </c:pt>
                      <c:pt idx="2">
                        <c:v>0</c:v>
                      </c:pt>
                      <c:pt idx="3">
                        <c:v>0</c:v>
                      </c:pt>
                      <c:pt idx="4">
                        <c:v>0</c:v>
                      </c:pt>
                      <c:pt idx="5">
                        <c:v>0</c:v>
                      </c:pt>
                      <c:pt idx="6">
                        <c:v>0</c:v>
                      </c:pt>
                      <c:pt idx="7">
                        <c:v>0</c:v>
                      </c:pt>
                      <c:pt idx="8">
                        <c:v>0</c:v>
                      </c:pt>
                    </c:numCache>
                  </c:numRef>
                </c:val>
                <c:extLst xmlns:c15="http://schemas.microsoft.com/office/drawing/2012/chart">
                  <c:ext xmlns:c16="http://schemas.microsoft.com/office/drawing/2014/chart" uri="{C3380CC4-5D6E-409C-BE32-E72D297353CC}">
                    <c16:uniqueId val="{00000004-25D1-4B24-A4BB-C7EEA7F68D56}"/>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Mittelwerte!$F$2</c15:sqref>
                        </c15:formulaRef>
                      </c:ext>
                    </c:extLst>
                    <c:strCache>
                      <c:ptCount val="1"/>
                      <c:pt idx="0">
                        <c:v>n-PFHxA </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Mittelwerte!$B$43:$C$148</c15:sqref>
                        </c15:fullRef>
                        <c15:formulaRef>
                          <c15:sqref>Mittelwerte!$B$80:$C$88</c15:sqref>
                        </c15:formulaRef>
                      </c:ext>
                    </c:extLst>
                    <c:multiLvlStrCache>
                      <c:ptCount val="9"/>
                      <c:lvl>
                        <c:pt idx="0">
                          <c:v>1</c:v>
                        </c:pt>
                        <c:pt idx="1">
                          <c:v>5</c:v>
                        </c:pt>
                        <c:pt idx="2">
                          <c:v>17</c:v>
                        </c:pt>
                        <c:pt idx="3">
                          <c:v>38</c:v>
                        </c:pt>
                        <c:pt idx="4">
                          <c:v>57</c:v>
                        </c:pt>
                        <c:pt idx="5">
                          <c:v>61</c:v>
                        </c:pt>
                        <c:pt idx="6">
                          <c:v>73</c:v>
                        </c:pt>
                        <c:pt idx="7">
                          <c:v>101</c:v>
                        </c:pt>
                        <c:pt idx="8">
                          <c:v>136</c:v>
                        </c:pt>
                      </c:lvl>
                      <c:lvl>
                        <c:pt idx="0">
                          <c:v>Serum</c:v>
                        </c:pt>
                      </c:lvl>
                    </c:multiLvlStrCache>
                  </c:multiLvlStrRef>
                </c:cat>
                <c:val>
                  <c:numRef>
                    <c:extLst>
                      <c:ext xmlns:c15="http://schemas.microsoft.com/office/drawing/2012/chart" uri="{02D57815-91ED-43cb-92C2-25804820EDAC}">
                        <c15:fullRef>
                          <c15:sqref>Mittelwerte!$F$43:$F$148</c15:sqref>
                        </c15:fullRef>
                        <c15:formulaRef>
                          <c15:sqref>Mittelwerte!$F$80:$F$88</c15:sqref>
                        </c15:formulaRef>
                      </c:ext>
                    </c:extLst>
                    <c:numCache>
                      <c:formatCode>0.00</c:formatCode>
                      <c:ptCount val="9"/>
                      <c:pt idx="0">
                        <c:v>0</c:v>
                      </c:pt>
                      <c:pt idx="1">
                        <c:v>0</c:v>
                      </c:pt>
                      <c:pt idx="2">
                        <c:v>0</c:v>
                      </c:pt>
                      <c:pt idx="3">
                        <c:v>0</c:v>
                      </c:pt>
                      <c:pt idx="4">
                        <c:v>0</c:v>
                      </c:pt>
                      <c:pt idx="5">
                        <c:v>0</c:v>
                      </c:pt>
                      <c:pt idx="6">
                        <c:v>0</c:v>
                      </c:pt>
                      <c:pt idx="7">
                        <c:v>0</c:v>
                      </c:pt>
                      <c:pt idx="8">
                        <c:v>0</c:v>
                      </c:pt>
                    </c:numCache>
                  </c:numRef>
                </c:val>
                <c:extLst xmlns:c15="http://schemas.microsoft.com/office/drawing/2012/chart">
                  <c:ext xmlns:c16="http://schemas.microsoft.com/office/drawing/2014/chart" uri="{C3380CC4-5D6E-409C-BE32-E72D297353CC}">
                    <c16:uniqueId val="{00000005-25D1-4B24-A4BB-C7EEA7F68D56}"/>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Mittelwerte!$G$2</c15:sqref>
                        </c15:formulaRef>
                      </c:ext>
                    </c:extLst>
                    <c:strCache>
                      <c:ptCount val="1"/>
                      <c:pt idx="0">
                        <c:v>n-PFHpA </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Mittelwerte!$B$43:$C$148</c15:sqref>
                        </c15:fullRef>
                        <c15:formulaRef>
                          <c15:sqref>Mittelwerte!$B$80:$C$88</c15:sqref>
                        </c15:formulaRef>
                      </c:ext>
                    </c:extLst>
                    <c:multiLvlStrCache>
                      <c:ptCount val="9"/>
                      <c:lvl>
                        <c:pt idx="0">
                          <c:v>1</c:v>
                        </c:pt>
                        <c:pt idx="1">
                          <c:v>5</c:v>
                        </c:pt>
                        <c:pt idx="2">
                          <c:v>17</c:v>
                        </c:pt>
                        <c:pt idx="3">
                          <c:v>38</c:v>
                        </c:pt>
                        <c:pt idx="4">
                          <c:v>57</c:v>
                        </c:pt>
                        <c:pt idx="5">
                          <c:v>61</c:v>
                        </c:pt>
                        <c:pt idx="6">
                          <c:v>73</c:v>
                        </c:pt>
                        <c:pt idx="7">
                          <c:v>101</c:v>
                        </c:pt>
                        <c:pt idx="8">
                          <c:v>136</c:v>
                        </c:pt>
                      </c:lvl>
                      <c:lvl>
                        <c:pt idx="0">
                          <c:v>Serum</c:v>
                        </c:pt>
                      </c:lvl>
                    </c:multiLvlStrCache>
                  </c:multiLvlStrRef>
                </c:cat>
                <c:val>
                  <c:numRef>
                    <c:extLst>
                      <c:ext xmlns:c15="http://schemas.microsoft.com/office/drawing/2012/chart" uri="{02D57815-91ED-43cb-92C2-25804820EDAC}">
                        <c15:fullRef>
                          <c15:sqref>Mittelwerte!$G$43:$G$148</c15:sqref>
                        </c15:fullRef>
                        <c15:formulaRef>
                          <c15:sqref>Mittelwerte!$G$80:$G$88</c15:sqref>
                        </c15:formulaRef>
                      </c:ext>
                    </c:extLst>
                    <c:numCache>
                      <c:formatCode>0.00</c:formatCode>
                      <c:ptCount val="9"/>
                      <c:pt idx="0">
                        <c:v>0</c:v>
                      </c:pt>
                      <c:pt idx="1">
                        <c:v>0</c:v>
                      </c:pt>
                      <c:pt idx="2">
                        <c:v>0</c:v>
                      </c:pt>
                      <c:pt idx="3">
                        <c:v>0</c:v>
                      </c:pt>
                      <c:pt idx="4">
                        <c:v>0</c:v>
                      </c:pt>
                      <c:pt idx="5">
                        <c:v>0</c:v>
                      </c:pt>
                      <c:pt idx="6">
                        <c:v>0</c:v>
                      </c:pt>
                      <c:pt idx="7">
                        <c:v>0</c:v>
                      </c:pt>
                      <c:pt idx="8">
                        <c:v>0</c:v>
                      </c:pt>
                    </c:numCache>
                  </c:numRef>
                </c:val>
                <c:extLst xmlns:c15="http://schemas.microsoft.com/office/drawing/2012/chart">
                  <c:ext xmlns:c16="http://schemas.microsoft.com/office/drawing/2014/chart" uri="{C3380CC4-5D6E-409C-BE32-E72D297353CC}">
                    <c16:uniqueId val="{00000006-25D1-4B24-A4BB-C7EEA7F68D56}"/>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Mittelwerte!$H$2</c15:sqref>
                        </c15:formulaRef>
                      </c:ext>
                    </c:extLst>
                    <c:strCache>
                      <c:ptCount val="1"/>
                      <c:pt idx="0">
                        <c:v>n-PFOA </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Mittelwerte!$B$43:$C$148</c15:sqref>
                        </c15:fullRef>
                        <c15:formulaRef>
                          <c15:sqref>Mittelwerte!$B$80:$C$88</c15:sqref>
                        </c15:formulaRef>
                      </c:ext>
                    </c:extLst>
                    <c:multiLvlStrCache>
                      <c:ptCount val="9"/>
                      <c:lvl>
                        <c:pt idx="0">
                          <c:v>1</c:v>
                        </c:pt>
                        <c:pt idx="1">
                          <c:v>5</c:v>
                        </c:pt>
                        <c:pt idx="2">
                          <c:v>17</c:v>
                        </c:pt>
                        <c:pt idx="3">
                          <c:v>38</c:v>
                        </c:pt>
                        <c:pt idx="4">
                          <c:v>57</c:v>
                        </c:pt>
                        <c:pt idx="5">
                          <c:v>61</c:v>
                        </c:pt>
                        <c:pt idx="6">
                          <c:v>73</c:v>
                        </c:pt>
                        <c:pt idx="7">
                          <c:v>101</c:v>
                        </c:pt>
                        <c:pt idx="8">
                          <c:v>136</c:v>
                        </c:pt>
                      </c:lvl>
                      <c:lvl>
                        <c:pt idx="0">
                          <c:v>Serum</c:v>
                        </c:pt>
                      </c:lvl>
                    </c:multiLvlStrCache>
                  </c:multiLvlStrRef>
                </c:cat>
                <c:val>
                  <c:numRef>
                    <c:extLst>
                      <c:ext xmlns:c15="http://schemas.microsoft.com/office/drawing/2012/chart" uri="{02D57815-91ED-43cb-92C2-25804820EDAC}">
                        <c15:fullRef>
                          <c15:sqref>Mittelwerte!$H$43:$H$148</c15:sqref>
                        </c15:fullRef>
                        <c15:formulaRef>
                          <c15:sqref>Mittelwerte!$H$80:$H$88</c15:sqref>
                        </c15:formulaRef>
                      </c:ext>
                    </c:extLst>
                    <c:numCache>
                      <c:formatCode>0.00</c:formatCode>
                      <c:ptCount val="9"/>
                      <c:pt idx="0">
                        <c:v>0</c:v>
                      </c:pt>
                      <c:pt idx="1">
                        <c:v>2.82</c:v>
                      </c:pt>
                      <c:pt idx="2">
                        <c:v>10.766666666666666</c:v>
                      </c:pt>
                      <c:pt idx="3">
                        <c:v>2.0900000000000003</c:v>
                      </c:pt>
                      <c:pt idx="4">
                        <c:v>1.68</c:v>
                      </c:pt>
                      <c:pt idx="5">
                        <c:v>0</c:v>
                      </c:pt>
                      <c:pt idx="6">
                        <c:v>0</c:v>
                      </c:pt>
                      <c:pt idx="7">
                        <c:v>0</c:v>
                      </c:pt>
                      <c:pt idx="8">
                        <c:v>0</c:v>
                      </c:pt>
                    </c:numCache>
                  </c:numRef>
                </c:val>
                <c:extLst xmlns:c15="http://schemas.microsoft.com/office/drawing/2012/chart">
                  <c:ext xmlns:c16="http://schemas.microsoft.com/office/drawing/2014/chart" uri="{C3380CC4-5D6E-409C-BE32-E72D297353CC}">
                    <c16:uniqueId val="{00000007-25D1-4B24-A4BB-C7EEA7F68D56}"/>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Mittelwerte!$I$2</c15:sqref>
                        </c15:formulaRef>
                      </c:ext>
                    </c:extLst>
                    <c:strCache>
                      <c:ptCount val="1"/>
                      <c:pt idx="0">
                        <c:v>n-PFNA </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Mittelwerte!$B$43:$C$148</c15:sqref>
                        </c15:fullRef>
                        <c15:formulaRef>
                          <c15:sqref>Mittelwerte!$B$80:$C$88</c15:sqref>
                        </c15:formulaRef>
                      </c:ext>
                    </c:extLst>
                    <c:multiLvlStrCache>
                      <c:ptCount val="9"/>
                      <c:lvl>
                        <c:pt idx="0">
                          <c:v>1</c:v>
                        </c:pt>
                        <c:pt idx="1">
                          <c:v>5</c:v>
                        </c:pt>
                        <c:pt idx="2">
                          <c:v>17</c:v>
                        </c:pt>
                        <c:pt idx="3">
                          <c:v>38</c:v>
                        </c:pt>
                        <c:pt idx="4">
                          <c:v>57</c:v>
                        </c:pt>
                        <c:pt idx="5">
                          <c:v>61</c:v>
                        </c:pt>
                        <c:pt idx="6">
                          <c:v>73</c:v>
                        </c:pt>
                        <c:pt idx="7">
                          <c:v>101</c:v>
                        </c:pt>
                        <c:pt idx="8">
                          <c:v>136</c:v>
                        </c:pt>
                      </c:lvl>
                      <c:lvl>
                        <c:pt idx="0">
                          <c:v>Serum</c:v>
                        </c:pt>
                      </c:lvl>
                    </c:multiLvlStrCache>
                  </c:multiLvlStrRef>
                </c:cat>
                <c:val>
                  <c:numRef>
                    <c:extLst>
                      <c:ext xmlns:c15="http://schemas.microsoft.com/office/drawing/2012/chart" uri="{02D57815-91ED-43cb-92C2-25804820EDAC}">
                        <c15:fullRef>
                          <c15:sqref>Mittelwerte!$I$43:$I$148</c15:sqref>
                        </c15:fullRef>
                        <c15:formulaRef>
                          <c15:sqref>Mittelwerte!$I$80:$I$88</c15:sqref>
                        </c15:formulaRef>
                      </c:ext>
                    </c:extLst>
                    <c:numCache>
                      <c:formatCode>0.00</c:formatCode>
                      <c:ptCount val="9"/>
                      <c:pt idx="0">
                        <c:v>0</c:v>
                      </c:pt>
                      <c:pt idx="1">
                        <c:v>0</c:v>
                      </c:pt>
                      <c:pt idx="2">
                        <c:v>0</c:v>
                      </c:pt>
                      <c:pt idx="3">
                        <c:v>0</c:v>
                      </c:pt>
                      <c:pt idx="4">
                        <c:v>0</c:v>
                      </c:pt>
                      <c:pt idx="5">
                        <c:v>0</c:v>
                      </c:pt>
                      <c:pt idx="6">
                        <c:v>0</c:v>
                      </c:pt>
                      <c:pt idx="7">
                        <c:v>0</c:v>
                      </c:pt>
                      <c:pt idx="8">
                        <c:v>0</c:v>
                      </c:pt>
                    </c:numCache>
                  </c:numRef>
                </c:val>
                <c:extLst xmlns:c15="http://schemas.microsoft.com/office/drawing/2012/chart">
                  <c:ext xmlns:c16="http://schemas.microsoft.com/office/drawing/2014/chart" uri="{C3380CC4-5D6E-409C-BE32-E72D297353CC}">
                    <c16:uniqueId val="{00000008-25D1-4B24-A4BB-C7EEA7F68D56}"/>
                  </c:ext>
                </c:extLst>
              </c15:ser>
            </c15:filteredBarSeries>
            <c15:filteredBarSeries>
              <c15:ser>
                <c:idx val="6"/>
                <c:order val="6"/>
                <c:tx>
                  <c:strRef>
                    <c:extLst xmlns:c15="http://schemas.microsoft.com/office/drawing/2012/chart">
                      <c:ext xmlns:c15="http://schemas.microsoft.com/office/drawing/2012/chart" uri="{02D57815-91ED-43cb-92C2-25804820EDAC}">
                        <c15:formulaRef>
                          <c15:sqref>Mittelwerte!$J$2</c15:sqref>
                        </c15:formulaRef>
                      </c:ext>
                    </c:extLst>
                    <c:strCache>
                      <c:ptCount val="1"/>
                      <c:pt idx="0">
                        <c:v>n-PFDA </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Mittelwerte!$B$43:$C$148</c15:sqref>
                        </c15:fullRef>
                        <c15:formulaRef>
                          <c15:sqref>Mittelwerte!$B$80:$C$88</c15:sqref>
                        </c15:formulaRef>
                      </c:ext>
                    </c:extLst>
                    <c:multiLvlStrCache>
                      <c:ptCount val="9"/>
                      <c:lvl>
                        <c:pt idx="0">
                          <c:v>1</c:v>
                        </c:pt>
                        <c:pt idx="1">
                          <c:v>5</c:v>
                        </c:pt>
                        <c:pt idx="2">
                          <c:v>17</c:v>
                        </c:pt>
                        <c:pt idx="3">
                          <c:v>38</c:v>
                        </c:pt>
                        <c:pt idx="4">
                          <c:v>57</c:v>
                        </c:pt>
                        <c:pt idx="5">
                          <c:v>61</c:v>
                        </c:pt>
                        <c:pt idx="6">
                          <c:v>73</c:v>
                        </c:pt>
                        <c:pt idx="7">
                          <c:v>101</c:v>
                        </c:pt>
                        <c:pt idx="8">
                          <c:v>136</c:v>
                        </c:pt>
                      </c:lvl>
                      <c:lvl>
                        <c:pt idx="0">
                          <c:v>Serum</c:v>
                        </c:pt>
                      </c:lvl>
                    </c:multiLvlStrCache>
                  </c:multiLvlStrRef>
                </c:cat>
                <c:val>
                  <c:numRef>
                    <c:extLst>
                      <c:ext xmlns:c15="http://schemas.microsoft.com/office/drawing/2012/chart" uri="{02D57815-91ED-43cb-92C2-25804820EDAC}">
                        <c15:fullRef>
                          <c15:sqref>Mittelwerte!$J$43:$J$148</c15:sqref>
                        </c15:fullRef>
                        <c15:formulaRef>
                          <c15:sqref>Mittelwerte!$J$80:$J$88</c15:sqref>
                        </c15:formulaRef>
                      </c:ext>
                    </c:extLst>
                    <c:numCache>
                      <c:formatCode>0.00</c:formatCode>
                      <c:ptCount val="9"/>
                      <c:pt idx="0">
                        <c:v>0</c:v>
                      </c:pt>
                      <c:pt idx="1">
                        <c:v>0</c:v>
                      </c:pt>
                      <c:pt idx="2">
                        <c:v>1.0296666666666667</c:v>
                      </c:pt>
                      <c:pt idx="3">
                        <c:v>2.36</c:v>
                      </c:pt>
                      <c:pt idx="4">
                        <c:v>2.97</c:v>
                      </c:pt>
                      <c:pt idx="5">
                        <c:v>2.4766666666666666</c:v>
                      </c:pt>
                      <c:pt idx="6">
                        <c:v>1.6066666666666667</c:v>
                      </c:pt>
                      <c:pt idx="7">
                        <c:v>0.71966666666666657</c:v>
                      </c:pt>
                      <c:pt idx="8">
                        <c:v>0</c:v>
                      </c:pt>
                    </c:numCache>
                  </c:numRef>
                </c:val>
                <c:extLst xmlns:c15="http://schemas.microsoft.com/office/drawing/2012/chart">
                  <c:ext xmlns:c16="http://schemas.microsoft.com/office/drawing/2014/chart" uri="{C3380CC4-5D6E-409C-BE32-E72D297353CC}">
                    <c16:uniqueId val="{00000009-25D1-4B24-A4BB-C7EEA7F68D56}"/>
                  </c:ext>
                </c:extLst>
              </c15:ser>
            </c15:filteredBarSeries>
            <c15:filteredBarSeries>
              <c15:ser>
                <c:idx val="7"/>
                <c:order val="7"/>
                <c:tx>
                  <c:strRef>
                    <c:extLst xmlns:c15="http://schemas.microsoft.com/office/drawing/2012/chart">
                      <c:ext xmlns:c15="http://schemas.microsoft.com/office/drawing/2012/chart" uri="{02D57815-91ED-43cb-92C2-25804820EDAC}">
                        <c15:formulaRef>
                          <c15:sqref>Mittelwerte!$K$2</c15:sqref>
                        </c15:formulaRef>
                      </c:ext>
                    </c:extLst>
                    <c:strCache>
                      <c:ptCount val="1"/>
                      <c:pt idx="0">
                        <c:v>n-PFUnDA </c:v>
                      </c:pt>
                    </c:strCache>
                  </c:strRef>
                </c:tx>
                <c:spPr>
                  <a:solidFill>
                    <a:schemeClr val="accent2">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Mittelwerte!$B$43:$C$148</c15:sqref>
                        </c15:fullRef>
                        <c15:formulaRef>
                          <c15:sqref>Mittelwerte!$B$80:$C$88</c15:sqref>
                        </c15:formulaRef>
                      </c:ext>
                    </c:extLst>
                    <c:multiLvlStrCache>
                      <c:ptCount val="9"/>
                      <c:lvl>
                        <c:pt idx="0">
                          <c:v>1</c:v>
                        </c:pt>
                        <c:pt idx="1">
                          <c:v>5</c:v>
                        </c:pt>
                        <c:pt idx="2">
                          <c:v>17</c:v>
                        </c:pt>
                        <c:pt idx="3">
                          <c:v>38</c:v>
                        </c:pt>
                        <c:pt idx="4">
                          <c:v>57</c:v>
                        </c:pt>
                        <c:pt idx="5">
                          <c:v>61</c:v>
                        </c:pt>
                        <c:pt idx="6">
                          <c:v>73</c:v>
                        </c:pt>
                        <c:pt idx="7">
                          <c:v>101</c:v>
                        </c:pt>
                        <c:pt idx="8">
                          <c:v>136</c:v>
                        </c:pt>
                      </c:lvl>
                      <c:lvl>
                        <c:pt idx="0">
                          <c:v>Serum</c:v>
                        </c:pt>
                      </c:lvl>
                    </c:multiLvlStrCache>
                  </c:multiLvlStrRef>
                </c:cat>
                <c:val>
                  <c:numRef>
                    <c:extLst>
                      <c:ext xmlns:c15="http://schemas.microsoft.com/office/drawing/2012/chart" uri="{02D57815-91ED-43cb-92C2-25804820EDAC}">
                        <c15:fullRef>
                          <c15:sqref>Mittelwerte!$K$43:$K$148</c15:sqref>
                        </c15:fullRef>
                        <c15:formulaRef>
                          <c15:sqref>Mittelwerte!$K$80:$K$88</c15:sqref>
                        </c15:formulaRef>
                      </c:ext>
                    </c:extLst>
                    <c:numCache>
                      <c:formatCode>0.00</c:formatCode>
                      <c:ptCount val="9"/>
                      <c:pt idx="0">
                        <c:v>0</c:v>
                      </c:pt>
                      <c:pt idx="1">
                        <c:v>0</c:v>
                      </c:pt>
                      <c:pt idx="2">
                        <c:v>0.72649999999999992</c:v>
                      </c:pt>
                      <c:pt idx="3">
                        <c:v>1.4566666666666668</c:v>
                      </c:pt>
                      <c:pt idx="4">
                        <c:v>2.0033333333333334</c:v>
                      </c:pt>
                      <c:pt idx="5">
                        <c:v>1.4766666666666666</c:v>
                      </c:pt>
                      <c:pt idx="6">
                        <c:v>0.95433333333333314</c:v>
                      </c:pt>
                      <c:pt idx="7">
                        <c:v>0</c:v>
                      </c:pt>
                      <c:pt idx="8">
                        <c:v>0</c:v>
                      </c:pt>
                    </c:numCache>
                  </c:numRef>
                </c:val>
                <c:extLst xmlns:c15="http://schemas.microsoft.com/office/drawing/2012/chart">
                  <c:ext xmlns:c16="http://schemas.microsoft.com/office/drawing/2014/chart" uri="{C3380CC4-5D6E-409C-BE32-E72D297353CC}">
                    <c16:uniqueId val="{0000000A-25D1-4B24-A4BB-C7EEA7F68D56}"/>
                  </c:ext>
                </c:extLst>
              </c15:ser>
            </c15:filteredBarSeries>
            <c15:filteredBarSeries>
              <c15:ser>
                <c:idx val="8"/>
                <c:order val="8"/>
                <c:tx>
                  <c:strRef>
                    <c:extLst xmlns:c15="http://schemas.microsoft.com/office/drawing/2012/chart">
                      <c:ext xmlns:c15="http://schemas.microsoft.com/office/drawing/2012/chart" uri="{02D57815-91ED-43cb-92C2-25804820EDAC}">
                        <c15:formulaRef>
                          <c15:sqref>Mittelwerte!$L$2</c15:sqref>
                        </c15:formulaRef>
                      </c:ext>
                    </c:extLst>
                    <c:strCache>
                      <c:ptCount val="1"/>
                      <c:pt idx="0">
                        <c:v>n-PFDoDA </c:v>
                      </c:pt>
                    </c:strCache>
                  </c:strRef>
                </c:tx>
                <c:spPr>
                  <a:solidFill>
                    <a:schemeClr val="accent3">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Mittelwerte!$B$43:$C$148</c15:sqref>
                        </c15:fullRef>
                        <c15:formulaRef>
                          <c15:sqref>Mittelwerte!$B$80:$C$88</c15:sqref>
                        </c15:formulaRef>
                      </c:ext>
                    </c:extLst>
                    <c:multiLvlStrCache>
                      <c:ptCount val="9"/>
                      <c:lvl>
                        <c:pt idx="0">
                          <c:v>1</c:v>
                        </c:pt>
                        <c:pt idx="1">
                          <c:v>5</c:v>
                        </c:pt>
                        <c:pt idx="2">
                          <c:v>17</c:v>
                        </c:pt>
                        <c:pt idx="3">
                          <c:v>38</c:v>
                        </c:pt>
                        <c:pt idx="4">
                          <c:v>57</c:v>
                        </c:pt>
                        <c:pt idx="5">
                          <c:v>61</c:v>
                        </c:pt>
                        <c:pt idx="6">
                          <c:v>73</c:v>
                        </c:pt>
                        <c:pt idx="7">
                          <c:v>101</c:v>
                        </c:pt>
                        <c:pt idx="8">
                          <c:v>136</c:v>
                        </c:pt>
                      </c:lvl>
                      <c:lvl>
                        <c:pt idx="0">
                          <c:v>Serum</c:v>
                        </c:pt>
                      </c:lvl>
                    </c:multiLvlStrCache>
                  </c:multiLvlStrRef>
                </c:cat>
                <c:val>
                  <c:numRef>
                    <c:extLst>
                      <c:ext xmlns:c15="http://schemas.microsoft.com/office/drawing/2012/chart" uri="{02D57815-91ED-43cb-92C2-25804820EDAC}">
                        <c15:fullRef>
                          <c15:sqref>Mittelwerte!$L$43:$L$148</c15:sqref>
                        </c15:fullRef>
                        <c15:formulaRef>
                          <c15:sqref>Mittelwerte!$L$80:$L$88</c15:sqref>
                        </c15:formulaRef>
                      </c:ext>
                    </c:extLst>
                    <c:numCache>
                      <c:formatCode>0.00</c:formatCode>
                      <c:ptCount val="9"/>
                      <c:pt idx="0">
                        <c:v>0</c:v>
                      </c:pt>
                      <c:pt idx="1">
                        <c:v>0</c:v>
                      </c:pt>
                      <c:pt idx="2">
                        <c:v>1.0633333333333332</c:v>
                      </c:pt>
                      <c:pt idx="3">
                        <c:v>2.06</c:v>
                      </c:pt>
                      <c:pt idx="4">
                        <c:v>2.3800000000000003</c:v>
                      </c:pt>
                      <c:pt idx="5">
                        <c:v>1.7566666666666668</c:v>
                      </c:pt>
                      <c:pt idx="6">
                        <c:v>0.91966666666666663</c:v>
                      </c:pt>
                      <c:pt idx="7">
                        <c:v>0</c:v>
                      </c:pt>
                      <c:pt idx="8">
                        <c:v>0</c:v>
                      </c:pt>
                    </c:numCache>
                  </c:numRef>
                </c:val>
                <c:extLst xmlns:c15="http://schemas.microsoft.com/office/drawing/2012/chart">
                  <c:ext xmlns:c16="http://schemas.microsoft.com/office/drawing/2014/chart" uri="{C3380CC4-5D6E-409C-BE32-E72D297353CC}">
                    <c16:uniqueId val="{0000000B-25D1-4B24-A4BB-C7EEA7F68D56}"/>
                  </c:ext>
                </c:extLst>
              </c15:ser>
            </c15:filteredBarSeries>
            <c15:filteredBarSeries>
              <c15:ser>
                <c:idx val="9"/>
                <c:order val="9"/>
                <c:tx>
                  <c:strRef>
                    <c:extLst xmlns:c15="http://schemas.microsoft.com/office/drawing/2012/chart">
                      <c:ext xmlns:c15="http://schemas.microsoft.com/office/drawing/2012/chart" uri="{02D57815-91ED-43cb-92C2-25804820EDAC}">
                        <c15:formulaRef>
                          <c15:sqref>Mittelwerte!$M$2</c15:sqref>
                        </c15:formulaRef>
                      </c:ext>
                    </c:extLst>
                    <c:strCache>
                      <c:ptCount val="1"/>
                      <c:pt idx="0">
                        <c:v>n-PFTrDA </c:v>
                      </c:pt>
                    </c:strCache>
                  </c:strRef>
                </c:tx>
                <c:spPr>
                  <a:solidFill>
                    <a:schemeClr val="accent4">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Mittelwerte!$B$43:$C$148</c15:sqref>
                        </c15:fullRef>
                        <c15:formulaRef>
                          <c15:sqref>Mittelwerte!$B$80:$C$88</c15:sqref>
                        </c15:formulaRef>
                      </c:ext>
                    </c:extLst>
                    <c:multiLvlStrCache>
                      <c:ptCount val="9"/>
                      <c:lvl>
                        <c:pt idx="0">
                          <c:v>1</c:v>
                        </c:pt>
                        <c:pt idx="1">
                          <c:v>5</c:v>
                        </c:pt>
                        <c:pt idx="2">
                          <c:v>17</c:v>
                        </c:pt>
                        <c:pt idx="3">
                          <c:v>38</c:v>
                        </c:pt>
                        <c:pt idx="4">
                          <c:v>57</c:v>
                        </c:pt>
                        <c:pt idx="5">
                          <c:v>61</c:v>
                        </c:pt>
                        <c:pt idx="6">
                          <c:v>73</c:v>
                        </c:pt>
                        <c:pt idx="7">
                          <c:v>101</c:v>
                        </c:pt>
                        <c:pt idx="8">
                          <c:v>136</c:v>
                        </c:pt>
                      </c:lvl>
                      <c:lvl>
                        <c:pt idx="0">
                          <c:v>Serum</c:v>
                        </c:pt>
                      </c:lvl>
                    </c:multiLvlStrCache>
                  </c:multiLvlStrRef>
                </c:cat>
                <c:val>
                  <c:numRef>
                    <c:extLst>
                      <c:ext xmlns:c15="http://schemas.microsoft.com/office/drawing/2012/chart" uri="{02D57815-91ED-43cb-92C2-25804820EDAC}">
                        <c15:fullRef>
                          <c15:sqref>Mittelwerte!$M$43:$M$148</c15:sqref>
                        </c15:fullRef>
                        <c15:formulaRef>
                          <c15:sqref>Mittelwerte!$M$80:$M$88</c15:sqref>
                        </c15:formulaRef>
                      </c:ext>
                    </c:extLst>
                    <c:numCache>
                      <c:formatCode>0.00</c:formatCode>
                      <c:ptCount val="9"/>
                      <c:pt idx="0">
                        <c:v>0</c:v>
                      </c:pt>
                      <c:pt idx="1">
                        <c:v>0</c:v>
                      </c:pt>
                      <c:pt idx="2">
                        <c:v>1.216</c:v>
                      </c:pt>
                      <c:pt idx="3">
                        <c:v>1.4799999999999998</c:v>
                      </c:pt>
                      <c:pt idx="4">
                        <c:v>1.5599999999999998</c:v>
                      </c:pt>
                      <c:pt idx="5">
                        <c:v>0.89300000000000013</c:v>
                      </c:pt>
                      <c:pt idx="6">
                        <c:v>0</c:v>
                      </c:pt>
                      <c:pt idx="7">
                        <c:v>0</c:v>
                      </c:pt>
                      <c:pt idx="8">
                        <c:v>0</c:v>
                      </c:pt>
                    </c:numCache>
                  </c:numRef>
                </c:val>
                <c:extLst xmlns:c15="http://schemas.microsoft.com/office/drawing/2012/chart">
                  <c:ext xmlns:c16="http://schemas.microsoft.com/office/drawing/2014/chart" uri="{C3380CC4-5D6E-409C-BE32-E72D297353CC}">
                    <c16:uniqueId val="{0000000C-25D1-4B24-A4BB-C7EEA7F68D56}"/>
                  </c:ext>
                </c:extLst>
              </c15:ser>
            </c15:filteredBarSeries>
            <c15:filteredBarSeries>
              <c15:ser>
                <c:idx val="10"/>
                <c:order val="10"/>
                <c:tx>
                  <c:strRef>
                    <c:extLst xmlns:c15="http://schemas.microsoft.com/office/drawing/2012/chart">
                      <c:ext xmlns:c15="http://schemas.microsoft.com/office/drawing/2012/chart" uri="{02D57815-91ED-43cb-92C2-25804820EDAC}">
                        <c15:formulaRef>
                          <c15:sqref>Mittelwerte!$N$2</c15:sqref>
                        </c15:formulaRef>
                      </c:ext>
                    </c:extLst>
                    <c:strCache>
                      <c:ptCount val="1"/>
                      <c:pt idx="0">
                        <c:v>n-PFTeDA </c:v>
                      </c:pt>
                    </c:strCache>
                  </c:strRef>
                </c:tx>
                <c:spPr>
                  <a:solidFill>
                    <a:schemeClr val="accent5">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Mittelwerte!$B$43:$C$148</c15:sqref>
                        </c15:fullRef>
                        <c15:formulaRef>
                          <c15:sqref>Mittelwerte!$B$80:$C$88</c15:sqref>
                        </c15:formulaRef>
                      </c:ext>
                    </c:extLst>
                    <c:multiLvlStrCache>
                      <c:ptCount val="9"/>
                      <c:lvl>
                        <c:pt idx="0">
                          <c:v>1</c:v>
                        </c:pt>
                        <c:pt idx="1">
                          <c:v>5</c:v>
                        </c:pt>
                        <c:pt idx="2">
                          <c:v>17</c:v>
                        </c:pt>
                        <c:pt idx="3">
                          <c:v>38</c:v>
                        </c:pt>
                        <c:pt idx="4">
                          <c:v>57</c:v>
                        </c:pt>
                        <c:pt idx="5">
                          <c:v>61</c:v>
                        </c:pt>
                        <c:pt idx="6">
                          <c:v>73</c:v>
                        </c:pt>
                        <c:pt idx="7">
                          <c:v>101</c:v>
                        </c:pt>
                        <c:pt idx="8">
                          <c:v>136</c:v>
                        </c:pt>
                      </c:lvl>
                      <c:lvl>
                        <c:pt idx="0">
                          <c:v>Serum</c:v>
                        </c:pt>
                      </c:lvl>
                    </c:multiLvlStrCache>
                  </c:multiLvlStrRef>
                </c:cat>
                <c:val>
                  <c:numRef>
                    <c:extLst>
                      <c:ext xmlns:c15="http://schemas.microsoft.com/office/drawing/2012/chart" uri="{02D57815-91ED-43cb-92C2-25804820EDAC}">
                        <c15:fullRef>
                          <c15:sqref>Mittelwerte!$N$43:$N$148</c15:sqref>
                        </c15:fullRef>
                        <c15:formulaRef>
                          <c15:sqref>Mittelwerte!$N$80:$N$88</c15:sqref>
                        </c15:formulaRef>
                      </c:ext>
                    </c:extLst>
                    <c:numCache>
                      <c:formatCode>0.00</c:formatCode>
                      <c:ptCount val="9"/>
                      <c:pt idx="0">
                        <c:v>0</c:v>
                      </c:pt>
                      <c:pt idx="1">
                        <c:v>0</c:v>
                      </c:pt>
                      <c:pt idx="2">
                        <c:v>0.95950000000000002</c:v>
                      </c:pt>
                      <c:pt idx="3">
                        <c:v>0.67</c:v>
                      </c:pt>
                      <c:pt idx="4">
                        <c:v>0.66999999999999993</c:v>
                      </c:pt>
                      <c:pt idx="5">
                        <c:v>0</c:v>
                      </c:pt>
                      <c:pt idx="6">
                        <c:v>0</c:v>
                      </c:pt>
                      <c:pt idx="7">
                        <c:v>0</c:v>
                      </c:pt>
                      <c:pt idx="8">
                        <c:v>0</c:v>
                      </c:pt>
                    </c:numCache>
                  </c:numRef>
                </c:val>
                <c:extLst xmlns:c15="http://schemas.microsoft.com/office/drawing/2012/chart">
                  <c:ext xmlns:c16="http://schemas.microsoft.com/office/drawing/2014/chart" uri="{C3380CC4-5D6E-409C-BE32-E72D297353CC}">
                    <c16:uniqueId val="{0000000D-25D1-4B24-A4BB-C7EEA7F68D56}"/>
                  </c:ext>
                </c:extLst>
              </c15:ser>
            </c15:filteredBarSeries>
            <c15:filteredBarSeries>
              <c15:ser>
                <c:idx val="11"/>
                <c:order val="11"/>
                <c:tx>
                  <c:strRef>
                    <c:extLst xmlns:c15="http://schemas.microsoft.com/office/drawing/2012/chart">
                      <c:ext xmlns:c15="http://schemas.microsoft.com/office/drawing/2012/chart" uri="{02D57815-91ED-43cb-92C2-25804820EDAC}">
                        <c15:formulaRef>
                          <c15:sqref>Mittelwerte!$O$2</c15:sqref>
                        </c15:formulaRef>
                      </c:ext>
                    </c:extLst>
                    <c:strCache>
                      <c:ptCount val="1"/>
                      <c:pt idx="0">
                        <c:v>n-PFBS </c:v>
                      </c:pt>
                    </c:strCache>
                  </c:strRef>
                </c:tx>
                <c:spPr>
                  <a:solidFill>
                    <a:schemeClr val="accent6">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Mittelwerte!$B$43:$C$148</c15:sqref>
                        </c15:fullRef>
                        <c15:formulaRef>
                          <c15:sqref>Mittelwerte!$B$80:$C$88</c15:sqref>
                        </c15:formulaRef>
                      </c:ext>
                    </c:extLst>
                    <c:multiLvlStrCache>
                      <c:ptCount val="9"/>
                      <c:lvl>
                        <c:pt idx="0">
                          <c:v>1</c:v>
                        </c:pt>
                        <c:pt idx="1">
                          <c:v>5</c:v>
                        </c:pt>
                        <c:pt idx="2">
                          <c:v>17</c:v>
                        </c:pt>
                        <c:pt idx="3">
                          <c:v>38</c:v>
                        </c:pt>
                        <c:pt idx="4">
                          <c:v>57</c:v>
                        </c:pt>
                        <c:pt idx="5">
                          <c:v>61</c:v>
                        </c:pt>
                        <c:pt idx="6">
                          <c:v>73</c:v>
                        </c:pt>
                        <c:pt idx="7">
                          <c:v>101</c:v>
                        </c:pt>
                        <c:pt idx="8">
                          <c:v>136</c:v>
                        </c:pt>
                      </c:lvl>
                      <c:lvl>
                        <c:pt idx="0">
                          <c:v>Serum</c:v>
                        </c:pt>
                      </c:lvl>
                    </c:multiLvlStrCache>
                  </c:multiLvlStrRef>
                </c:cat>
                <c:val>
                  <c:numRef>
                    <c:extLst>
                      <c:ext xmlns:c15="http://schemas.microsoft.com/office/drawing/2012/chart" uri="{02D57815-91ED-43cb-92C2-25804820EDAC}">
                        <c15:fullRef>
                          <c15:sqref>Mittelwerte!$O$43:$O$148</c15:sqref>
                        </c15:fullRef>
                        <c15:formulaRef>
                          <c15:sqref>Mittelwerte!$O$80:$O$88</c15:sqref>
                        </c15:formulaRef>
                      </c:ext>
                    </c:extLst>
                    <c:numCache>
                      <c:formatCode>0.00</c:formatCode>
                      <c:ptCount val="9"/>
                      <c:pt idx="0">
                        <c:v>0</c:v>
                      </c:pt>
                      <c:pt idx="1">
                        <c:v>0</c:v>
                      </c:pt>
                      <c:pt idx="2">
                        <c:v>0</c:v>
                      </c:pt>
                      <c:pt idx="3">
                        <c:v>0</c:v>
                      </c:pt>
                      <c:pt idx="4">
                        <c:v>0</c:v>
                      </c:pt>
                      <c:pt idx="5">
                        <c:v>0</c:v>
                      </c:pt>
                      <c:pt idx="6">
                        <c:v>0</c:v>
                      </c:pt>
                      <c:pt idx="7">
                        <c:v>0</c:v>
                      </c:pt>
                      <c:pt idx="8">
                        <c:v>0</c:v>
                      </c:pt>
                    </c:numCache>
                  </c:numRef>
                </c:val>
                <c:extLst xmlns:c15="http://schemas.microsoft.com/office/drawing/2012/chart">
                  <c:ext xmlns:c16="http://schemas.microsoft.com/office/drawing/2014/chart" uri="{C3380CC4-5D6E-409C-BE32-E72D297353CC}">
                    <c16:uniqueId val="{0000000E-25D1-4B24-A4BB-C7EEA7F68D56}"/>
                  </c:ext>
                </c:extLst>
              </c15:ser>
            </c15:filteredBarSeries>
            <c15:filteredBarSeries>
              <c15:ser>
                <c:idx val="12"/>
                <c:order val="12"/>
                <c:tx>
                  <c:strRef>
                    <c:extLst xmlns:c15="http://schemas.microsoft.com/office/drawing/2012/chart">
                      <c:ext xmlns:c15="http://schemas.microsoft.com/office/drawing/2012/chart" uri="{02D57815-91ED-43cb-92C2-25804820EDAC}">
                        <c15:formulaRef>
                          <c15:sqref>Mittelwerte!$P$2</c15:sqref>
                        </c15:formulaRef>
                      </c:ext>
                    </c:extLst>
                    <c:strCache>
                      <c:ptCount val="1"/>
                      <c:pt idx="0">
                        <c:v>n-PFPeS </c:v>
                      </c:pt>
                    </c:strCache>
                  </c:strRef>
                </c:tx>
                <c:spPr>
                  <a:solidFill>
                    <a:schemeClr val="accent1">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Mittelwerte!$B$43:$C$148</c15:sqref>
                        </c15:fullRef>
                        <c15:formulaRef>
                          <c15:sqref>Mittelwerte!$B$80:$C$88</c15:sqref>
                        </c15:formulaRef>
                      </c:ext>
                    </c:extLst>
                    <c:multiLvlStrCache>
                      <c:ptCount val="9"/>
                      <c:lvl>
                        <c:pt idx="0">
                          <c:v>1</c:v>
                        </c:pt>
                        <c:pt idx="1">
                          <c:v>5</c:v>
                        </c:pt>
                        <c:pt idx="2">
                          <c:v>17</c:v>
                        </c:pt>
                        <c:pt idx="3">
                          <c:v>38</c:v>
                        </c:pt>
                        <c:pt idx="4">
                          <c:v>57</c:v>
                        </c:pt>
                        <c:pt idx="5">
                          <c:v>61</c:v>
                        </c:pt>
                        <c:pt idx="6">
                          <c:v>73</c:v>
                        </c:pt>
                        <c:pt idx="7">
                          <c:v>101</c:v>
                        </c:pt>
                        <c:pt idx="8">
                          <c:v>136</c:v>
                        </c:pt>
                      </c:lvl>
                      <c:lvl>
                        <c:pt idx="0">
                          <c:v>Serum</c:v>
                        </c:pt>
                      </c:lvl>
                    </c:multiLvlStrCache>
                  </c:multiLvlStrRef>
                </c:cat>
                <c:val>
                  <c:numRef>
                    <c:extLst>
                      <c:ext xmlns:c15="http://schemas.microsoft.com/office/drawing/2012/chart" uri="{02D57815-91ED-43cb-92C2-25804820EDAC}">
                        <c15:fullRef>
                          <c15:sqref>Mittelwerte!$P$43:$P$148</c15:sqref>
                        </c15:fullRef>
                        <c15:formulaRef>
                          <c15:sqref>Mittelwerte!$P$80:$P$88</c15:sqref>
                        </c15:formulaRef>
                      </c:ext>
                    </c:extLst>
                    <c:numCache>
                      <c:formatCode>0.00</c:formatCode>
                      <c:ptCount val="9"/>
                      <c:pt idx="0">
                        <c:v>0</c:v>
                      </c:pt>
                      <c:pt idx="1">
                        <c:v>0</c:v>
                      </c:pt>
                      <c:pt idx="2">
                        <c:v>0</c:v>
                      </c:pt>
                      <c:pt idx="3">
                        <c:v>0</c:v>
                      </c:pt>
                      <c:pt idx="4">
                        <c:v>0</c:v>
                      </c:pt>
                      <c:pt idx="5">
                        <c:v>0</c:v>
                      </c:pt>
                      <c:pt idx="6">
                        <c:v>0</c:v>
                      </c:pt>
                      <c:pt idx="7">
                        <c:v>0</c:v>
                      </c:pt>
                      <c:pt idx="8">
                        <c:v>0</c:v>
                      </c:pt>
                    </c:numCache>
                  </c:numRef>
                </c:val>
                <c:extLst xmlns:c15="http://schemas.microsoft.com/office/drawing/2012/chart">
                  <c:ext xmlns:c16="http://schemas.microsoft.com/office/drawing/2014/chart" uri="{C3380CC4-5D6E-409C-BE32-E72D297353CC}">
                    <c16:uniqueId val="{0000000F-25D1-4B24-A4BB-C7EEA7F68D56}"/>
                  </c:ext>
                </c:extLst>
              </c15:ser>
            </c15:filteredBarSeries>
            <c15:filteredBarSeries>
              <c15:ser>
                <c:idx val="13"/>
                <c:order val="13"/>
                <c:tx>
                  <c:strRef>
                    <c:extLst xmlns:c15="http://schemas.microsoft.com/office/drawing/2012/chart">
                      <c:ext xmlns:c15="http://schemas.microsoft.com/office/drawing/2012/chart" uri="{02D57815-91ED-43cb-92C2-25804820EDAC}">
                        <c15:formulaRef>
                          <c15:sqref>Mittelwerte!$Q$2</c15:sqref>
                        </c15:formulaRef>
                      </c:ext>
                    </c:extLst>
                    <c:strCache>
                      <c:ptCount val="1"/>
                      <c:pt idx="0">
                        <c:v>n-PFHxS </c:v>
                      </c:pt>
                    </c:strCache>
                  </c:strRef>
                </c:tx>
                <c:spPr>
                  <a:solidFill>
                    <a:schemeClr val="accent2">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Mittelwerte!$B$43:$C$148</c15:sqref>
                        </c15:fullRef>
                        <c15:formulaRef>
                          <c15:sqref>Mittelwerte!$B$80:$C$88</c15:sqref>
                        </c15:formulaRef>
                      </c:ext>
                    </c:extLst>
                    <c:multiLvlStrCache>
                      <c:ptCount val="9"/>
                      <c:lvl>
                        <c:pt idx="0">
                          <c:v>1</c:v>
                        </c:pt>
                        <c:pt idx="1">
                          <c:v>5</c:v>
                        </c:pt>
                        <c:pt idx="2">
                          <c:v>17</c:v>
                        </c:pt>
                        <c:pt idx="3">
                          <c:v>38</c:v>
                        </c:pt>
                        <c:pt idx="4">
                          <c:v>57</c:v>
                        </c:pt>
                        <c:pt idx="5">
                          <c:v>61</c:v>
                        </c:pt>
                        <c:pt idx="6">
                          <c:v>73</c:v>
                        </c:pt>
                        <c:pt idx="7">
                          <c:v>101</c:v>
                        </c:pt>
                        <c:pt idx="8">
                          <c:v>136</c:v>
                        </c:pt>
                      </c:lvl>
                      <c:lvl>
                        <c:pt idx="0">
                          <c:v>Serum</c:v>
                        </c:pt>
                      </c:lvl>
                    </c:multiLvlStrCache>
                  </c:multiLvlStrRef>
                </c:cat>
                <c:val>
                  <c:numRef>
                    <c:extLst>
                      <c:ext xmlns:c15="http://schemas.microsoft.com/office/drawing/2012/chart" uri="{02D57815-91ED-43cb-92C2-25804820EDAC}">
                        <c15:fullRef>
                          <c15:sqref>Mittelwerte!$Q$43:$Q$148</c15:sqref>
                        </c15:fullRef>
                        <c15:formulaRef>
                          <c15:sqref>Mittelwerte!$Q$80:$Q$88</c15:sqref>
                        </c15:formulaRef>
                      </c:ext>
                    </c:extLst>
                    <c:numCache>
                      <c:formatCode>0.00</c:formatCode>
                      <c:ptCount val="9"/>
                      <c:pt idx="0">
                        <c:v>0</c:v>
                      </c:pt>
                      <c:pt idx="1">
                        <c:v>0.54200000000000004</c:v>
                      </c:pt>
                      <c:pt idx="2">
                        <c:v>2.4933333333333332</c:v>
                      </c:pt>
                      <c:pt idx="3">
                        <c:v>5.253333333333333</c:v>
                      </c:pt>
                      <c:pt idx="4">
                        <c:v>3.8833333333333329</c:v>
                      </c:pt>
                      <c:pt idx="5">
                        <c:v>2.5033333333333334</c:v>
                      </c:pt>
                      <c:pt idx="6">
                        <c:v>0.995</c:v>
                      </c:pt>
                      <c:pt idx="7">
                        <c:v>0</c:v>
                      </c:pt>
                      <c:pt idx="8">
                        <c:v>0</c:v>
                      </c:pt>
                    </c:numCache>
                  </c:numRef>
                </c:val>
                <c:extLst xmlns:c15="http://schemas.microsoft.com/office/drawing/2012/chart">
                  <c:ext xmlns:c16="http://schemas.microsoft.com/office/drawing/2014/chart" uri="{C3380CC4-5D6E-409C-BE32-E72D297353CC}">
                    <c16:uniqueId val="{00000010-25D1-4B24-A4BB-C7EEA7F68D56}"/>
                  </c:ext>
                </c:extLst>
              </c15:ser>
            </c15:filteredBarSeries>
            <c15:filteredBarSeries>
              <c15:ser>
                <c:idx val="14"/>
                <c:order val="14"/>
                <c:tx>
                  <c:strRef>
                    <c:extLst xmlns:c15="http://schemas.microsoft.com/office/drawing/2012/chart">
                      <c:ext xmlns:c15="http://schemas.microsoft.com/office/drawing/2012/chart" uri="{02D57815-91ED-43cb-92C2-25804820EDAC}">
                        <c15:formulaRef>
                          <c15:sqref>Mittelwerte!$R$2</c15:sqref>
                        </c15:formulaRef>
                      </c:ext>
                    </c:extLst>
                    <c:strCache>
                      <c:ptCount val="1"/>
                      <c:pt idx="0">
                        <c:v>n-PFHpS </c:v>
                      </c:pt>
                    </c:strCache>
                  </c:strRef>
                </c:tx>
                <c:spPr>
                  <a:solidFill>
                    <a:schemeClr val="accent3">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Mittelwerte!$B$43:$C$148</c15:sqref>
                        </c15:fullRef>
                        <c15:formulaRef>
                          <c15:sqref>Mittelwerte!$B$80:$C$88</c15:sqref>
                        </c15:formulaRef>
                      </c:ext>
                    </c:extLst>
                    <c:multiLvlStrCache>
                      <c:ptCount val="9"/>
                      <c:lvl>
                        <c:pt idx="0">
                          <c:v>1</c:v>
                        </c:pt>
                        <c:pt idx="1">
                          <c:v>5</c:v>
                        </c:pt>
                        <c:pt idx="2">
                          <c:v>17</c:v>
                        </c:pt>
                        <c:pt idx="3">
                          <c:v>38</c:v>
                        </c:pt>
                        <c:pt idx="4">
                          <c:v>57</c:v>
                        </c:pt>
                        <c:pt idx="5">
                          <c:v>61</c:v>
                        </c:pt>
                        <c:pt idx="6">
                          <c:v>73</c:v>
                        </c:pt>
                        <c:pt idx="7">
                          <c:v>101</c:v>
                        </c:pt>
                        <c:pt idx="8">
                          <c:v>136</c:v>
                        </c:pt>
                      </c:lvl>
                      <c:lvl>
                        <c:pt idx="0">
                          <c:v>Serum</c:v>
                        </c:pt>
                      </c:lvl>
                    </c:multiLvlStrCache>
                  </c:multiLvlStrRef>
                </c:cat>
                <c:val>
                  <c:numRef>
                    <c:extLst>
                      <c:ext xmlns:c15="http://schemas.microsoft.com/office/drawing/2012/chart" uri="{02D57815-91ED-43cb-92C2-25804820EDAC}">
                        <c15:fullRef>
                          <c15:sqref>Mittelwerte!$R$43:$R$148</c15:sqref>
                        </c15:fullRef>
                        <c15:formulaRef>
                          <c15:sqref>Mittelwerte!$R$80:$R$88</c15:sqref>
                        </c15:formulaRef>
                      </c:ext>
                    </c:extLst>
                    <c:numCache>
                      <c:formatCode>0.00</c:formatCode>
                      <c:ptCount val="9"/>
                      <c:pt idx="0">
                        <c:v>0</c:v>
                      </c:pt>
                      <c:pt idx="1">
                        <c:v>0</c:v>
                      </c:pt>
                      <c:pt idx="2">
                        <c:v>1.0976666666666668</c:v>
                      </c:pt>
                      <c:pt idx="3">
                        <c:v>4.703333333333334</c:v>
                      </c:pt>
                      <c:pt idx="4">
                        <c:v>5.6866666666666674</c:v>
                      </c:pt>
                      <c:pt idx="5">
                        <c:v>4.5066666666666668</c:v>
                      </c:pt>
                      <c:pt idx="6">
                        <c:v>2.523333333333333</c:v>
                      </c:pt>
                      <c:pt idx="7">
                        <c:v>0.85499999999999998</c:v>
                      </c:pt>
                      <c:pt idx="8">
                        <c:v>0</c:v>
                      </c:pt>
                    </c:numCache>
                  </c:numRef>
                </c:val>
                <c:extLst xmlns:c15="http://schemas.microsoft.com/office/drawing/2012/chart">
                  <c:ext xmlns:c16="http://schemas.microsoft.com/office/drawing/2014/chart" uri="{C3380CC4-5D6E-409C-BE32-E72D297353CC}">
                    <c16:uniqueId val="{00000011-25D1-4B24-A4BB-C7EEA7F68D56}"/>
                  </c:ext>
                </c:extLst>
              </c15:ser>
            </c15:filteredBarSeries>
            <c15:filteredBarSeries>
              <c15:ser>
                <c:idx val="15"/>
                <c:order val="15"/>
                <c:tx>
                  <c:strRef>
                    <c:extLst xmlns:c15="http://schemas.microsoft.com/office/drawing/2012/chart">
                      <c:ext xmlns:c15="http://schemas.microsoft.com/office/drawing/2012/chart" uri="{02D57815-91ED-43cb-92C2-25804820EDAC}">
                        <c15:formulaRef>
                          <c15:sqref>Mittelwerte!$S$2</c15:sqref>
                        </c15:formulaRef>
                      </c:ext>
                    </c:extLst>
                    <c:strCache>
                      <c:ptCount val="1"/>
                      <c:pt idx="0">
                        <c:v>n-PFOS </c:v>
                      </c:pt>
                    </c:strCache>
                  </c:strRef>
                </c:tx>
                <c:spPr>
                  <a:solidFill>
                    <a:schemeClr val="accent4">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Mittelwerte!$B$43:$C$148</c15:sqref>
                        </c15:fullRef>
                        <c15:formulaRef>
                          <c15:sqref>Mittelwerte!$B$80:$C$88</c15:sqref>
                        </c15:formulaRef>
                      </c:ext>
                    </c:extLst>
                    <c:multiLvlStrCache>
                      <c:ptCount val="9"/>
                      <c:lvl>
                        <c:pt idx="0">
                          <c:v>1</c:v>
                        </c:pt>
                        <c:pt idx="1">
                          <c:v>5</c:v>
                        </c:pt>
                        <c:pt idx="2">
                          <c:v>17</c:v>
                        </c:pt>
                        <c:pt idx="3">
                          <c:v>38</c:v>
                        </c:pt>
                        <c:pt idx="4">
                          <c:v>57</c:v>
                        </c:pt>
                        <c:pt idx="5">
                          <c:v>61</c:v>
                        </c:pt>
                        <c:pt idx="6">
                          <c:v>73</c:v>
                        </c:pt>
                        <c:pt idx="7">
                          <c:v>101</c:v>
                        </c:pt>
                        <c:pt idx="8">
                          <c:v>136</c:v>
                        </c:pt>
                      </c:lvl>
                      <c:lvl>
                        <c:pt idx="0">
                          <c:v>Serum</c:v>
                        </c:pt>
                      </c:lvl>
                    </c:multiLvlStrCache>
                  </c:multiLvlStrRef>
                </c:cat>
                <c:val>
                  <c:numRef>
                    <c:extLst>
                      <c:ext xmlns:c15="http://schemas.microsoft.com/office/drawing/2012/chart" uri="{02D57815-91ED-43cb-92C2-25804820EDAC}">
                        <c15:fullRef>
                          <c15:sqref>Mittelwerte!$S$43:$S$148</c15:sqref>
                        </c15:fullRef>
                        <c15:formulaRef>
                          <c15:sqref>Mittelwerte!$S$80:$S$88</c15:sqref>
                        </c15:formulaRef>
                      </c:ext>
                    </c:extLst>
                    <c:numCache>
                      <c:formatCode>0.00</c:formatCode>
                      <c:ptCount val="9"/>
                      <c:pt idx="0">
                        <c:v>0</c:v>
                      </c:pt>
                      <c:pt idx="1">
                        <c:v>5.5333333333333341</c:v>
                      </c:pt>
                      <c:pt idx="2">
                        <c:v>101.43333333333334</c:v>
                      </c:pt>
                      <c:pt idx="3">
                        <c:v>273.33333333333331</c:v>
                      </c:pt>
                      <c:pt idx="4">
                        <c:v>378.66666666666669</c:v>
                      </c:pt>
                      <c:pt idx="5">
                        <c:v>239.33333333333334</c:v>
                      </c:pt>
                      <c:pt idx="6">
                        <c:v>214</c:v>
                      </c:pt>
                      <c:pt idx="7">
                        <c:v>96.066666666666677</c:v>
                      </c:pt>
                      <c:pt idx="8">
                        <c:v>45.199999999999996</c:v>
                      </c:pt>
                    </c:numCache>
                  </c:numRef>
                </c:val>
                <c:extLst xmlns:c15="http://schemas.microsoft.com/office/drawing/2012/chart">
                  <c:ext xmlns:c16="http://schemas.microsoft.com/office/drawing/2014/chart" uri="{C3380CC4-5D6E-409C-BE32-E72D297353CC}">
                    <c16:uniqueId val="{00000012-25D1-4B24-A4BB-C7EEA7F68D56}"/>
                  </c:ext>
                </c:extLst>
              </c15:ser>
            </c15:filteredBarSeries>
            <c15:filteredBarSeries>
              <c15:ser>
                <c:idx val="16"/>
                <c:order val="16"/>
                <c:tx>
                  <c:strRef>
                    <c:extLst xmlns:c15="http://schemas.microsoft.com/office/drawing/2012/chart">
                      <c:ext xmlns:c15="http://schemas.microsoft.com/office/drawing/2012/chart" uri="{02D57815-91ED-43cb-92C2-25804820EDAC}">
                        <c15:formulaRef>
                          <c15:sqref>Mittelwerte!$T$2</c15:sqref>
                        </c15:formulaRef>
                      </c:ext>
                    </c:extLst>
                    <c:strCache>
                      <c:ptCount val="1"/>
                      <c:pt idx="0">
                        <c:v>n-PFNS </c:v>
                      </c:pt>
                    </c:strCache>
                  </c:strRef>
                </c:tx>
                <c:spPr>
                  <a:solidFill>
                    <a:schemeClr val="accent5">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Mittelwerte!$B$43:$C$148</c15:sqref>
                        </c15:fullRef>
                        <c15:formulaRef>
                          <c15:sqref>Mittelwerte!$B$80:$C$88</c15:sqref>
                        </c15:formulaRef>
                      </c:ext>
                    </c:extLst>
                    <c:multiLvlStrCache>
                      <c:ptCount val="9"/>
                      <c:lvl>
                        <c:pt idx="0">
                          <c:v>1</c:v>
                        </c:pt>
                        <c:pt idx="1">
                          <c:v>5</c:v>
                        </c:pt>
                        <c:pt idx="2">
                          <c:v>17</c:v>
                        </c:pt>
                        <c:pt idx="3">
                          <c:v>38</c:v>
                        </c:pt>
                        <c:pt idx="4">
                          <c:v>57</c:v>
                        </c:pt>
                        <c:pt idx="5">
                          <c:v>61</c:v>
                        </c:pt>
                        <c:pt idx="6">
                          <c:v>73</c:v>
                        </c:pt>
                        <c:pt idx="7">
                          <c:v>101</c:v>
                        </c:pt>
                        <c:pt idx="8">
                          <c:v>136</c:v>
                        </c:pt>
                      </c:lvl>
                      <c:lvl>
                        <c:pt idx="0">
                          <c:v>Serum</c:v>
                        </c:pt>
                      </c:lvl>
                    </c:multiLvlStrCache>
                  </c:multiLvlStrRef>
                </c:cat>
                <c:val>
                  <c:numRef>
                    <c:extLst>
                      <c:ext xmlns:c15="http://schemas.microsoft.com/office/drawing/2012/chart" uri="{02D57815-91ED-43cb-92C2-25804820EDAC}">
                        <c15:fullRef>
                          <c15:sqref>Mittelwerte!$T$43:$T$148</c15:sqref>
                        </c15:fullRef>
                        <c15:formulaRef>
                          <c15:sqref>Mittelwerte!$T$80:$T$88</c15:sqref>
                        </c15:formulaRef>
                      </c:ext>
                    </c:extLst>
                    <c:numCache>
                      <c:formatCode>0.00</c:formatCode>
                      <c:ptCount val="9"/>
                      <c:pt idx="0">
                        <c:v>0</c:v>
                      </c:pt>
                      <c:pt idx="1">
                        <c:v>2.1700000000000004</c:v>
                      </c:pt>
                      <c:pt idx="2">
                        <c:v>41.033333333333331</c:v>
                      </c:pt>
                      <c:pt idx="3">
                        <c:v>96.333333333333329</c:v>
                      </c:pt>
                      <c:pt idx="4">
                        <c:v>70.333333333333329</c:v>
                      </c:pt>
                      <c:pt idx="5">
                        <c:v>148</c:v>
                      </c:pt>
                      <c:pt idx="6">
                        <c:v>80.86666666666666</c:v>
                      </c:pt>
                      <c:pt idx="7">
                        <c:v>24.366666666666671</c:v>
                      </c:pt>
                      <c:pt idx="8">
                        <c:v>5.5466666666666669</c:v>
                      </c:pt>
                    </c:numCache>
                  </c:numRef>
                </c:val>
                <c:extLst xmlns:c15="http://schemas.microsoft.com/office/drawing/2012/chart">
                  <c:ext xmlns:c16="http://schemas.microsoft.com/office/drawing/2014/chart" uri="{C3380CC4-5D6E-409C-BE32-E72D297353CC}">
                    <c16:uniqueId val="{00000013-25D1-4B24-A4BB-C7EEA7F68D56}"/>
                  </c:ext>
                </c:extLst>
              </c15:ser>
            </c15:filteredBarSeries>
            <c15:filteredBarSeries>
              <c15:ser>
                <c:idx val="17"/>
                <c:order val="17"/>
                <c:tx>
                  <c:strRef>
                    <c:extLst xmlns:c15="http://schemas.microsoft.com/office/drawing/2012/chart">
                      <c:ext xmlns:c15="http://schemas.microsoft.com/office/drawing/2012/chart" uri="{02D57815-91ED-43cb-92C2-25804820EDAC}">
                        <c15:formulaRef>
                          <c15:sqref>Mittelwerte!$U$2</c15:sqref>
                        </c15:formulaRef>
                      </c:ext>
                    </c:extLst>
                    <c:strCache>
                      <c:ptCount val="1"/>
                      <c:pt idx="0">
                        <c:v>n-PFDS </c:v>
                      </c:pt>
                    </c:strCache>
                  </c:strRef>
                </c:tx>
                <c:spPr>
                  <a:solidFill>
                    <a:schemeClr val="accent6">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Mittelwerte!$B$43:$C$148</c15:sqref>
                        </c15:fullRef>
                        <c15:formulaRef>
                          <c15:sqref>Mittelwerte!$B$80:$C$88</c15:sqref>
                        </c15:formulaRef>
                      </c:ext>
                    </c:extLst>
                    <c:multiLvlStrCache>
                      <c:ptCount val="9"/>
                      <c:lvl>
                        <c:pt idx="0">
                          <c:v>1</c:v>
                        </c:pt>
                        <c:pt idx="1">
                          <c:v>5</c:v>
                        </c:pt>
                        <c:pt idx="2">
                          <c:v>17</c:v>
                        </c:pt>
                        <c:pt idx="3">
                          <c:v>38</c:v>
                        </c:pt>
                        <c:pt idx="4">
                          <c:v>57</c:v>
                        </c:pt>
                        <c:pt idx="5">
                          <c:v>61</c:v>
                        </c:pt>
                        <c:pt idx="6">
                          <c:v>73</c:v>
                        </c:pt>
                        <c:pt idx="7">
                          <c:v>101</c:v>
                        </c:pt>
                        <c:pt idx="8">
                          <c:v>136</c:v>
                        </c:pt>
                      </c:lvl>
                      <c:lvl>
                        <c:pt idx="0">
                          <c:v>Serum</c:v>
                        </c:pt>
                      </c:lvl>
                    </c:multiLvlStrCache>
                  </c:multiLvlStrRef>
                </c:cat>
                <c:val>
                  <c:numRef>
                    <c:extLst>
                      <c:ext xmlns:c15="http://schemas.microsoft.com/office/drawing/2012/chart" uri="{02D57815-91ED-43cb-92C2-25804820EDAC}">
                        <c15:fullRef>
                          <c15:sqref>Mittelwerte!$U$43:$U$148</c15:sqref>
                        </c15:fullRef>
                        <c15:formulaRef>
                          <c15:sqref>Mittelwerte!$U$80:$U$88</c15:sqref>
                        </c15:formulaRef>
                      </c:ext>
                    </c:extLst>
                    <c:numCache>
                      <c:formatCode>0.00</c:formatCode>
                      <c:ptCount val="9"/>
                      <c:pt idx="0">
                        <c:v>0</c:v>
                      </c:pt>
                      <c:pt idx="1">
                        <c:v>2.1233333333333335</c:v>
                      </c:pt>
                      <c:pt idx="2">
                        <c:v>33.9</c:v>
                      </c:pt>
                      <c:pt idx="3">
                        <c:v>90.166666666666671</c:v>
                      </c:pt>
                      <c:pt idx="4">
                        <c:v>43.566666666666663</c:v>
                      </c:pt>
                      <c:pt idx="5">
                        <c:v>57.966666666666669</c:v>
                      </c:pt>
                      <c:pt idx="6">
                        <c:v>45.199999999999996</c:v>
                      </c:pt>
                      <c:pt idx="7">
                        <c:v>8.5033333333333321</c:v>
                      </c:pt>
                      <c:pt idx="8">
                        <c:v>1.0745</c:v>
                      </c:pt>
                    </c:numCache>
                  </c:numRef>
                </c:val>
                <c:extLst xmlns:c15="http://schemas.microsoft.com/office/drawing/2012/chart">
                  <c:ext xmlns:c16="http://schemas.microsoft.com/office/drawing/2014/chart" uri="{C3380CC4-5D6E-409C-BE32-E72D297353CC}">
                    <c16:uniqueId val="{00000014-25D1-4B24-A4BB-C7EEA7F68D56}"/>
                  </c:ext>
                </c:extLst>
              </c15:ser>
            </c15:filteredBarSeries>
            <c15:filteredBarSeries>
              <c15:ser>
                <c:idx val="18"/>
                <c:order val="18"/>
                <c:tx>
                  <c:strRef>
                    <c:extLst xmlns:c15="http://schemas.microsoft.com/office/drawing/2012/chart">
                      <c:ext xmlns:c15="http://schemas.microsoft.com/office/drawing/2012/chart" uri="{02D57815-91ED-43cb-92C2-25804820EDAC}">
                        <c15:formulaRef>
                          <c15:sqref>Mittelwerte!$V$2</c15:sqref>
                        </c15:formulaRef>
                      </c:ext>
                    </c:extLst>
                    <c:strCache>
                      <c:ptCount val="1"/>
                      <c:pt idx="0">
                        <c:v>n-PFUnDS </c:v>
                      </c:pt>
                    </c:strCache>
                  </c:strRef>
                </c:tx>
                <c:spPr>
                  <a:solidFill>
                    <a:schemeClr val="accent1">
                      <a:lumMod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Mittelwerte!$B$43:$C$148</c15:sqref>
                        </c15:fullRef>
                        <c15:formulaRef>
                          <c15:sqref>Mittelwerte!$B$80:$C$88</c15:sqref>
                        </c15:formulaRef>
                      </c:ext>
                    </c:extLst>
                    <c:multiLvlStrCache>
                      <c:ptCount val="9"/>
                      <c:lvl>
                        <c:pt idx="0">
                          <c:v>1</c:v>
                        </c:pt>
                        <c:pt idx="1">
                          <c:v>5</c:v>
                        </c:pt>
                        <c:pt idx="2">
                          <c:v>17</c:v>
                        </c:pt>
                        <c:pt idx="3">
                          <c:v>38</c:v>
                        </c:pt>
                        <c:pt idx="4">
                          <c:v>57</c:v>
                        </c:pt>
                        <c:pt idx="5">
                          <c:v>61</c:v>
                        </c:pt>
                        <c:pt idx="6">
                          <c:v>73</c:v>
                        </c:pt>
                        <c:pt idx="7">
                          <c:v>101</c:v>
                        </c:pt>
                        <c:pt idx="8">
                          <c:v>136</c:v>
                        </c:pt>
                      </c:lvl>
                      <c:lvl>
                        <c:pt idx="0">
                          <c:v>Serum</c:v>
                        </c:pt>
                      </c:lvl>
                    </c:multiLvlStrCache>
                  </c:multiLvlStrRef>
                </c:cat>
                <c:val>
                  <c:numRef>
                    <c:extLst>
                      <c:ext xmlns:c15="http://schemas.microsoft.com/office/drawing/2012/chart" uri="{02D57815-91ED-43cb-92C2-25804820EDAC}">
                        <c15:fullRef>
                          <c15:sqref>Mittelwerte!$V$43:$V$148</c15:sqref>
                        </c15:fullRef>
                        <c15:formulaRef>
                          <c15:sqref>Mittelwerte!$V$80:$V$88</c15:sqref>
                        </c15:formulaRef>
                      </c:ext>
                    </c:extLst>
                    <c:numCache>
                      <c:formatCode>0.00</c:formatCode>
                      <c:ptCount val="9"/>
                      <c:pt idx="0">
                        <c:v>0</c:v>
                      </c:pt>
                      <c:pt idx="1">
                        <c:v>0</c:v>
                      </c:pt>
                      <c:pt idx="2">
                        <c:v>2.0100000000000002</c:v>
                      </c:pt>
                      <c:pt idx="3">
                        <c:v>2.6799999999999997</c:v>
                      </c:pt>
                      <c:pt idx="4">
                        <c:v>3.0399999999999996</c:v>
                      </c:pt>
                      <c:pt idx="5">
                        <c:v>1.8766666666666667</c:v>
                      </c:pt>
                      <c:pt idx="6">
                        <c:v>1.2435</c:v>
                      </c:pt>
                      <c:pt idx="7">
                        <c:v>0</c:v>
                      </c:pt>
                      <c:pt idx="8">
                        <c:v>0</c:v>
                      </c:pt>
                    </c:numCache>
                  </c:numRef>
                </c:val>
                <c:extLst xmlns:c15="http://schemas.microsoft.com/office/drawing/2012/chart">
                  <c:ext xmlns:c16="http://schemas.microsoft.com/office/drawing/2014/chart" uri="{C3380CC4-5D6E-409C-BE32-E72D297353CC}">
                    <c16:uniqueId val="{00000015-25D1-4B24-A4BB-C7EEA7F68D56}"/>
                  </c:ext>
                </c:extLst>
              </c15:ser>
            </c15:filteredBarSeries>
            <c15:filteredBarSeries>
              <c15:ser>
                <c:idx val="19"/>
                <c:order val="19"/>
                <c:tx>
                  <c:strRef>
                    <c:extLst xmlns:c15="http://schemas.microsoft.com/office/drawing/2012/chart">
                      <c:ext xmlns:c15="http://schemas.microsoft.com/office/drawing/2012/chart" uri="{02D57815-91ED-43cb-92C2-25804820EDAC}">
                        <c15:formulaRef>
                          <c15:sqref>Mittelwerte!$W$2</c15:sqref>
                        </c15:formulaRef>
                      </c:ext>
                    </c:extLst>
                    <c:strCache>
                      <c:ptCount val="1"/>
                      <c:pt idx="0">
                        <c:v>n-PFDoDS </c:v>
                      </c:pt>
                    </c:strCache>
                  </c:strRef>
                </c:tx>
                <c:spPr>
                  <a:solidFill>
                    <a:schemeClr val="accent2">
                      <a:lumMod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Mittelwerte!$B$43:$C$148</c15:sqref>
                        </c15:fullRef>
                        <c15:formulaRef>
                          <c15:sqref>Mittelwerte!$B$80:$C$88</c15:sqref>
                        </c15:formulaRef>
                      </c:ext>
                    </c:extLst>
                    <c:multiLvlStrCache>
                      <c:ptCount val="9"/>
                      <c:lvl>
                        <c:pt idx="0">
                          <c:v>1</c:v>
                        </c:pt>
                        <c:pt idx="1">
                          <c:v>5</c:v>
                        </c:pt>
                        <c:pt idx="2">
                          <c:v>17</c:v>
                        </c:pt>
                        <c:pt idx="3">
                          <c:v>38</c:v>
                        </c:pt>
                        <c:pt idx="4">
                          <c:v>57</c:v>
                        </c:pt>
                        <c:pt idx="5">
                          <c:v>61</c:v>
                        </c:pt>
                        <c:pt idx="6">
                          <c:v>73</c:v>
                        </c:pt>
                        <c:pt idx="7">
                          <c:v>101</c:v>
                        </c:pt>
                        <c:pt idx="8">
                          <c:v>136</c:v>
                        </c:pt>
                      </c:lvl>
                      <c:lvl>
                        <c:pt idx="0">
                          <c:v>Serum</c:v>
                        </c:pt>
                      </c:lvl>
                    </c:multiLvlStrCache>
                  </c:multiLvlStrRef>
                </c:cat>
                <c:val>
                  <c:numRef>
                    <c:extLst>
                      <c:ext xmlns:c15="http://schemas.microsoft.com/office/drawing/2012/chart" uri="{02D57815-91ED-43cb-92C2-25804820EDAC}">
                        <c15:fullRef>
                          <c15:sqref>Mittelwerte!$W$43:$W$148</c15:sqref>
                        </c15:fullRef>
                        <c15:formulaRef>
                          <c15:sqref>Mittelwerte!$W$80:$W$88</c15:sqref>
                        </c15:formulaRef>
                      </c:ext>
                    </c:extLst>
                    <c:numCache>
                      <c:formatCode>0.00</c:formatCode>
                      <c:ptCount val="9"/>
                      <c:pt idx="0">
                        <c:v>0</c:v>
                      </c:pt>
                      <c:pt idx="1">
                        <c:v>0</c:v>
                      </c:pt>
                      <c:pt idx="2">
                        <c:v>0.90800000000000003</c:v>
                      </c:pt>
                      <c:pt idx="3">
                        <c:v>1.2023333333333335</c:v>
                      </c:pt>
                      <c:pt idx="4">
                        <c:v>1.4333333333333333</c:v>
                      </c:pt>
                      <c:pt idx="5">
                        <c:v>0.87133333333333329</c:v>
                      </c:pt>
                      <c:pt idx="6">
                        <c:v>0.51</c:v>
                      </c:pt>
                      <c:pt idx="7">
                        <c:v>0</c:v>
                      </c:pt>
                      <c:pt idx="8">
                        <c:v>0</c:v>
                      </c:pt>
                    </c:numCache>
                  </c:numRef>
                </c:val>
                <c:extLst xmlns:c15="http://schemas.microsoft.com/office/drawing/2012/chart">
                  <c:ext xmlns:c16="http://schemas.microsoft.com/office/drawing/2014/chart" uri="{C3380CC4-5D6E-409C-BE32-E72D297353CC}">
                    <c16:uniqueId val="{00000016-25D1-4B24-A4BB-C7EEA7F68D56}"/>
                  </c:ext>
                </c:extLst>
              </c15:ser>
            </c15:filteredBarSeries>
            <c15:filteredBarSeries>
              <c15:ser>
                <c:idx val="20"/>
                <c:order val="20"/>
                <c:tx>
                  <c:strRef>
                    <c:extLst xmlns:c15="http://schemas.microsoft.com/office/drawing/2012/chart">
                      <c:ext xmlns:c15="http://schemas.microsoft.com/office/drawing/2012/chart" uri="{02D57815-91ED-43cb-92C2-25804820EDAC}">
                        <c15:formulaRef>
                          <c15:sqref>Mittelwerte!$X$2</c15:sqref>
                        </c15:formulaRef>
                      </c:ext>
                    </c:extLst>
                    <c:strCache>
                      <c:ptCount val="1"/>
                      <c:pt idx="0">
                        <c:v>n-PFTrDS </c:v>
                      </c:pt>
                    </c:strCache>
                  </c:strRef>
                </c:tx>
                <c:spPr>
                  <a:solidFill>
                    <a:schemeClr val="accent3">
                      <a:lumMod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Mittelwerte!$B$43:$C$148</c15:sqref>
                        </c15:fullRef>
                        <c15:formulaRef>
                          <c15:sqref>Mittelwerte!$B$80:$C$88</c15:sqref>
                        </c15:formulaRef>
                      </c:ext>
                    </c:extLst>
                    <c:multiLvlStrCache>
                      <c:ptCount val="9"/>
                      <c:lvl>
                        <c:pt idx="0">
                          <c:v>1</c:v>
                        </c:pt>
                        <c:pt idx="1">
                          <c:v>5</c:v>
                        </c:pt>
                        <c:pt idx="2">
                          <c:v>17</c:v>
                        </c:pt>
                        <c:pt idx="3">
                          <c:v>38</c:v>
                        </c:pt>
                        <c:pt idx="4">
                          <c:v>57</c:v>
                        </c:pt>
                        <c:pt idx="5">
                          <c:v>61</c:v>
                        </c:pt>
                        <c:pt idx="6">
                          <c:v>73</c:v>
                        </c:pt>
                        <c:pt idx="7">
                          <c:v>101</c:v>
                        </c:pt>
                        <c:pt idx="8">
                          <c:v>136</c:v>
                        </c:pt>
                      </c:lvl>
                      <c:lvl>
                        <c:pt idx="0">
                          <c:v>Serum</c:v>
                        </c:pt>
                      </c:lvl>
                    </c:multiLvlStrCache>
                  </c:multiLvlStrRef>
                </c:cat>
                <c:val>
                  <c:numRef>
                    <c:extLst>
                      <c:ext xmlns:c15="http://schemas.microsoft.com/office/drawing/2012/chart" uri="{02D57815-91ED-43cb-92C2-25804820EDAC}">
                        <c15:fullRef>
                          <c15:sqref>Mittelwerte!$X$43:$X$148</c15:sqref>
                        </c15:fullRef>
                        <c15:formulaRef>
                          <c15:sqref>Mittelwerte!$X$80:$X$88</c15:sqref>
                        </c15:formulaRef>
                      </c:ext>
                    </c:extLst>
                    <c:numCache>
                      <c:formatCode>0.00</c:formatCode>
                      <c:ptCount val="9"/>
                      <c:pt idx="0">
                        <c:v>0</c:v>
                      </c:pt>
                      <c:pt idx="1">
                        <c:v>0</c:v>
                      </c:pt>
                      <c:pt idx="2">
                        <c:v>0</c:v>
                      </c:pt>
                      <c:pt idx="3">
                        <c:v>0</c:v>
                      </c:pt>
                      <c:pt idx="4">
                        <c:v>0</c:v>
                      </c:pt>
                      <c:pt idx="5">
                        <c:v>0</c:v>
                      </c:pt>
                      <c:pt idx="6">
                        <c:v>0</c:v>
                      </c:pt>
                      <c:pt idx="7">
                        <c:v>0</c:v>
                      </c:pt>
                      <c:pt idx="8">
                        <c:v>0</c:v>
                      </c:pt>
                    </c:numCache>
                  </c:numRef>
                </c:val>
                <c:extLst xmlns:c15="http://schemas.microsoft.com/office/drawing/2012/chart">
                  <c:ext xmlns:c16="http://schemas.microsoft.com/office/drawing/2014/chart" uri="{C3380CC4-5D6E-409C-BE32-E72D297353CC}">
                    <c16:uniqueId val="{00000017-25D1-4B24-A4BB-C7EEA7F68D56}"/>
                  </c:ext>
                </c:extLst>
              </c15:ser>
            </c15:filteredBarSeries>
            <c15:filteredBarSeries>
              <c15:ser>
                <c:idx val="21"/>
                <c:order val="21"/>
                <c:tx>
                  <c:strRef>
                    <c:extLst xmlns:c15="http://schemas.microsoft.com/office/drawing/2012/chart">
                      <c:ext xmlns:c15="http://schemas.microsoft.com/office/drawing/2012/chart" uri="{02D57815-91ED-43cb-92C2-25804820EDAC}">
                        <c15:formulaRef>
                          <c15:sqref>Mittelwerte!$Y$2</c15:sqref>
                        </c15:formulaRef>
                      </c:ext>
                    </c:extLst>
                    <c:strCache>
                      <c:ptCount val="1"/>
                      <c:pt idx="0">
                        <c:v>br-PFHxA</c:v>
                      </c:pt>
                    </c:strCache>
                  </c:strRef>
                </c:tx>
                <c:spPr>
                  <a:solidFill>
                    <a:schemeClr val="accent4">
                      <a:lumMod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Mittelwerte!$B$43:$C$148</c15:sqref>
                        </c15:fullRef>
                        <c15:formulaRef>
                          <c15:sqref>Mittelwerte!$B$80:$C$88</c15:sqref>
                        </c15:formulaRef>
                      </c:ext>
                    </c:extLst>
                    <c:multiLvlStrCache>
                      <c:ptCount val="9"/>
                      <c:lvl>
                        <c:pt idx="0">
                          <c:v>1</c:v>
                        </c:pt>
                        <c:pt idx="1">
                          <c:v>5</c:v>
                        </c:pt>
                        <c:pt idx="2">
                          <c:v>17</c:v>
                        </c:pt>
                        <c:pt idx="3">
                          <c:v>38</c:v>
                        </c:pt>
                        <c:pt idx="4">
                          <c:v>57</c:v>
                        </c:pt>
                        <c:pt idx="5">
                          <c:v>61</c:v>
                        </c:pt>
                        <c:pt idx="6">
                          <c:v>73</c:v>
                        </c:pt>
                        <c:pt idx="7">
                          <c:v>101</c:v>
                        </c:pt>
                        <c:pt idx="8">
                          <c:v>136</c:v>
                        </c:pt>
                      </c:lvl>
                      <c:lvl>
                        <c:pt idx="0">
                          <c:v>Serum</c:v>
                        </c:pt>
                      </c:lvl>
                    </c:multiLvlStrCache>
                  </c:multiLvlStrRef>
                </c:cat>
                <c:val>
                  <c:numRef>
                    <c:extLst>
                      <c:ext xmlns:c15="http://schemas.microsoft.com/office/drawing/2012/chart" uri="{02D57815-91ED-43cb-92C2-25804820EDAC}">
                        <c15:fullRef>
                          <c15:sqref>Mittelwerte!$Y$43:$Y$148</c15:sqref>
                        </c15:fullRef>
                        <c15:formulaRef>
                          <c15:sqref>Mittelwerte!$Y$80:$Y$88</c15:sqref>
                        </c15:formulaRef>
                      </c:ext>
                    </c:extLst>
                    <c:numCache>
                      <c:formatCode>0.00</c:formatCode>
                      <c:ptCount val="9"/>
                      <c:pt idx="0">
                        <c:v>0</c:v>
                      </c:pt>
                      <c:pt idx="1">
                        <c:v>0</c:v>
                      </c:pt>
                      <c:pt idx="2">
                        <c:v>0</c:v>
                      </c:pt>
                      <c:pt idx="3">
                        <c:v>0</c:v>
                      </c:pt>
                      <c:pt idx="4">
                        <c:v>0</c:v>
                      </c:pt>
                      <c:pt idx="5">
                        <c:v>0</c:v>
                      </c:pt>
                      <c:pt idx="6">
                        <c:v>0</c:v>
                      </c:pt>
                      <c:pt idx="7">
                        <c:v>0</c:v>
                      </c:pt>
                      <c:pt idx="8">
                        <c:v>0</c:v>
                      </c:pt>
                    </c:numCache>
                  </c:numRef>
                </c:val>
                <c:extLst xmlns:c15="http://schemas.microsoft.com/office/drawing/2012/chart">
                  <c:ext xmlns:c16="http://schemas.microsoft.com/office/drawing/2014/chart" uri="{C3380CC4-5D6E-409C-BE32-E72D297353CC}">
                    <c16:uniqueId val="{00000018-25D1-4B24-A4BB-C7EEA7F68D56}"/>
                  </c:ext>
                </c:extLst>
              </c15:ser>
            </c15:filteredBarSeries>
            <c15:filteredBarSeries>
              <c15:ser>
                <c:idx val="22"/>
                <c:order val="22"/>
                <c:tx>
                  <c:strRef>
                    <c:extLst xmlns:c15="http://schemas.microsoft.com/office/drawing/2012/chart">
                      <c:ext xmlns:c15="http://schemas.microsoft.com/office/drawing/2012/chart" uri="{02D57815-91ED-43cb-92C2-25804820EDAC}">
                        <c15:formulaRef>
                          <c15:sqref>Mittelwerte!$Z$2</c15:sqref>
                        </c15:formulaRef>
                      </c:ext>
                    </c:extLst>
                    <c:strCache>
                      <c:ptCount val="1"/>
                      <c:pt idx="0">
                        <c:v>br-PFHpA </c:v>
                      </c:pt>
                    </c:strCache>
                  </c:strRef>
                </c:tx>
                <c:spPr>
                  <a:solidFill>
                    <a:schemeClr val="accent5">
                      <a:lumMod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Mittelwerte!$B$43:$C$148</c15:sqref>
                        </c15:fullRef>
                        <c15:formulaRef>
                          <c15:sqref>Mittelwerte!$B$80:$C$88</c15:sqref>
                        </c15:formulaRef>
                      </c:ext>
                    </c:extLst>
                    <c:multiLvlStrCache>
                      <c:ptCount val="9"/>
                      <c:lvl>
                        <c:pt idx="0">
                          <c:v>1</c:v>
                        </c:pt>
                        <c:pt idx="1">
                          <c:v>5</c:v>
                        </c:pt>
                        <c:pt idx="2">
                          <c:v>17</c:v>
                        </c:pt>
                        <c:pt idx="3">
                          <c:v>38</c:v>
                        </c:pt>
                        <c:pt idx="4">
                          <c:v>57</c:v>
                        </c:pt>
                        <c:pt idx="5">
                          <c:v>61</c:v>
                        </c:pt>
                        <c:pt idx="6">
                          <c:v>73</c:v>
                        </c:pt>
                        <c:pt idx="7">
                          <c:v>101</c:v>
                        </c:pt>
                        <c:pt idx="8">
                          <c:v>136</c:v>
                        </c:pt>
                      </c:lvl>
                      <c:lvl>
                        <c:pt idx="0">
                          <c:v>Serum</c:v>
                        </c:pt>
                      </c:lvl>
                    </c:multiLvlStrCache>
                  </c:multiLvlStrRef>
                </c:cat>
                <c:val>
                  <c:numRef>
                    <c:extLst>
                      <c:ext xmlns:c15="http://schemas.microsoft.com/office/drawing/2012/chart" uri="{02D57815-91ED-43cb-92C2-25804820EDAC}">
                        <c15:fullRef>
                          <c15:sqref>Mittelwerte!$Z$43:$Z$148</c15:sqref>
                        </c15:fullRef>
                        <c15:formulaRef>
                          <c15:sqref>Mittelwerte!$Z$80:$Z$88</c15:sqref>
                        </c15:formulaRef>
                      </c:ext>
                    </c:extLst>
                    <c:numCache>
                      <c:formatCode>0.00</c:formatCode>
                      <c:ptCount val="9"/>
                      <c:pt idx="0">
                        <c:v>0</c:v>
                      </c:pt>
                      <c:pt idx="1">
                        <c:v>0</c:v>
                      </c:pt>
                      <c:pt idx="2">
                        <c:v>0</c:v>
                      </c:pt>
                      <c:pt idx="3">
                        <c:v>0</c:v>
                      </c:pt>
                      <c:pt idx="4">
                        <c:v>0</c:v>
                      </c:pt>
                      <c:pt idx="5">
                        <c:v>0</c:v>
                      </c:pt>
                      <c:pt idx="6">
                        <c:v>0</c:v>
                      </c:pt>
                      <c:pt idx="7">
                        <c:v>0</c:v>
                      </c:pt>
                      <c:pt idx="8">
                        <c:v>0</c:v>
                      </c:pt>
                    </c:numCache>
                  </c:numRef>
                </c:val>
                <c:extLst xmlns:c15="http://schemas.microsoft.com/office/drawing/2012/chart">
                  <c:ext xmlns:c16="http://schemas.microsoft.com/office/drawing/2014/chart" uri="{C3380CC4-5D6E-409C-BE32-E72D297353CC}">
                    <c16:uniqueId val="{00000019-25D1-4B24-A4BB-C7EEA7F68D56}"/>
                  </c:ext>
                </c:extLst>
              </c15:ser>
            </c15:filteredBarSeries>
            <c15:filteredBarSeries>
              <c15:ser>
                <c:idx val="23"/>
                <c:order val="23"/>
                <c:tx>
                  <c:strRef>
                    <c:extLst xmlns:c15="http://schemas.microsoft.com/office/drawing/2012/chart">
                      <c:ext xmlns:c15="http://schemas.microsoft.com/office/drawing/2012/chart" uri="{02D57815-91ED-43cb-92C2-25804820EDAC}">
                        <c15:formulaRef>
                          <c15:sqref>Mittelwerte!$AA$2</c15:sqref>
                        </c15:formulaRef>
                      </c:ext>
                    </c:extLst>
                    <c:strCache>
                      <c:ptCount val="1"/>
                      <c:pt idx="0">
                        <c:v>br-PFOA </c:v>
                      </c:pt>
                    </c:strCache>
                  </c:strRef>
                </c:tx>
                <c:spPr>
                  <a:solidFill>
                    <a:schemeClr val="accent6">
                      <a:lumMod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Mittelwerte!$B$43:$C$148</c15:sqref>
                        </c15:fullRef>
                        <c15:formulaRef>
                          <c15:sqref>Mittelwerte!$B$80:$C$88</c15:sqref>
                        </c15:formulaRef>
                      </c:ext>
                    </c:extLst>
                    <c:multiLvlStrCache>
                      <c:ptCount val="9"/>
                      <c:lvl>
                        <c:pt idx="0">
                          <c:v>1</c:v>
                        </c:pt>
                        <c:pt idx="1">
                          <c:v>5</c:v>
                        </c:pt>
                        <c:pt idx="2">
                          <c:v>17</c:v>
                        </c:pt>
                        <c:pt idx="3">
                          <c:v>38</c:v>
                        </c:pt>
                        <c:pt idx="4">
                          <c:v>57</c:v>
                        </c:pt>
                        <c:pt idx="5">
                          <c:v>61</c:v>
                        </c:pt>
                        <c:pt idx="6">
                          <c:v>73</c:v>
                        </c:pt>
                        <c:pt idx="7">
                          <c:v>101</c:v>
                        </c:pt>
                        <c:pt idx="8">
                          <c:v>136</c:v>
                        </c:pt>
                      </c:lvl>
                      <c:lvl>
                        <c:pt idx="0">
                          <c:v>Serum</c:v>
                        </c:pt>
                      </c:lvl>
                    </c:multiLvlStrCache>
                  </c:multiLvlStrRef>
                </c:cat>
                <c:val>
                  <c:numRef>
                    <c:extLst>
                      <c:ext xmlns:c15="http://schemas.microsoft.com/office/drawing/2012/chart" uri="{02D57815-91ED-43cb-92C2-25804820EDAC}">
                        <c15:fullRef>
                          <c15:sqref>Mittelwerte!$AA$43:$AA$148</c15:sqref>
                        </c15:fullRef>
                        <c15:formulaRef>
                          <c15:sqref>Mittelwerte!$AA$80:$AA$88</c15:sqref>
                        </c15:formulaRef>
                      </c:ext>
                    </c:extLst>
                    <c:numCache>
                      <c:formatCode>0.00</c:formatCode>
                      <c:ptCount val="9"/>
                      <c:pt idx="0">
                        <c:v>0</c:v>
                      </c:pt>
                      <c:pt idx="1">
                        <c:v>0</c:v>
                      </c:pt>
                      <c:pt idx="2">
                        <c:v>0.7636666666666666</c:v>
                      </c:pt>
                      <c:pt idx="3">
                        <c:v>0</c:v>
                      </c:pt>
                      <c:pt idx="4">
                        <c:v>0</c:v>
                      </c:pt>
                      <c:pt idx="5">
                        <c:v>0</c:v>
                      </c:pt>
                      <c:pt idx="6">
                        <c:v>0</c:v>
                      </c:pt>
                      <c:pt idx="7">
                        <c:v>0</c:v>
                      </c:pt>
                      <c:pt idx="8">
                        <c:v>0</c:v>
                      </c:pt>
                    </c:numCache>
                  </c:numRef>
                </c:val>
                <c:extLst xmlns:c15="http://schemas.microsoft.com/office/drawing/2012/chart">
                  <c:ext xmlns:c16="http://schemas.microsoft.com/office/drawing/2014/chart" uri="{C3380CC4-5D6E-409C-BE32-E72D297353CC}">
                    <c16:uniqueId val="{0000001A-25D1-4B24-A4BB-C7EEA7F68D56}"/>
                  </c:ext>
                </c:extLst>
              </c15:ser>
            </c15:filteredBarSeries>
            <c15:filteredBarSeries>
              <c15:ser>
                <c:idx val="24"/>
                <c:order val="24"/>
                <c:tx>
                  <c:strRef>
                    <c:extLst xmlns:c15="http://schemas.microsoft.com/office/drawing/2012/chart">
                      <c:ext xmlns:c15="http://schemas.microsoft.com/office/drawing/2012/chart" uri="{02D57815-91ED-43cb-92C2-25804820EDAC}">
                        <c15:formulaRef>
                          <c15:sqref>Mittelwerte!$AB$2</c15:sqref>
                        </c15:formulaRef>
                      </c:ext>
                    </c:extLst>
                    <c:strCache>
                      <c:ptCount val="1"/>
                      <c:pt idx="0">
                        <c:v>br-PFNA </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Mittelwerte!$B$43:$C$148</c15:sqref>
                        </c15:fullRef>
                        <c15:formulaRef>
                          <c15:sqref>Mittelwerte!$B$80:$C$88</c15:sqref>
                        </c15:formulaRef>
                      </c:ext>
                    </c:extLst>
                    <c:multiLvlStrCache>
                      <c:ptCount val="9"/>
                      <c:lvl>
                        <c:pt idx="0">
                          <c:v>1</c:v>
                        </c:pt>
                        <c:pt idx="1">
                          <c:v>5</c:v>
                        </c:pt>
                        <c:pt idx="2">
                          <c:v>17</c:v>
                        </c:pt>
                        <c:pt idx="3">
                          <c:v>38</c:v>
                        </c:pt>
                        <c:pt idx="4">
                          <c:v>57</c:v>
                        </c:pt>
                        <c:pt idx="5">
                          <c:v>61</c:v>
                        </c:pt>
                        <c:pt idx="6">
                          <c:v>73</c:v>
                        </c:pt>
                        <c:pt idx="7">
                          <c:v>101</c:v>
                        </c:pt>
                        <c:pt idx="8">
                          <c:v>136</c:v>
                        </c:pt>
                      </c:lvl>
                      <c:lvl>
                        <c:pt idx="0">
                          <c:v>Serum</c:v>
                        </c:pt>
                      </c:lvl>
                    </c:multiLvlStrCache>
                  </c:multiLvlStrRef>
                </c:cat>
                <c:val>
                  <c:numRef>
                    <c:extLst>
                      <c:ext xmlns:c15="http://schemas.microsoft.com/office/drawing/2012/chart" uri="{02D57815-91ED-43cb-92C2-25804820EDAC}">
                        <c15:fullRef>
                          <c15:sqref>Mittelwerte!$AB$43:$AB$148</c15:sqref>
                        </c15:fullRef>
                        <c15:formulaRef>
                          <c15:sqref>Mittelwerte!$AB$80:$AB$88</c15:sqref>
                        </c15:formulaRef>
                      </c:ext>
                    </c:extLst>
                    <c:numCache>
                      <c:formatCode>0.00</c:formatCode>
                      <c:ptCount val="9"/>
                      <c:pt idx="0">
                        <c:v>0</c:v>
                      </c:pt>
                      <c:pt idx="1">
                        <c:v>0</c:v>
                      </c:pt>
                      <c:pt idx="2">
                        <c:v>0</c:v>
                      </c:pt>
                      <c:pt idx="3">
                        <c:v>0</c:v>
                      </c:pt>
                      <c:pt idx="4">
                        <c:v>0</c:v>
                      </c:pt>
                      <c:pt idx="5">
                        <c:v>0</c:v>
                      </c:pt>
                      <c:pt idx="6">
                        <c:v>0</c:v>
                      </c:pt>
                      <c:pt idx="7">
                        <c:v>0</c:v>
                      </c:pt>
                      <c:pt idx="8">
                        <c:v>0</c:v>
                      </c:pt>
                    </c:numCache>
                  </c:numRef>
                </c:val>
                <c:extLst xmlns:c15="http://schemas.microsoft.com/office/drawing/2012/chart">
                  <c:ext xmlns:c16="http://schemas.microsoft.com/office/drawing/2014/chart" uri="{C3380CC4-5D6E-409C-BE32-E72D297353CC}">
                    <c16:uniqueId val="{0000001B-25D1-4B24-A4BB-C7EEA7F68D56}"/>
                  </c:ext>
                </c:extLst>
              </c15:ser>
            </c15:filteredBarSeries>
            <c15:filteredBarSeries>
              <c15:ser>
                <c:idx val="25"/>
                <c:order val="25"/>
                <c:tx>
                  <c:strRef>
                    <c:extLst xmlns:c15="http://schemas.microsoft.com/office/drawing/2012/chart">
                      <c:ext xmlns:c15="http://schemas.microsoft.com/office/drawing/2012/chart" uri="{02D57815-91ED-43cb-92C2-25804820EDAC}">
                        <c15:formulaRef>
                          <c15:sqref>Mittelwerte!$AC$2</c15:sqref>
                        </c15:formulaRef>
                      </c:ext>
                    </c:extLst>
                    <c:strCache>
                      <c:ptCount val="1"/>
                      <c:pt idx="0">
                        <c:v>br-PFDA </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Mittelwerte!$B$43:$C$148</c15:sqref>
                        </c15:fullRef>
                        <c15:formulaRef>
                          <c15:sqref>Mittelwerte!$B$80:$C$88</c15:sqref>
                        </c15:formulaRef>
                      </c:ext>
                    </c:extLst>
                    <c:multiLvlStrCache>
                      <c:ptCount val="9"/>
                      <c:lvl>
                        <c:pt idx="0">
                          <c:v>1</c:v>
                        </c:pt>
                        <c:pt idx="1">
                          <c:v>5</c:v>
                        </c:pt>
                        <c:pt idx="2">
                          <c:v>17</c:v>
                        </c:pt>
                        <c:pt idx="3">
                          <c:v>38</c:v>
                        </c:pt>
                        <c:pt idx="4">
                          <c:v>57</c:v>
                        </c:pt>
                        <c:pt idx="5">
                          <c:v>61</c:v>
                        </c:pt>
                        <c:pt idx="6">
                          <c:v>73</c:v>
                        </c:pt>
                        <c:pt idx="7">
                          <c:v>101</c:v>
                        </c:pt>
                        <c:pt idx="8">
                          <c:v>136</c:v>
                        </c:pt>
                      </c:lvl>
                      <c:lvl>
                        <c:pt idx="0">
                          <c:v>Serum</c:v>
                        </c:pt>
                      </c:lvl>
                    </c:multiLvlStrCache>
                  </c:multiLvlStrRef>
                </c:cat>
                <c:val>
                  <c:numRef>
                    <c:extLst>
                      <c:ext xmlns:c15="http://schemas.microsoft.com/office/drawing/2012/chart" uri="{02D57815-91ED-43cb-92C2-25804820EDAC}">
                        <c15:fullRef>
                          <c15:sqref>Mittelwerte!$AC$43:$AC$148</c15:sqref>
                        </c15:fullRef>
                        <c15:formulaRef>
                          <c15:sqref>Mittelwerte!$AC$80:$AC$88</c15:sqref>
                        </c15:formulaRef>
                      </c:ext>
                    </c:extLst>
                    <c:numCache>
                      <c:formatCode>0.00</c:formatCode>
                      <c:ptCount val="9"/>
                      <c:pt idx="0">
                        <c:v>0</c:v>
                      </c:pt>
                      <c:pt idx="1">
                        <c:v>0</c:v>
                      </c:pt>
                      <c:pt idx="2">
                        <c:v>0</c:v>
                      </c:pt>
                      <c:pt idx="3">
                        <c:v>0</c:v>
                      </c:pt>
                      <c:pt idx="4">
                        <c:v>0</c:v>
                      </c:pt>
                      <c:pt idx="5">
                        <c:v>0</c:v>
                      </c:pt>
                      <c:pt idx="6">
                        <c:v>0</c:v>
                      </c:pt>
                      <c:pt idx="7">
                        <c:v>0</c:v>
                      </c:pt>
                      <c:pt idx="8">
                        <c:v>0</c:v>
                      </c:pt>
                    </c:numCache>
                  </c:numRef>
                </c:val>
                <c:extLst xmlns:c15="http://schemas.microsoft.com/office/drawing/2012/chart">
                  <c:ext xmlns:c16="http://schemas.microsoft.com/office/drawing/2014/chart" uri="{C3380CC4-5D6E-409C-BE32-E72D297353CC}">
                    <c16:uniqueId val="{0000001C-25D1-4B24-A4BB-C7EEA7F68D56}"/>
                  </c:ext>
                </c:extLst>
              </c15:ser>
            </c15:filteredBarSeries>
            <c15:filteredBarSeries>
              <c15:ser>
                <c:idx val="26"/>
                <c:order val="26"/>
                <c:tx>
                  <c:strRef>
                    <c:extLst xmlns:c15="http://schemas.microsoft.com/office/drawing/2012/chart">
                      <c:ext xmlns:c15="http://schemas.microsoft.com/office/drawing/2012/chart" uri="{02D57815-91ED-43cb-92C2-25804820EDAC}">
                        <c15:formulaRef>
                          <c15:sqref>Mittelwerte!$AD$2</c15:sqref>
                        </c15:formulaRef>
                      </c:ext>
                    </c:extLst>
                    <c:strCache>
                      <c:ptCount val="1"/>
                      <c:pt idx="0">
                        <c:v>br-PFUnDA </c:v>
                      </c:pt>
                    </c:strCache>
                  </c:strRef>
                </c:tx>
                <c:spPr>
                  <a:solidFill>
                    <a:schemeClr val="accent3">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Mittelwerte!$B$43:$C$148</c15:sqref>
                        </c15:fullRef>
                        <c15:formulaRef>
                          <c15:sqref>Mittelwerte!$B$80:$C$88</c15:sqref>
                        </c15:formulaRef>
                      </c:ext>
                    </c:extLst>
                    <c:multiLvlStrCache>
                      <c:ptCount val="9"/>
                      <c:lvl>
                        <c:pt idx="0">
                          <c:v>1</c:v>
                        </c:pt>
                        <c:pt idx="1">
                          <c:v>5</c:v>
                        </c:pt>
                        <c:pt idx="2">
                          <c:v>17</c:v>
                        </c:pt>
                        <c:pt idx="3">
                          <c:v>38</c:v>
                        </c:pt>
                        <c:pt idx="4">
                          <c:v>57</c:v>
                        </c:pt>
                        <c:pt idx="5">
                          <c:v>61</c:v>
                        </c:pt>
                        <c:pt idx="6">
                          <c:v>73</c:v>
                        </c:pt>
                        <c:pt idx="7">
                          <c:v>101</c:v>
                        </c:pt>
                        <c:pt idx="8">
                          <c:v>136</c:v>
                        </c:pt>
                      </c:lvl>
                      <c:lvl>
                        <c:pt idx="0">
                          <c:v>Serum</c:v>
                        </c:pt>
                      </c:lvl>
                    </c:multiLvlStrCache>
                  </c:multiLvlStrRef>
                </c:cat>
                <c:val>
                  <c:numRef>
                    <c:extLst>
                      <c:ext xmlns:c15="http://schemas.microsoft.com/office/drawing/2012/chart" uri="{02D57815-91ED-43cb-92C2-25804820EDAC}">
                        <c15:fullRef>
                          <c15:sqref>Mittelwerte!$AD$43:$AD$148</c15:sqref>
                        </c15:fullRef>
                        <c15:formulaRef>
                          <c15:sqref>Mittelwerte!$AD$80:$AD$88</c15:sqref>
                        </c15:formulaRef>
                      </c:ext>
                    </c:extLst>
                    <c:numCache>
                      <c:formatCode>0.00</c:formatCode>
                      <c:ptCount val="9"/>
                      <c:pt idx="0">
                        <c:v>0</c:v>
                      </c:pt>
                      <c:pt idx="1">
                        <c:v>0</c:v>
                      </c:pt>
                      <c:pt idx="2">
                        <c:v>0</c:v>
                      </c:pt>
                      <c:pt idx="3">
                        <c:v>0</c:v>
                      </c:pt>
                      <c:pt idx="4">
                        <c:v>0</c:v>
                      </c:pt>
                      <c:pt idx="5">
                        <c:v>0</c:v>
                      </c:pt>
                      <c:pt idx="6">
                        <c:v>0</c:v>
                      </c:pt>
                      <c:pt idx="7">
                        <c:v>0</c:v>
                      </c:pt>
                      <c:pt idx="8">
                        <c:v>0</c:v>
                      </c:pt>
                    </c:numCache>
                  </c:numRef>
                </c:val>
                <c:extLst xmlns:c15="http://schemas.microsoft.com/office/drawing/2012/chart">
                  <c:ext xmlns:c16="http://schemas.microsoft.com/office/drawing/2014/chart" uri="{C3380CC4-5D6E-409C-BE32-E72D297353CC}">
                    <c16:uniqueId val="{0000001D-25D1-4B24-A4BB-C7EEA7F68D56}"/>
                  </c:ext>
                </c:extLst>
              </c15:ser>
            </c15:filteredBarSeries>
            <c15:filteredBarSeries>
              <c15:ser>
                <c:idx val="27"/>
                <c:order val="27"/>
                <c:tx>
                  <c:strRef>
                    <c:extLst xmlns:c15="http://schemas.microsoft.com/office/drawing/2012/chart">
                      <c:ext xmlns:c15="http://schemas.microsoft.com/office/drawing/2012/chart" uri="{02D57815-91ED-43cb-92C2-25804820EDAC}">
                        <c15:formulaRef>
                          <c15:sqref>Mittelwerte!$AE$2</c15:sqref>
                        </c15:formulaRef>
                      </c:ext>
                    </c:extLst>
                    <c:strCache>
                      <c:ptCount val="1"/>
                      <c:pt idx="0">
                        <c:v>br-PFDoDA </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Mittelwerte!$B$43:$C$148</c15:sqref>
                        </c15:fullRef>
                        <c15:formulaRef>
                          <c15:sqref>Mittelwerte!$B$80:$C$88</c15:sqref>
                        </c15:formulaRef>
                      </c:ext>
                    </c:extLst>
                    <c:multiLvlStrCache>
                      <c:ptCount val="9"/>
                      <c:lvl>
                        <c:pt idx="0">
                          <c:v>1</c:v>
                        </c:pt>
                        <c:pt idx="1">
                          <c:v>5</c:v>
                        </c:pt>
                        <c:pt idx="2">
                          <c:v>17</c:v>
                        </c:pt>
                        <c:pt idx="3">
                          <c:v>38</c:v>
                        </c:pt>
                        <c:pt idx="4">
                          <c:v>57</c:v>
                        </c:pt>
                        <c:pt idx="5">
                          <c:v>61</c:v>
                        </c:pt>
                        <c:pt idx="6">
                          <c:v>73</c:v>
                        </c:pt>
                        <c:pt idx="7">
                          <c:v>101</c:v>
                        </c:pt>
                        <c:pt idx="8">
                          <c:v>136</c:v>
                        </c:pt>
                      </c:lvl>
                      <c:lvl>
                        <c:pt idx="0">
                          <c:v>Serum</c:v>
                        </c:pt>
                      </c:lvl>
                    </c:multiLvlStrCache>
                  </c:multiLvlStrRef>
                </c:cat>
                <c:val>
                  <c:numRef>
                    <c:extLst>
                      <c:ext xmlns:c15="http://schemas.microsoft.com/office/drawing/2012/chart" uri="{02D57815-91ED-43cb-92C2-25804820EDAC}">
                        <c15:fullRef>
                          <c15:sqref>Mittelwerte!$AE$43:$AE$148</c15:sqref>
                        </c15:fullRef>
                        <c15:formulaRef>
                          <c15:sqref>Mittelwerte!$AE$80:$AE$88</c15:sqref>
                        </c15:formulaRef>
                      </c:ext>
                    </c:extLst>
                    <c:numCache>
                      <c:formatCode>0.00</c:formatCode>
                      <c:ptCount val="9"/>
                      <c:pt idx="0">
                        <c:v>0</c:v>
                      </c:pt>
                      <c:pt idx="1">
                        <c:v>0</c:v>
                      </c:pt>
                      <c:pt idx="2">
                        <c:v>0</c:v>
                      </c:pt>
                      <c:pt idx="3">
                        <c:v>0</c:v>
                      </c:pt>
                      <c:pt idx="4">
                        <c:v>0</c:v>
                      </c:pt>
                      <c:pt idx="5">
                        <c:v>0</c:v>
                      </c:pt>
                      <c:pt idx="6">
                        <c:v>0</c:v>
                      </c:pt>
                      <c:pt idx="7">
                        <c:v>0</c:v>
                      </c:pt>
                      <c:pt idx="8">
                        <c:v>0</c:v>
                      </c:pt>
                    </c:numCache>
                  </c:numRef>
                </c:val>
                <c:extLst xmlns:c15="http://schemas.microsoft.com/office/drawing/2012/chart">
                  <c:ext xmlns:c16="http://schemas.microsoft.com/office/drawing/2014/chart" uri="{C3380CC4-5D6E-409C-BE32-E72D297353CC}">
                    <c16:uniqueId val="{0000001E-25D1-4B24-A4BB-C7EEA7F68D56}"/>
                  </c:ext>
                </c:extLst>
              </c15:ser>
            </c15:filteredBarSeries>
            <c15:filteredBarSeries>
              <c15:ser>
                <c:idx val="28"/>
                <c:order val="28"/>
                <c:tx>
                  <c:strRef>
                    <c:extLst xmlns:c15="http://schemas.microsoft.com/office/drawing/2012/chart">
                      <c:ext xmlns:c15="http://schemas.microsoft.com/office/drawing/2012/chart" uri="{02D57815-91ED-43cb-92C2-25804820EDAC}">
                        <c15:formulaRef>
                          <c15:sqref>Mittelwerte!$AF$2</c15:sqref>
                        </c15:formulaRef>
                      </c:ext>
                    </c:extLst>
                    <c:strCache>
                      <c:ptCount val="1"/>
                      <c:pt idx="0">
                        <c:v>br-PFTrDA </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Mittelwerte!$B$43:$C$148</c15:sqref>
                        </c15:fullRef>
                        <c15:formulaRef>
                          <c15:sqref>Mittelwerte!$B$80:$C$88</c15:sqref>
                        </c15:formulaRef>
                      </c:ext>
                    </c:extLst>
                    <c:multiLvlStrCache>
                      <c:ptCount val="9"/>
                      <c:lvl>
                        <c:pt idx="0">
                          <c:v>1</c:v>
                        </c:pt>
                        <c:pt idx="1">
                          <c:v>5</c:v>
                        </c:pt>
                        <c:pt idx="2">
                          <c:v>17</c:v>
                        </c:pt>
                        <c:pt idx="3">
                          <c:v>38</c:v>
                        </c:pt>
                        <c:pt idx="4">
                          <c:v>57</c:v>
                        </c:pt>
                        <c:pt idx="5">
                          <c:v>61</c:v>
                        </c:pt>
                        <c:pt idx="6">
                          <c:v>73</c:v>
                        </c:pt>
                        <c:pt idx="7">
                          <c:v>101</c:v>
                        </c:pt>
                        <c:pt idx="8">
                          <c:v>136</c:v>
                        </c:pt>
                      </c:lvl>
                      <c:lvl>
                        <c:pt idx="0">
                          <c:v>Serum</c:v>
                        </c:pt>
                      </c:lvl>
                    </c:multiLvlStrCache>
                  </c:multiLvlStrRef>
                </c:cat>
                <c:val>
                  <c:numRef>
                    <c:extLst>
                      <c:ext xmlns:c15="http://schemas.microsoft.com/office/drawing/2012/chart" uri="{02D57815-91ED-43cb-92C2-25804820EDAC}">
                        <c15:fullRef>
                          <c15:sqref>Mittelwerte!$AF$43:$AF$148</c15:sqref>
                        </c15:fullRef>
                        <c15:formulaRef>
                          <c15:sqref>Mittelwerte!$AF$80:$AF$88</c15:sqref>
                        </c15:formulaRef>
                      </c:ext>
                    </c:extLst>
                    <c:numCache>
                      <c:formatCode>0.00</c:formatCode>
                      <c:ptCount val="9"/>
                      <c:pt idx="0">
                        <c:v>0</c:v>
                      </c:pt>
                      <c:pt idx="1">
                        <c:v>0</c:v>
                      </c:pt>
                      <c:pt idx="2">
                        <c:v>0</c:v>
                      </c:pt>
                      <c:pt idx="3">
                        <c:v>0</c:v>
                      </c:pt>
                      <c:pt idx="4">
                        <c:v>0</c:v>
                      </c:pt>
                      <c:pt idx="5">
                        <c:v>0</c:v>
                      </c:pt>
                      <c:pt idx="6">
                        <c:v>0</c:v>
                      </c:pt>
                      <c:pt idx="7">
                        <c:v>0</c:v>
                      </c:pt>
                      <c:pt idx="8">
                        <c:v>0</c:v>
                      </c:pt>
                    </c:numCache>
                  </c:numRef>
                </c:val>
                <c:extLst xmlns:c15="http://schemas.microsoft.com/office/drawing/2012/chart">
                  <c:ext xmlns:c16="http://schemas.microsoft.com/office/drawing/2014/chart" uri="{C3380CC4-5D6E-409C-BE32-E72D297353CC}">
                    <c16:uniqueId val="{0000001F-25D1-4B24-A4BB-C7EEA7F68D56}"/>
                  </c:ext>
                </c:extLst>
              </c15:ser>
            </c15:filteredBarSeries>
            <c15:filteredBarSeries>
              <c15:ser>
                <c:idx val="29"/>
                <c:order val="29"/>
                <c:tx>
                  <c:strRef>
                    <c:extLst xmlns:c15="http://schemas.microsoft.com/office/drawing/2012/chart">
                      <c:ext xmlns:c15="http://schemas.microsoft.com/office/drawing/2012/chart" uri="{02D57815-91ED-43cb-92C2-25804820EDAC}">
                        <c15:formulaRef>
                          <c15:sqref>Mittelwerte!$AG$2</c15:sqref>
                        </c15:formulaRef>
                      </c:ext>
                    </c:extLst>
                    <c:strCache>
                      <c:ptCount val="1"/>
                      <c:pt idx="0">
                        <c:v>br-PFTeDA </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Mittelwerte!$B$43:$C$148</c15:sqref>
                        </c15:fullRef>
                        <c15:formulaRef>
                          <c15:sqref>Mittelwerte!$B$80:$C$88</c15:sqref>
                        </c15:formulaRef>
                      </c:ext>
                    </c:extLst>
                    <c:multiLvlStrCache>
                      <c:ptCount val="9"/>
                      <c:lvl>
                        <c:pt idx="0">
                          <c:v>1</c:v>
                        </c:pt>
                        <c:pt idx="1">
                          <c:v>5</c:v>
                        </c:pt>
                        <c:pt idx="2">
                          <c:v>17</c:v>
                        </c:pt>
                        <c:pt idx="3">
                          <c:v>38</c:v>
                        </c:pt>
                        <c:pt idx="4">
                          <c:v>57</c:v>
                        </c:pt>
                        <c:pt idx="5">
                          <c:v>61</c:v>
                        </c:pt>
                        <c:pt idx="6">
                          <c:v>73</c:v>
                        </c:pt>
                        <c:pt idx="7">
                          <c:v>101</c:v>
                        </c:pt>
                        <c:pt idx="8">
                          <c:v>136</c:v>
                        </c:pt>
                      </c:lvl>
                      <c:lvl>
                        <c:pt idx="0">
                          <c:v>Serum</c:v>
                        </c:pt>
                      </c:lvl>
                    </c:multiLvlStrCache>
                  </c:multiLvlStrRef>
                </c:cat>
                <c:val>
                  <c:numRef>
                    <c:extLst>
                      <c:ext xmlns:c15="http://schemas.microsoft.com/office/drawing/2012/chart" uri="{02D57815-91ED-43cb-92C2-25804820EDAC}">
                        <c15:fullRef>
                          <c15:sqref>Mittelwerte!$AG$43:$AG$148</c15:sqref>
                        </c15:fullRef>
                        <c15:formulaRef>
                          <c15:sqref>Mittelwerte!$AG$80:$AG$88</c15:sqref>
                        </c15:formulaRef>
                      </c:ext>
                    </c:extLst>
                    <c:numCache>
                      <c:formatCode>0.00</c:formatCode>
                      <c:ptCount val="9"/>
                      <c:pt idx="0">
                        <c:v>0</c:v>
                      </c:pt>
                      <c:pt idx="1">
                        <c:v>0</c:v>
                      </c:pt>
                      <c:pt idx="2">
                        <c:v>0</c:v>
                      </c:pt>
                      <c:pt idx="3">
                        <c:v>0</c:v>
                      </c:pt>
                      <c:pt idx="4">
                        <c:v>0</c:v>
                      </c:pt>
                      <c:pt idx="5">
                        <c:v>0</c:v>
                      </c:pt>
                      <c:pt idx="6">
                        <c:v>0</c:v>
                      </c:pt>
                      <c:pt idx="7">
                        <c:v>0</c:v>
                      </c:pt>
                      <c:pt idx="8">
                        <c:v>0</c:v>
                      </c:pt>
                    </c:numCache>
                  </c:numRef>
                </c:val>
                <c:extLst xmlns:c15="http://schemas.microsoft.com/office/drawing/2012/chart">
                  <c:ext xmlns:c16="http://schemas.microsoft.com/office/drawing/2014/chart" uri="{C3380CC4-5D6E-409C-BE32-E72D297353CC}">
                    <c16:uniqueId val="{00000020-25D1-4B24-A4BB-C7EEA7F68D56}"/>
                  </c:ext>
                </c:extLst>
              </c15:ser>
            </c15:filteredBarSeries>
            <c15:filteredBarSeries>
              <c15:ser>
                <c:idx val="30"/>
                <c:order val="30"/>
                <c:tx>
                  <c:strRef>
                    <c:extLst xmlns:c15="http://schemas.microsoft.com/office/drawing/2012/chart">
                      <c:ext xmlns:c15="http://schemas.microsoft.com/office/drawing/2012/chart" uri="{02D57815-91ED-43cb-92C2-25804820EDAC}">
                        <c15:formulaRef>
                          <c15:sqref>Mittelwerte!$AH$2</c15:sqref>
                        </c15:formulaRef>
                      </c:ext>
                    </c:extLst>
                    <c:strCache>
                      <c:ptCount val="1"/>
                      <c:pt idx="0">
                        <c:v>br-PFHxS</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Mittelwerte!$B$43:$C$148</c15:sqref>
                        </c15:fullRef>
                        <c15:formulaRef>
                          <c15:sqref>Mittelwerte!$B$80:$C$88</c15:sqref>
                        </c15:formulaRef>
                      </c:ext>
                    </c:extLst>
                    <c:multiLvlStrCache>
                      <c:ptCount val="9"/>
                      <c:lvl>
                        <c:pt idx="0">
                          <c:v>1</c:v>
                        </c:pt>
                        <c:pt idx="1">
                          <c:v>5</c:v>
                        </c:pt>
                        <c:pt idx="2">
                          <c:v>17</c:v>
                        </c:pt>
                        <c:pt idx="3">
                          <c:v>38</c:v>
                        </c:pt>
                        <c:pt idx="4">
                          <c:v>57</c:v>
                        </c:pt>
                        <c:pt idx="5">
                          <c:v>61</c:v>
                        </c:pt>
                        <c:pt idx="6">
                          <c:v>73</c:v>
                        </c:pt>
                        <c:pt idx="7">
                          <c:v>101</c:v>
                        </c:pt>
                        <c:pt idx="8">
                          <c:v>136</c:v>
                        </c:pt>
                      </c:lvl>
                      <c:lvl>
                        <c:pt idx="0">
                          <c:v>Serum</c:v>
                        </c:pt>
                      </c:lvl>
                    </c:multiLvlStrCache>
                  </c:multiLvlStrRef>
                </c:cat>
                <c:val>
                  <c:numRef>
                    <c:extLst>
                      <c:ext xmlns:c15="http://schemas.microsoft.com/office/drawing/2012/chart" uri="{02D57815-91ED-43cb-92C2-25804820EDAC}">
                        <c15:fullRef>
                          <c15:sqref>Mittelwerte!$AH$43:$AH$148</c15:sqref>
                        </c15:fullRef>
                        <c15:formulaRef>
                          <c15:sqref>Mittelwerte!$AH$80:$AH$88</c15:sqref>
                        </c15:formulaRef>
                      </c:ext>
                    </c:extLst>
                    <c:numCache>
                      <c:formatCode>0.00</c:formatCode>
                      <c:ptCount val="9"/>
                      <c:pt idx="0">
                        <c:v>0</c:v>
                      </c:pt>
                      <c:pt idx="1">
                        <c:v>0</c:v>
                      </c:pt>
                      <c:pt idx="2">
                        <c:v>0</c:v>
                      </c:pt>
                      <c:pt idx="3">
                        <c:v>0</c:v>
                      </c:pt>
                      <c:pt idx="4">
                        <c:v>0</c:v>
                      </c:pt>
                      <c:pt idx="5">
                        <c:v>0</c:v>
                      </c:pt>
                      <c:pt idx="6">
                        <c:v>0</c:v>
                      </c:pt>
                      <c:pt idx="7">
                        <c:v>0</c:v>
                      </c:pt>
                      <c:pt idx="8">
                        <c:v>0</c:v>
                      </c:pt>
                    </c:numCache>
                  </c:numRef>
                </c:val>
                <c:extLst xmlns:c15="http://schemas.microsoft.com/office/drawing/2012/chart">
                  <c:ext xmlns:c16="http://schemas.microsoft.com/office/drawing/2014/chart" uri="{C3380CC4-5D6E-409C-BE32-E72D297353CC}">
                    <c16:uniqueId val="{00000021-25D1-4B24-A4BB-C7EEA7F68D56}"/>
                  </c:ext>
                </c:extLst>
              </c15:ser>
            </c15:filteredBarSeries>
            <c15:filteredBarSeries>
              <c15:ser>
                <c:idx val="31"/>
                <c:order val="31"/>
                <c:tx>
                  <c:strRef>
                    <c:extLst xmlns:c15="http://schemas.microsoft.com/office/drawing/2012/chart">
                      <c:ext xmlns:c15="http://schemas.microsoft.com/office/drawing/2012/chart" uri="{02D57815-91ED-43cb-92C2-25804820EDAC}">
                        <c15:formulaRef>
                          <c15:sqref>Mittelwerte!$AI$2</c15:sqref>
                        </c15:formulaRef>
                      </c:ext>
                    </c:extLst>
                    <c:strCache>
                      <c:ptCount val="1"/>
                      <c:pt idx="0">
                        <c:v>br-PFHpS</c:v>
                      </c:pt>
                    </c:strCache>
                  </c:strRef>
                </c:tx>
                <c:spPr>
                  <a:solidFill>
                    <a:schemeClr val="accent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Mittelwerte!$B$43:$C$148</c15:sqref>
                        </c15:fullRef>
                        <c15:formulaRef>
                          <c15:sqref>Mittelwerte!$B$80:$C$88</c15:sqref>
                        </c15:formulaRef>
                      </c:ext>
                    </c:extLst>
                    <c:multiLvlStrCache>
                      <c:ptCount val="9"/>
                      <c:lvl>
                        <c:pt idx="0">
                          <c:v>1</c:v>
                        </c:pt>
                        <c:pt idx="1">
                          <c:v>5</c:v>
                        </c:pt>
                        <c:pt idx="2">
                          <c:v>17</c:v>
                        </c:pt>
                        <c:pt idx="3">
                          <c:v>38</c:v>
                        </c:pt>
                        <c:pt idx="4">
                          <c:v>57</c:v>
                        </c:pt>
                        <c:pt idx="5">
                          <c:v>61</c:v>
                        </c:pt>
                        <c:pt idx="6">
                          <c:v>73</c:v>
                        </c:pt>
                        <c:pt idx="7">
                          <c:v>101</c:v>
                        </c:pt>
                        <c:pt idx="8">
                          <c:v>136</c:v>
                        </c:pt>
                      </c:lvl>
                      <c:lvl>
                        <c:pt idx="0">
                          <c:v>Serum</c:v>
                        </c:pt>
                      </c:lvl>
                    </c:multiLvlStrCache>
                  </c:multiLvlStrRef>
                </c:cat>
                <c:val>
                  <c:numRef>
                    <c:extLst>
                      <c:ext xmlns:c15="http://schemas.microsoft.com/office/drawing/2012/chart" uri="{02D57815-91ED-43cb-92C2-25804820EDAC}">
                        <c15:fullRef>
                          <c15:sqref>Mittelwerte!$AI$43:$AI$148</c15:sqref>
                        </c15:fullRef>
                        <c15:formulaRef>
                          <c15:sqref>Mittelwerte!$AI$80:$AI$88</c15:sqref>
                        </c15:formulaRef>
                      </c:ext>
                    </c:extLst>
                    <c:numCache>
                      <c:formatCode>0.00</c:formatCode>
                      <c:ptCount val="9"/>
                      <c:pt idx="0">
                        <c:v>0</c:v>
                      </c:pt>
                      <c:pt idx="1">
                        <c:v>0</c:v>
                      </c:pt>
                      <c:pt idx="2">
                        <c:v>0</c:v>
                      </c:pt>
                      <c:pt idx="3">
                        <c:v>0.59366666666666668</c:v>
                      </c:pt>
                      <c:pt idx="4">
                        <c:v>0.65450000000000008</c:v>
                      </c:pt>
                      <c:pt idx="5">
                        <c:v>0.58899999999999997</c:v>
                      </c:pt>
                      <c:pt idx="6">
                        <c:v>0</c:v>
                      </c:pt>
                      <c:pt idx="7">
                        <c:v>0</c:v>
                      </c:pt>
                      <c:pt idx="8">
                        <c:v>0</c:v>
                      </c:pt>
                    </c:numCache>
                  </c:numRef>
                </c:val>
                <c:extLst xmlns:c15="http://schemas.microsoft.com/office/drawing/2012/chart">
                  <c:ext xmlns:c16="http://schemas.microsoft.com/office/drawing/2014/chart" uri="{C3380CC4-5D6E-409C-BE32-E72D297353CC}">
                    <c16:uniqueId val="{00000022-25D1-4B24-A4BB-C7EEA7F68D56}"/>
                  </c:ext>
                </c:extLst>
              </c15:ser>
            </c15:filteredBarSeries>
            <c15:filteredBarSeries>
              <c15:ser>
                <c:idx val="32"/>
                <c:order val="32"/>
                <c:tx>
                  <c:strRef>
                    <c:extLst xmlns:c15="http://schemas.microsoft.com/office/drawing/2012/chart">
                      <c:ext xmlns:c15="http://schemas.microsoft.com/office/drawing/2012/chart" uri="{02D57815-91ED-43cb-92C2-25804820EDAC}">
                        <c15:formulaRef>
                          <c15:sqref>Mittelwerte!$AJ$2</c15:sqref>
                        </c15:formulaRef>
                      </c:ext>
                    </c:extLst>
                    <c:strCache>
                      <c:ptCount val="1"/>
                      <c:pt idx="0">
                        <c:v>br-PFOS </c:v>
                      </c:pt>
                    </c:strCache>
                  </c:strRef>
                </c:tx>
                <c:spPr>
                  <a:solidFill>
                    <a:schemeClr val="accent3">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Mittelwerte!$B$43:$C$148</c15:sqref>
                        </c15:fullRef>
                        <c15:formulaRef>
                          <c15:sqref>Mittelwerte!$B$80:$C$88</c15:sqref>
                        </c15:formulaRef>
                      </c:ext>
                    </c:extLst>
                    <c:multiLvlStrCache>
                      <c:ptCount val="9"/>
                      <c:lvl>
                        <c:pt idx="0">
                          <c:v>1</c:v>
                        </c:pt>
                        <c:pt idx="1">
                          <c:v>5</c:v>
                        </c:pt>
                        <c:pt idx="2">
                          <c:v>17</c:v>
                        </c:pt>
                        <c:pt idx="3">
                          <c:v>38</c:v>
                        </c:pt>
                        <c:pt idx="4">
                          <c:v>57</c:v>
                        </c:pt>
                        <c:pt idx="5">
                          <c:v>61</c:v>
                        </c:pt>
                        <c:pt idx="6">
                          <c:v>73</c:v>
                        </c:pt>
                        <c:pt idx="7">
                          <c:v>101</c:v>
                        </c:pt>
                        <c:pt idx="8">
                          <c:v>136</c:v>
                        </c:pt>
                      </c:lvl>
                      <c:lvl>
                        <c:pt idx="0">
                          <c:v>Serum</c:v>
                        </c:pt>
                      </c:lvl>
                    </c:multiLvlStrCache>
                  </c:multiLvlStrRef>
                </c:cat>
                <c:val>
                  <c:numRef>
                    <c:extLst>
                      <c:ext xmlns:c15="http://schemas.microsoft.com/office/drawing/2012/chart" uri="{02D57815-91ED-43cb-92C2-25804820EDAC}">
                        <c15:fullRef>
                          <c15:sqref>Mittelwerte!$AJ$43:$AJ$148</c15:sqref>
                        </c15:fullRef>
                        <c15:formulaRef>
                          <c15:sqref>Mittelwerte!$AJ$80:$AJ$88</c15:sqref>
                        </c15:formulaRef>
                      </c:ext>
                    </c:extLst>
                    <c:numCache>
                      <c:formatCode>0.00</c:formatCode>
                      <c:ptCount val="9"/>
                      <c:pt idx="0">
                        <c:v>0</c:v>
                      </c:pt>
                      <c:pt idx="1">
                        <c:v>1.7433333333333334</c:v>
                      </c:pt>
                      <c:pt idx="2">
                        <c:v>18.333333333333332</c:v>
                      </c:pt>
                      <c:pt idx="3">
                        <c:v>62.633333333333333</c:v>
                      </c:pt>
                      <c:pt idx="4">
                        <c:v>85.333333333333329</c:v>
                      </c:pt>
                      <c:pt idx="5">
                        <c:v>72.233333333333334</c:v>
                      </c:pt>
                      <c:pt idx="6">
                        <c:v>64.600000000000009</c:v>
                      </c:pt>
                      <c:pt idx="7">
                        <c:v>30.7</c:v>
                      </c:pt>
                      <c:pt idx="8">
                        <c:v>11.4</c:v>
                      </c:pt>
                    </c:numCache>
                  </c:numRef>
                </c:val>
                <c:extLst xmlns:c15="http://schemas.microsoft.com/office/drawing/2012/chart">
                  <c:ext xmlns:c16="http://schemas.microsoft.com/office/drawing/2014/chart" uri="{C3380CC4-5D6E-409C-BE32-E72D297353CC}">
                    <c16:uniqueId val="{00000023-25D1-4B24-A4BB-C7EEA7F68D56}"/>
                  </c:ext>
                </c:extLst>
              </c15:ser>
            </c15:filteredBarSeries>
            <c15:filteredBarSeries>
              <c15:ser>
                <c:idx val="33"/>
                <c:order val="33"/>
                <c:tx>
                  <c:strRef>
                    <c:extLst xmlns:c15="http://schemas.microsoft.com/office/drawing/2012/chart">
                      <c:ext xmlns:c15="http://schemas.microsoft.com/office/drawing/2012/chart" uri="{02D57815-91ED-43cb-92C2-25804820EDAC}">
                        <c15:formulaRef>
                          <c15:sqref>Mittelwerte!$AK$2</c15:sqref>
                        </c15:formulaRef>
                      </c:ext>
                    </c:extLst>
                    <c:strCache>
                      <c:ptCount val="1"/>
                      <c:pt idx="0">
                        <c:v>br-PFNS </c:v>
                      </c:pt>
                    </c:strCache>
                  </c:strRef>
                </c:tx>
                <c:spPr>
                  <a:solidFill>
                    <a:schemeClr val="accent4">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Mittelwerte!$B$43:$C$148</c15:sqref>
                        </c15:fullRef>
                        <c15:formulaRef>
                          <c15:sqref>Mittelwerte!$B$80:$C$88</c15:sqref>
                        </c15:formulaRef>
                      </c:ext>
                    </c:extLst>
                    <c:multiLvlStrCache>
                      <c:ptCount val="9"/>
                      <c:lvl>
                        <c:pt idx="0">
                          <c:v>1</c:v>
                        </c:pt>
                        <c:pt idx="1">
                          <c:v>5</c:v>
                        </c:pt>
                        <c:pt idx="2">
                          <c:v>17</c:v>
                        </c:pt>
                        <c:pt idx="3">
                          <c:v>38</c:v>
                        </c:pt>
                        <c:pt idx="4">
                          <c:v>57</c:v>
                        </c:pt>
                        <c:pt idx="5">
                          <c:v>61</c:v>
                        </c:pt>
                        <c:pt idx="6">
                          <c:v>73</c:v>
                        </c:pt>
                        <c:pt idx="7">
                          <c:v>101</c:v>
                        </c:pt>
                        <c:pt idx="8">
                          <c:v>136</c:v>
                        </c:pt>
                      </c:lvl>
                      <c:lvl>
                        <c:pt idx="0">
                          <c:v>Serum</c:v>
                        </c:pt>
                      </c:lvl>
                    </c:multiLvlStrCache>
                  </c:multiLvlStrRef>
                </c:cat>
                <c:val>
                  <c:numRef>
                    <c:extLst>
                      <c:ext xmlns:c15="http://schemas.microsoft.com/office/drawing/2012/chart" uri="{02D57815-91ED-43cb-92C2-25804820EDAC}">
                        <c15:fullRef>
                          <c15:sqref>Mittelwerte!$AK$43:$AK$148</c15:sqref>
                        </c15:fullRef>
                        <c15:formulaRef>
                          <c15:sqref>Mittelwerte!$AK$80:$AK$88</c15:sqref>
                        </c15:formulaRef>
                      </c:ext>
                    </c:extLst>
                    <c:numCache>
                      <c:formatCode>0.00</c:formatCode>
                      <c:ptCount val="9"/>
                      <c:pt idx="0">
                        <c:v>0</c:v>
                      </c:pt>
                      <c:pt idx="1">
                        <c:v>5.03</c:v>
                      </c:pt>
                      <c:pt idx="2">
                        <c:v>146.83333333333334</c:v>
                      </c:pt>
                      <c:pt idx="3">
                        <c:v>292.66666666666669</c:v>
                      </c:pt>
                      <c:pt idx="4">
                        <c:v>542</c:v>
                      </c:pt>
                      <c:pt idx="5">
                        <c:v>456.66666666666669</c:v>
                      </c:pt>
                      <c:pt idx="6">
                        <c:v>202</c:v>
                      </c:pt>
                      <c:pt idx="7">
                        <c:v>118</c:v>
                      </c:pt>
                      <c:pt idx="8">
                        <c:v>52.966666666666661</c:v>
                      </c:pt>
                    </c:numCache>
                  </c:numRef>
                </c:val>
                <c:extLst xmlns:c15="http://schemas.microsoft.com/office/drawing/2012/chart">
                  <c:ext xmlns:c16="http://schemas.microsoft.com/office/drawing/2014/chart" uri="{C3380CC4-5D6E-409C-BE32-E72D297353CC}">
                    <c16:uniqueId val="{00000024-25D1-4B24-A4BB-C7EEA7F68D56}"/>
                  </c:ext>
                </c:extLst>
              </c15:ser>
            </c15:filteredBarSeries>
            <c15:filteredBarSeries>
              <c15:ser>
                <c:idx val="34"/>
                <c:order val="34"/>
                <c:tx>
                  <c:strRef>
                    <c:extLst xmlns:c15="http://schemas.microsoft.com/office/drawing/2012/chart">
                      <c:ext xmlns:c15="http://schemas.microsoft.com/office/drawing/2012/chart" uri="{02D57815-91ED-43cb-92C2-25804820EDAC}">
                        <c15:formulaRef>
                          <c15:sqref>Mittelwerte!$AL$2</c15:sqref>
                        </c15:formulaRef>
                      </c:ext>
                    </c:extLst>
                    <c:strCache>
                      <c:ptCount val="1"/>
                      <c:pt idx="0">
                        <c:v>br-PFDS </c:v>
                      </c:pt>
                    </c:strCache>
                  </c:strRef>
                </c:tx>
                <c:spPr>
                  <a:solidFill>
                    <a:schemeClr val="accent5">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Mittelwerte!$B$43:$C$148</c15:sqref>
                        </c15:fullRef>
                        <c15:formulaRef>
                          <c15:sqref>Mittelwerte!$B$80:$C$88</c15:sqref>
                        </c15:formulaRef>
                      </c:ext>
                    </c:extLst>
                    <c:multiLvlStrCache>
                      <c:ptCount val="9"/>
                      <c:lvl>
                        <c:pt idx="0">
                          <c:v>1</c:v>
                        </c:pt>
                        <c:pt idx="1">
                          <c:v>5</c:v>
                        </c:pt>
                        <c:pt idx="2">
                          <c:v>17</c:v>
                        </c:pt>
                        <c:pt idx="3">
                          <c:v>38</c:v>
                        </c:pt>
                        <c:pt idx="4">
                          <c:v>57</c:v>
                        </c:pt>
                        <c:pt idx="5">
                          <c:v>61</c:v>
                        </c:pt>
                        <c:pt idx="6">
                          <c:v>73</c:v>
                        </c:pt>
                        <c:pt idx="7">
                          <c:v>101</c:v>
                        </c:pt>
                        <c:pt idx="8">
                          <c:v>136</c:v>
                        </c:pt>
                      </c:lvl>
                      <c:lvl>
                        <c:pt idx="0">
                          <c:v>Serum</c:v>
                        </c:pt>
                      </c:lvl>
                    </c:multiLvlStrCache>
                  </c:multiLvlStrRef>
                </c:cat>
                <c:val>
                  <c:numRef>
                    <c:extLst>
                      <c:ext xmlns:c15="http://schemas.microsoft.com/office/drawing/2012/chart" uri="{02D57815-91ED-43cb-92C2-25804820EDAC}">
                        <c15:fullRef>
                          <c15:sqref>Mittelwerte!$AL$43:$AL$148</c15:sqref>
                        </c15:fullRef>
                        <c15:formulaRef>
                          <c15:sqref>Mittelwerte!$AL$80:$AL$88</c15:sqref>
                        </c15:formulaRef>
                      </c:ext>
                    </c:extLst>
                    <c:numCache>
                      <c:formatCode>0.00</c:formatCode>
                      <c:ptCount val="9"/>
                      <c:pt idx="0">
                        <c:v>0</c:v>
                      </c:pt>
                      <c:pt idx="1">
                        <c:v>6.0466666666666669</c:v>
                      </c:pt>
                      <c:pt idx="2">
                        <c:v>121.46666666666665</c:v>
                      </c:pt>
                      <c:pt idx="3">
                        <c:v>205.66666666666666</c:v>
                      </c:pt>
                      <c:pt idx="4">
                        <c:v>351.33333333333331</c:v>
                      </c:pt>
                      <c:pt idx="5">
                        <c:v>277</c:v>
                      </c:pt>
                      <c:pt idx="6">
                        <c:v>129.6</c:v>
                      </c:pt>
                      <c:pt idx="7">
                        <c:v>28.2</c:v>
                      </c:pt>
                      <c:pt idx="8">
                        <c:v>7.0733333333333333</c:v>
                      </c:pt>
                    </c:numCache>
                  </c:numRef>
                </c:val>
                <c:extLst xmlns:c15="http://schemas.microsoft.com/office/drawing/2012/chart">
                  <c:ext xmlns:c16="http://schemas.microsoft.com/office/drawing/2014/chart" uri="{C3380CC4-5D6E-409C-BE32-E72D297353CC}">
                    <c16:uniqueId val="{00000025-25D1-4B24-A4BB-C7EEA7F68D56}"/>
                  </c:ext>
                </c:extLst>
              </c15:ser>
            </c15:filteredBarSeries>
            <c15:filteredBarSeries>
              <c15:ser>
                <c:idx val="35"/>
                <c:order val="35"/>
                <c:tx>
                  <c:strRef>
                    <c:extLst xmlns:c15="http://schemas.microsoft.com/office/drawing/2012/chart">
                      <c:ext xmlns:c15="http://schemas.microsoft.com/office/drawing/2012/chart" uri="{02D57815-91ED-43cb-92C2-25804820EDAC}">
                        <c15:formulaRef>
                          <c15:sqref>Mittelwerte!$AM$2</c15:sqref>
                        </c15:formulaRef>
                      </c:ext>
                    </c:extLst>
                    <c:strCache>
                      <c:ptCount val="1"/>
                      <c:pt idx="0">
                        <c:v>br-PFUnDS </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Mittelwerte!$B$43:$C$148</c15:sqref>
                        </c15:fullRef>
                        <c15:formulaRef>
                          <c15:sqref>Mittelwerte!$B$80:$C$88</c15:sqref>
                        </c15:formulaRef>
                      </c:ext>
                    </c:extLst>
                    <c:multiLvlStrCache>
                      <c:ptCount val="9"/>
                      <c:lvl>
                        <c:pt idx="0">
                          <c:v>1</c:v>
                        </c:pt>
                        <c:pt idx="1">
                          <c:v>5</c:v>
                        </c:pt>
                        <c:pt idx="2">
                          <c:v>17</c:v>
                        </c:pt>
                        <c:pt idx="3">
                          <c:v>38</c:v>
                        </c:pt>
                        <c:pt idx="4">
                          <c:v>57</c:v>
                        </c:pt>
                        <c:pt idx="5">
                          <c:v>61</c:v>
                        </c:pt>
                        <c:pt idx="6">
                          <c:v>73</c:v>
                        </c:pt>
                        <c:pt idx="7">
                          <c:v>101</c:v>
                        </c:pt>
                        <c:pt idx="8">
                          <c:v>136</c:v>
                        </c:pt>
                      </c:lvl>
                      <c:lvl>
                        <c:pt idx="0">
                          <c:v>Serum</c:v>
                        </c:pt>
                      </c:lvl>
                    </c:multiLvlStrCache>
                  </c:multiLvlStrRef>
                </c:cat>
                <c:val>
                  <c:numRef>
                    <c:extLst>
                      <c:ext xmlns:c15="http://schemas.microsoft.com/office/drawing/2012/chart" uri="{02D57815-91ED-43cb-92C2-25804820EDAC}">
                        <c15:fullRef>
                          <c15:sqref>Mittelwerte!$AM$43:$AM$148</c15:sqref>
                        </c15:fullRef>
                        <c15:formulaRef>
                          <c15:sqref>Mittelwerte!$AM$80:$AM$88</c15:sqref>
                        </c15:formulaRef>
                      </c:ext>
                    </c:extLst>
                    <c:numCache>
                      <c:formatCode>0.00</c:formatCode>
                      <c:ptCount val="9"/>
                      <c:pt idx="0">
                        <c:v>0</c:v>
                      </c:pt>
                      <c:pt idx="1">
                        <c:v>3.0500000000000003</c:v>
                      </c:pt>
                      <c:pt idx="2">
                        <c:v>27.866666666666664</c:v>
                      </c:pt>
                      <c:pt idx="3">
                        <c:v>32.133333333333333</c:v>
                      </c:pt>
                      <c:pt idx="4">
                        <c:v>18.433333333333334</c:v>
                      </c:pt>
                      <c:pt idx="5">
                        <c:v>17.5</c:v>
                      </c:pt>
                      <c:pt idx="6">
                        <c:v>4.8733333333333331</c:v>
                      </c:pt>
                      <c:pt idx="7">
                        <c:v>1.39</c:v>
                      </c:pt>
                      <c:pt idx="8">
                        <c:v>0.81899999999999995</c:v>
                      </c:pt>
                    </c:numCache>
                  </c:numRef>
                </c:val>
                <c:extLst xmlns:c15="http://schemas.microsoft.com/office/drawing/2012/chart">
                  <c:ext xmlns:c16="http://schemas.microsoft.com/office/drawing/2014/chart" uri="{C3380CC4-5D6E-409C-BE32-E72D297353CC}">
                    <c16:uniqueId val="{00000026-25D1-4B24-A4BB-C7EEA7F68D56}"/>
                  </c:ext>
                </c:extLst>
              </c15:ser>
            </c15:filteredBarSeries>
            <c15:filteredBarSeries>
              <c15:ser>
                <c:idx val="36"/>
                <c:order val="36"/>
                <c:tx>
                  <c:strRef>
                    <c:extLst xmlns:c15="http://schemas.microsoft.com/office/drawing/2012/chart">
                      <c:ext xmlns:c15="http://schemas.microsoft.com/office/drawing/2012/chart" uri="{02D57815-91ED-43cb-92C2-25804820EDAC}">
                        <c15:formulaRef>
                          <c15:sqref>Mittelwerte!$AN$2</c15:sqref>
                        </c15:formulaRef>
                      </c:ext>
                    </c:extLst>
                    <c:strCache>
                      <c:ptCount val="1"/>
                      <c:pt idx="0">
                        <c:v>br-PFDoDS </c:v>
                      </c:pt>
                    </c:strCache>
                  </c:strRef>
                </c:tx>
                <c:spPr>
                  <a:solidFill>
                    <a:schemeClr val="accent1">
                      <a:lumMod val="70000"/>
                      <a:lumOff val="3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Mittelwerte!$B$43:$C$148</c15:sqref>
                        </c15:fullRef>
                        <c15:formulaRef>
                          <c15:sqref>Mittelwerte!$B$80:$C$88</c15:sqref>
                        </c15:formulaRef>
                      </c:ext>
                    </c:extLst>
                    <c:multiLvlStrCache>
                      <c:ptCount val="9"/>
                      <c:lvl>
                        <c:pt idx="0">
                          <c:v>1</c:v>
                        </c:pt>
                        <c:pt idx="1">
                          <c:v>5</c:v>
                        </c:pt>
                        <c:pt idx="2">
                          <c:v>17</c:v>
                        </c:pt>
                        <c:pt idx="3">
                          <c:v>38</c:v>
                        </c:pt>
                        <c:pt idx="4">
                          <c:v>57</c:v>
                        </c:pt>
                        <c:pt idx="5">
                          <c:v>61</c:v>
                        </c:pt>
                        <c:pt idx="6">
                          <c:v>73</c:v>
                        </c:pt>
                        <c:pt idx="7">
                          <c:v>101</c:v>
                        </c:pt>
                        <c:pt idx="8">
                          <c:v>136</c:v>
                        </c:pt>
                      </c:lvl>
                      <c:lvl>
                        <c:pt idx="0">
                          <c:v>Serum</c:v>
                        </c:pt>
                      </c:lvl>
                    </c:multiLvlStrCache>
                  </c:multiLvlStrRef>
                </c:cat>
                <c:val>
                  <c:numRef>
                    <c:extLst>
                      <c:ext xmlns:c15="http://schemas.microsoft.com/office/drawing/2012/chart" uri="{02D57815-91ED-43cb-92C2-25804820EDAC}">
                        <c15:fullRef>
                          <c15:sqref>Mittelwerte!$AN$43:$AN$148</c15:sqref>
                        </c15:fullRef>
                        <c15:formulaRef>
                          <c15:sqref>Mittelwerte!$AN$80:$AN$88</c15:sqref>
                        </c15:formulaRef>
                      </c:ext>
                    </c:extLst>
                    <c:numCache>
                      <c:formatCode>0.00</c:formatCode>
                      <c:ptCount val="9"/>
                      <c:pt idx="0">
                        <c:v>0</c:v>
                      </c:pt>
                      <c:pt idx="1">
                        <c:v>2.0099999999999998</c:v>
                      </c:pt>
                      <c:pt idx="2">
                        <c:v>11.506666666666666</c:v>
                      </c:pt>
                      <c:pt idx="3">
                        <c:v>7.7366666666666672</c:v>
                      </c:pt>
                      <c:pt idx="4">
                        <c:v>12.133333333333333</c:v>
                      </c:pt>
                      <c:pt idx="5">
                        <c:v>4.4466666666666663</c:v>
                      </c:pt>
                      <c:pt idx="6">
                        <c:v>0.77999999999999992</c:v>
                      </c:pt>
                      <c:pt idx="7">
                        <c:v>0</c:v>
                      </c:pt>
                      <c:pt idx="8">
                        <c:v>0</c:v>
                      </c:pt>
                    </c:numCache>
                  </c:numRef>
                </c:val>
                <c:extLst xmlns:c15="http://schemas.microsoft.com/office/drawing/2012/chart">
                  <c:ext xmlns:c16="http://schemas.microsoft.com/office/drawing/2014/chart" uri="{C3380CC4-5D6E-409C-BE32-E72D297353CC}">
                    <c16:uniqueId val="{00000027-25D1-4B24-A4BB-C7EEA7F68D56}"/>
                  </c:ext>
                </c:extLst>
              </c15:ser>
            </c15:filteredBarSeries>
            <c15:filteredBarSeries>
              <c15:ser>
                <c:idx val="37"/>
                <c:order val="37"/>
                <c:tx>
                  <c:strRef>
                    <c:extLst xmlns:c15="http://schemas.microsoft.com/office/drawing/2012/chart">
                      <c:ext xmlns:c15="http://schemas.microsoft.com/office/drawing/2012/chart" uri="{02D57815-91ED-43cb-92C2-25804820EDAC}">
                        <c15:formulaRef>
                          <c15:sqref>Mittelwerte!$AO$2</c15:sqref>
                        </c15:formulaRef>
                      </c:ext>
                    </c:extLst>
                    <c:strCache>
                      <c:ptCount val="1"/>
                      <c:pt idx="0">
                        <c:v>br-PFTrDS </c:v>
                      </c:pt>
                    </c:strCache>
                  </c:strRef>
                </c:tx>
                <c:spPr>
                  <a:solidFill>
                    <a:schemeClr val="accent2">
                      <a:lumMod val="70000"/>
                      <a:lumOff val="3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Mittelwerte!$B$43:$C$148</c15:sqref>
                        </c15:fullRef>
                        <c15:formulaRef>
                          <c15:sqref>Mittelwerte!$B$80:$C$88</c15:sqref>
                        </c15:formulaRef>
                      </c:ext>
                    </c:extLst>
                    <c:multiLvlStrCache>
                      <c:ptCount val="9"/>
                      <c:lvl>
                        <c:pt idx="0">
                          <c:v>1</c:v>
                        </c:pt>
                        <c:pt idx="1">
                          <c:v>5</c:v>
                        </c:pt>
                        <c:pt idx="2">
                          <c:v>17</c:v>
                        </c:pt>
                        <c:pt idx="3">
                          <c:v>38</c:v>
                        </c:pt>
                        <c:pt idx="4">
                          <c:v>57</c:v>
                        </c:pt>
                        <c:pt idx="5">
                          <c:v>61</c:v>
                        </c:pt>
                        <c:pt idx="6">
                          <c:v>73</c:v>
                        </c:pt>
                        <c:pt idx="7">
                          <c:v>101</c:v>
                        </c:pt>
                        <c:pt idx="8">
                          <c:v>136</c:v>
                        </c:pt>
                      </c:lvl>
                      <c:lvl>
                        <c:pt idx="0">
                          <c:v>Serum</c:v>
                        </c:pt>
                      </c:lvl>
                    </c:multiLvlStrCache>
                  </c:multiLvlStrRef>
                </c:cat>
                <c:val>
                  <c:numRef>
                    <c:extLst>
                      <c:ext xmlns:c15="http://schemas.microsoft.com/office/drawing/2012/chart" uri="{02D57815-91ED-43cb-92C2-25804820EDAC}">
                        <c15:fullRef>
                          <c15:sqref>Mittelwerte!$AO$43:$AO$148</c15:sqref>
                        </c15:fullRef>
                        <c15:formulaRef>
                          <c15:sqref>Mittelwerte!$AO$80:$AO$88</c15:sqref>
                        </c15:formulaRef>
                      </c:ext>
                    </c:extLst>
                    <c:numCache>
                      <c:formatCode>0.00</c:formatCode>
                      <c:ptCount val="9"/>
                      <c:pt idx="0">
                        <c:v>0</c:v>
                      </c:pt>
                      <c:pt idx="1">
                        <c:v>0.90049999999999997</c:v>
                      </c:pt>
                      <c:pt idx="2">
                        <c:v>6.7333333333333343</c:v>
                      </c:pt>
                      <c:pt idx="3">
                        <c:v>2.9066666666666663</c:v>
                      </c:pt>
                      <c:pt idx="4">
                        <c:v>3.3766666666666665</c:v>
                      </c:pt>
                      <c:pt idx="5">
                        <c:v>0.77766666666666673</c:v>
                      </c:pt>
                      <c:pt idx="6">
                        <c:v>0</c:v>
                      </c:pt>
                      <c:pt idx="7">
                        <c:v>0</c:v>
                      </c:pt>
                      <c:pt idx="8">
                        <c:v>0</c:v>
                      </c:pt>
                    </c:numCache>
                  </c:numRef>
                </c:val>
                <c:extLst xmlns:c15="http://schemas.microsoft.com/office/drawing/2012/chart">
                  <c:ext xmlns:c16="http://schemas.microsoft.com/office/drawing/2014/chart" uri="{C3380CC4-5D6E-409C-BE32-E72D297353CC}">
                    <c16:uniqueId val="{00000028-25D1-4B24-A4BB-C7EEA7F68D56}"/>
                  </c:ext>
                </c:extLst>
              </c15:ser>
            </c15:filteredBarSeries>
          </c:ext>
        </c:extLst>
      </c:barChart>
      <c:catAx>
        <c:axId val="202152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176559"/>
        <c:crosses val="autoZero"/>
        <c:auto val="1"/>
        <c:lblAlgn val="ctr"/>
        <c:lblOffset val="100"/>
        <c:noMultiLvlLbl val="0"/>
      </c:catAx>
      <c:valAx>
        <c:axId val="20217655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1524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8740157499999996" l="0.7" r="0.7" t="0.78740157499999996"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Milch!$D$2</c:f>
              <c:strCache>
                <c:ptCount val="1"/>
                <c:pt idx="0">
                  <c:v>n-PFBA</c:v>
                </c:pt>
              </c:strCache>
            </c:strRef>
          </c:tx>
          <c:spPr>
            <a:solidFill>
              <a:schemeClr val="accent1"/>
            </a:solidFill>
            <a:ln>
              <a:noFill/>
            </a:ln>
            <a:effectLst/>
          </c:spPr>
          <c:invertIfNegative val="0"/>
          <c:cat>
            <c:multiLvlStrRef>
              <c:extLst>
                <c:ext xmlns:c15="http://schemas.microsoft.com/office/drawing/2012/chart" uri="{02D57815-91ED-43cb-92C2-25804820EDAC}">
                  <c15:fullRef>
                    <c15:sqref>Milch!$A$3:$C$46</c15:sqref>
                  </c15:fullRef>
                </c:ext>
              </c:extLst>
              <c:f>Milch!$A$3:$C$42</c:f>
              <c:multiLvlStrCache>
                <c:ptCount val="40"/>
                <c:lvl>
                  <c:pt idx="0">
                    <c:v>ER</c:v>
                  </c:pt>
                  <c:pt idx="1">
                    <c:v>E2</c:v>
                  </c:pt>
                  <c:pt idx="2">
                    <c:v>E3</c:v>
                  </c:pt>
                  <c:pt idx="3">
                    <c:v>E4</c:v>
                  </c:pt>
                  <c:pt idx="4">
                    <c:v>ER</c:v>
                  </c:pt>
                  <c:pt idx="5">
                    <c:v>E2</c:v>
                  </c:pt>
                  <c:pt idx="6">
                    <c:v>E3</c:v>
                  </c:pt>
                  <c:pt idx="7">
                    <c:v>E4</c:v>
                  </c:pt>
                  <c:pt idx="8">
                    <c:v>ER</c:v>
                  </c:pt>
                  <c:pt idx="9">
                    <c:v>E2</c:v>
                  </c:pt>
                  <c:pt idx="10">
                    <c:v>E3</c:v>
                  </c:pt>
                  <c:pt idx="11">
                    <c:v>E4</c:v>
                  </c:pt>
                  <c:pt idx="12">
                    <c:v>ER</c:v>
                  </c:pt>
                  <c:pt idx="13">
                    <c:v>E2</c:v>
                  </c:pt>
                  <c:pt idx="14">
                    <c:v>E3</c:v>
                  </c:pt>
                  <c:pt idx="15">
                    <c:v>E4</c:v>
                  </c:pt>
                  <c:pt idx="16">
                    <c:v>ER</c:v>
                  </c:pt>
                  <c:pt idx="17">
                    <c:v>E2</c:v>
                  </c:pt>
                  <c:pt idx="18">
                    <c:v>E3</c:v>
                  </c:pt>
                  <c:pt idx="19">
                    <c:v>E4</c:v>
                  </c:pt>
                  <c:pt idx="20">
                    <c:v>ER</c:v>
                  </c:pt>
                  <c:pt idx="21">
                    <c:v>E2</c:v>
                  </c:pt>
                  <c:pt idx="22">
                    <c:v>E3</c:v>
                  </c:pt>
                  <c:pt idx="23">
                    <c:v>E4</c:v>
                  </c:pt>
                  <c:pt idx="24">
                    <c:v>ER</c:v>
                  </c:pt>
                  <c:pt idx="25">
                    <c:v>E2</c:v>
                  </c:pt>
                  <c:pt idx="26">
                    <c:v>E3</c:v>
                  </c:pt>
                  <c:pt idx="27">
                    <c:v>E4</c:v>
                  </c:pt>
                  <c:pt idx="28">
                    <c:v>ER</c:v>
                  </c:pt>
                  <c:pt idx="29">
                    <c:v>E2</c:v>
                  </c:pt>
                  <c:pt idx="30">
                    <c:v>E3</c:v>
                  </c:pt>
                  <c:pt idx="31">
                    <c:v>E4</c:v>
                  </c:pt>
                  <c:pt idx="32">
                    <c:v>ER</c:v>
                  </c:pt>
                  <c:pt idx="33">
                    <c:v>E2</c:v>
                  </c:pt>
                  <c:pt idx="34">
                    <c:v>E3</c:v>
                  </c:pt>
                  <c:pt idx="35">
                    <c:v>E4</c:v>
                  </c:pt>
                  <c:pt idx="36">
                    <c:v>ER</c:v>
                  </c:pt>
                  <c:pt idx="37">
                    <c:v>E2</c:v>
                  </c:pt>
                  <c:pt idx="38">
                    <c:v>E3</c:v>
                  </c:pt>
                  <c:pt idx="39">
                    <c:v>E4</c:v>
                  </c:pt>
                </c:lvl>
                <c:lvl>
                  <c:pt idx="0">
                    <c:v>22.05.2023</c:v>
                  </c:pt>
                  <c:pt idx="4">
                    <c:v>26.05.2023</c:v>
                  </c:pt>
                  <c:pt idx="8">
                    <c:v>07.06.2023</c:v>
                  </c:pt>
                  <c:pt idx="12">
                    <c:v>28.06.2023</c:v>
                  </c:pt>
                  <c:pt idx="16">
                    <c:v>14.07.2023</c:v>
                  </c:pt>
                  <c:pt idx="20">
                    <c:v>17.07.2023</c:v>
                  </c:pt>
                  <c:pt idx="24">
                    <c:v>21.07.2023</c:v>
                  </c:pt>
                  <c:pt idx="28">
                    <c:v>02.08.2023</c:v>
                  </c:pt>
                  <c:pt idx="32">
                    <c:v>30.08.2023</c:v>
                  </c:pt>
                  <c:pt idx="36">
                    <c:v>04.10.2023</c:v>
                  </c:pt>
                </c:lvl>
                <c:lvl>
                  <c:pt idx="0">
                    <c:v>1</c:v>
                  </c:pt>
                  <c:pt idx="4">
                    <c:v>5</c:v>
                  </c:pt>
                  <c:pt idx="8">
                    <c:v>17</c:v>
                  </c:pt>
                  <c:pt idx="12">
                    <c:v>38</c:v>
                  </c:pt>
                  <c:pt idx="16">
                    <c:v>54</c:v>
                  </c:pt>
                  <c:pt idx="20">
                    <c:v>57</c:v>
                  </c:pt>
                  <c:pt idx="24">
                    <c:v>61</c:v>
                  </c:pt>
                  <c:pt idx="28">
                    <c:v>73</c:v>
                  </c:pt>
                  <c:pt idx="32">
                    <c:v>101</c:v>
                  </c:pt>
                  <c:pt idx="36">
                    <c:v>136</c:v>
                  </c:pt>
                </c:lvl>
              </c:multiLvlStrCache>
            </c:multiLvlStrRef>
          </c:cat>
          <c:val>
            <c:numRef>
              <c:extLst>
                <c:ext xmlns:c15="http://schemas.microsoft.com/office/drawing/2012/chart" uri="{02D57815-91ED-43cb-92C2-25804820EDAC}">
                  <c15:fullRef>
                    <c15:sqref>Milch!$D$3:$D$46</c15:sqref>
                  </c15:fullRef>
                </c:ext>
              </c:extLst>
              <c:f>Milch!$D$3:$D$42</c:f>
              <c:numCache>
                <c:formatCode>0.00</c:formatCode>
                <c:ptCount val="40"/>
                <c:pt idx="0">
                  <c:v>0</c:v>
                </c:pt>
                <c:pt idx="1">
                  <c:v>6.9893975387003504E-3</c:v>
                </c:pt>
                <c:pt idx="2">
                  <c:v>7.1586165996728795E-3</c:v>
                </c:pt>
                <c:pt idx="3">
                  <c:v>6.5415614056163899E-3</c:v>
                </c:pt>
                <c:pt idx="4">
                  <c:v>9.8164066612928494E-2</c:v>
                </c:pt>
                <c:pt idx="5">
                  <c:v>2.24605963039477</c:v>
                </c:pt>
                <c:pt idx="6">
                  <c:v>0.78960623360809801</c:v>
                </c:pt>
                <c:pt idx="7">
                  <c:v>0.279018390056684</c:v>
                </c:pt>
                <c:pt idx="8">
                  <c:v>1.19641911251205</c:v>
                </c:pt>
                <c:pt idx="9">
                  <c:v>3.67502333566574</c:v>
                </c:pt>
                <c:pt idx="10">
                  <c:v>2.7551055604085501</c:v>
                </c:pt>
                <c:pt idx="11">
                  <c:v>1.6091218272130901</c:v>
                </c:pt>
                <c:pt idx="12">
                  <c:v>0.62222069012869197</c:v>
                </c:pt>
                <c:pt idx="13">
                  <c:v>0.47456697291351996</c:v>
                </c:pt>
                <c:pt idx="14">
                  <c:v>0.81752364008779099</c:v>
                </c:pt>
                <c:pt idx="15">
                  <c:v>0.56360375292007203</c:v>
                </c:pt>
                <c:pt idx="16">
                  <c:v>1.0619309572376001</c:v>
                </c:pt>
                <c:pt idx="17">
                  <c:v>1.1686367911011579</c:v>
                </c:pt>
                <c:pt idx="18">
                  <c:v>0.79100742912884503</c:v>
                </c:pt>
                <c:pt idx="19">
                  <c:v>0.73354981248234508</c:v>
                </c:pt>
                <c:pt idx="20">
                  <c:v>0.191609480329993</c:v>
                </c:pt>
                <c:pt idx="21">
                  <c:v>0.68973237880904303</c:v>
                </c:pt>
                <c:pt idx="22">
                  <c:v>0.42947039358863798</c:v>
                </c:pt>
                <c:pt idx="23">
                  <c:v>0.32210511069560199</c:v>
                </c:pt>
                <c:pt idx="24">
                  <c:v>0</c:v>
                </c:pt>
                <c:pt idx="25">
                  <c:v>1.0859730285776401E-2</c:v>
                </c:pt>
                <c:pt idx="26">
                  <c:v>9.5133677631140598E-3</c:v>
                </c:pt>
                <c:pt idx="27">
                  <c:v>8.9569253511838989E-3</c:v>
                </c:pt>
                <c:pt idx="28">
                  <c:v>0</c:v>
                </c:pt>
                <c:pt idx="29">
                  <c:v>8.4959389958965195E-3</c:v>
                </c:pt>
                <c:pt idx="30">
                  <c:v>7.7130612072629397E-3</c:v>
                </c:pt>
                <c:pt idx="31">
                  <c:v>8.4833231638802194E-3</c:v>
                </c:pt>
                <c:pt idx="32">
                  <c:v>0</c:v>
                </c:pt>
                <c:pt idx="33">
                  <c:v>8.6581842585173492E-3</c:v>
                </c:pt>
                <c:pt idx="34">
                  <c:v>1.39176285723316E-2</c:v>
                </c:pt>
                <c:pt idx="35">
                  <c:v>1.25389106650843E-2</c:v>
                </c:pt>
                <c:pt idx="36">
                  <c:v>0</c:v>
                </c:pt>
                <c:pt idx="37">
                  <c:v>1.2974791377297701E-2</c:v>
                </c:pt>
                <c:pt idx="38">
                  <c:v>5.3161443800222603E-3</c:v>
                </c:pt>
                <c:pt idx="39">
                  <c:v>9.4373253328608898E-3</c:v>
                </c:pt>
              </c:numCache>
            </c:numRef>
          </c:val>
          <c:extLst>
            <c:ext xmlns:c16="http://schemas.microsoft.com/office/drawing/2014/chart" uri="{C3380CC4-5D6E-409C-BE32-E72D297353CC}">
              <c16:uniqueId val="{00000000-5BEA-48D3-A3D3-D8B808B005DA}"/>
            </c:ext>
          </c:extLst>
        </c:ser>
        <c:ser>
          <c:idx val="1"/>
          <c:order val="1"/>
          <c:tx>
            <c:strRef>
              <c:f>Milch!$E$2</c:f>
              <c:strCache>
                <c:ptCount val="1"/>
                <c:pt idx="0">
                  <c:v>n-PFPeA </c:v>
                </c:pt>
              </c:strCache>
            </c:strRef>
          </c:tx>
          <c:spPr>
            <a:solidFill>
              <a:schemeClr val="accent2"/>
            </a:solidFill>
            <a:ln>
              <a:noFill/>
            </a:ln>
            <a:effectLst/>
          </c:spPr>
          <c:invertIfNegative val="0"/>
          <c:cat>
            <c:multiLvlStrRef>
              <c:extLst>
                <c:ext xmlns:c15="http://schemas.microsoft.com/office/drawing/2012/chart" uri="{02D57815-91ED-43cb-92C2-25804820EDAC}">
                  <c15:fullRef>
                    <c15:sqref>Milch!$A$3:$C$46</c15:sqref>
                  </c15:fullRef>
                </c:ext>
              </c:extLst>
              <c:f>Milch!$A$3:$C$42</c:f>
              <c:multiLvlStrCache>
                <c:ptCount val="40"/>
                <c:lvl>
                  <c:pt idx="0">
                    <c:v>ER</c:v>
                  </c:pt>
                  <c:pt idx="1">
                    <c:v>E2</c:v>
                  </c:pt>
                  <c:pt idx="2">
                    <c:v>E3</c:v>
                  </c:pt>
                  <c:pt idx="3">
                    <c:v>E4</c:v>
                  </c:pt>
                  <c:pt idx="4">
                    <c:v>ER</c:v>
                  </c:pt>
                  <c:pt idx="5">
                    <c:v>E2</c:v>
                  </c:pt>
                  <c:pt idx="6">
                    <c:v>E3</c:v>
                  </c:pt>
                  <c:pt idx="7">
                    <c:v>E4</c:v>
                  </c:pt>
                  <c:pt idx="8">
                    <c:v>ER</c:v>
                  </c:pt>
                  <c:pt idx="9">
                    <c:v>E2</c:v>
                  </c:pt>
                  <c:pt idx="10">
                    <c:v>E3</c:v>
                  </c:pt>
                  <c:pt idx="11">
                    <c:v>E4</c:v>
                  </c:pt>
                  <c:pt idx="12">
                    <c:v>ER</c:v>
                  </c:pt>
                  <c:pt idx="13">
                    <c:v>E2</c:v>
                  </c:pt>
                  <c:pt idx="14">
                    <c:v>E3</c:v>
                  </c:pt>
                  <c:pt idx="15">
                    <c:v>E4</c:v>
                  </c:pt>
                  <c:pt idx="16">
                    <c:v>ER</c:v>
                  </c:pt>
                  <c:pt idx="17">
                    <c:v>E2</c:v>
                  </c:pt>
                  <c:pt idx="18">
                    <c:v>E3</c:v>
                  </c:pt>
                  <c:pt idx="19">
                    <c:v>E4</c:v>
                  </c:pt>
                  <c:pt idx="20">
                    <c:v>ER</c:v>
                  </c:pt>
                  <c:pt idx="21">
                    <c:v>E2</c:v>
                  </c:pt>
                  <c:pt idx="22">
                    <c:v>E3</c:v>
                  </c:pt>
                  <c:pt idx="23">
                    <c:v>E4</c:v>
                  </c:pt>
                  <c:pt idx="24">
                    <c:v>ER</c:v>
                  </c:pt>
                  <c:pt idx="25">
                    <c:v>E2</c:v>
                  </c:pt>
                  <c:pt idx="26">
                    <c:v>E3</c:v>
                  </c:pt>
                  <c:pt idx="27">
                    <c:v>E4</c:v>
                  </c:pt>
                  <c:pt idx="28">
                    <c:v>ER</c:v>
                  </c:pt>
                  <c:pt idx="29">
                    <c:v>E2</c:v>
                  </c:pt>
                  <c:pt idx="30">
                    <c:v>E3</c:v>
                  </c:pt>
                  <c:pt idx="31">
                    <c:v>E4</c:v>
                  </c:pt>
                  <c:pt idx="32">
                    <c:v>ER</c:v>
                  </c:pt>
                  <c:pt idx="33">
                    <c:v>E2</c:v>
                  </c:pt>
                  <c:pt idx="34">
                    <c:v>E3</c:v>
                  </c:pt>
                  <c:pt idx="35">
                    <c:v>E4</c:v>
                  </c:pt>
                  <c:pt idx="36">
                    <c:v>ER</c:v>
                  </c:pt>
                  <c:pt idx="37">
                    <c:v>E2</c:v>
                  </c:pt>
                  <c:pt idx="38">
                    <c:v>E3</c:v>
                  </c:pt>
                  <c:pt idx="39">
                    <c:v>E4</c:v>
                  </c:pt>
                </c:lvl>
                <c:lvl>
                  <c:pt idx="0">
                    <c:v>22.05.2023</c:v>
                  </c:pt>
                  <c:pt idx="4">
                    <c:v>26.05.2023</c:v>
                  </c:pt>
                  <c:pt idx="8">
                    <c:v>07.06.2023</c:v>
                  </c:pt>
                  <c:pt idx="12">
                    <c:v>28.06.2023</c:v>
                  </c:pt>
                  <c:pt idx="16">
                    <c:v>14.07.2023</c:v>
                  </c:pt>
                  <c:pt idx="20">
                    <c:v>17.07.2023</c:v>
                  </c:pt>
                  <c:pt idx="24">
                    <c:v>21.07.2023</c:v>
                  </c:pt>
                  <c:pt idx="28">
                    <c:v>02.08.2023</c:v>
                  </c:pt>
                  <c:pt idx="32">
                    <c:v>30.08.2023</c:v>
                  </c:pt>
                  <c:pt idx="36">
                    <c:v>04.10.2023</c:v>
                  </c:pt>
                </c:lvl>
                <c:lvl>
                  <c:pt idx="0">
                    <c:v>1</c:v>
                  </c:pt>
                  <c:pt idx="4">
                    <c:v>5</c:v>
                  </c:pt>
                  <c:pt idx="8">
                    <c:v>17</c:v>
                  </c:pt>
                  <c:pt idx="12">
                    <c:v>38</c:v>
                  </c:pt>
                  <c:pt idx="16">
                    <c:v>54</c:v>
                  </c:pt>
                  <c:pt idx="20">
                    <c:v>57</c:v>
                  </c:pt>
                  <c:pt idx="24">
                    <c:v>61</c:v>
                  </c:pt>
                  <c:pt idx="28">
                    <c:v>73</c:v>
                  </c:pt>
                  <c:pt idx="32">
                    <c:v>101</c:v>
                  </c:pt>
                  <c:pt idx="36">
                    <c:v>136</c:v>
                  </c:pt>
                </c:lvl>
              </c:multiLvlStrCache>
            </c:multiLvlStrRef>
          </c:cat>
          <c:val>
            <c:numRef>
              <c:extLst>
                <c:ext xmlns:c15="http://schemas.microsoft.com/office/drawing/2012/chart" uri="{02D57815-91ED-43cb-92C2-25804820EDAC}">
                  <c15:fullRef>
                    <c15:sqref>Milch!$E$3:$E$46</c15:sqref>
                  </c15:fullRef>
                </c:ext>
              </c:extLst>
              <c:f>Milch!$E$3:$E$42</c:f>
              <c:numCache>
                <c:formatCode>0.00</c:formatCode>
                <c:ptCount val="40"/>
                <c:pt idx="0">
                  <c:v>0</c:v>
                </c:pt>
                <c:pt idx="1">
                  <c:v>0</c:v>
                </c:pt>
                <c:pt idx="2">
                  <c:v>0</c:v>
                </c:pt>
                <c:pt idx="3">
                  <c:v>0</c:v>
                </c:pt>
                <c:pt idx="4">
                  <c:v>0</c:v>
                </c:pt>
                <c:pt idx="5">
                  <c:v>3.3345659651197401E-2</c:v>
                </c:pt>
                <c:pt idx="6">
                  <c:v>1.3818630109277599E-2</c:v>
                </c:pt>
                <c:pt idx="7">
                  <c:v>6.5073364540553106E-3</c:v>
                </c:pt>
                <c:pt idx="8">
                  <c:v>3.4012276422417602E-2</c:v>
                </c:pt>
                <c:pt idx="9">
                  <c:v>5.2710090590919599E-2</c:v>
                </c:pt>
                <c:pt idx="10">
                  <c:v>3.9803457530830998E-2</c:v>
                </c:pt>
                <c:pt idx="11">
                  <c:v>3.48060411972336E-2</c:v>
                </c:pt>
                <c:pt idx="12">
                  <c:v>2.0120701387558299E-2</c:v>
                </c:pt>
                <c:pt idx="13">
                  <c:v>1.0714507365478401E-2</c:v>
                </c:pt>
                <c:pt idx="14">
                  <c:v>1.8483968979916401E-2</c:v>
                </c:pt>
                <c:pt idx="15">
                  <c:v>1.40968050056729E-2</c:v>
                </c:pt>
                <c:pt idx="16">
                  <c:v>2.5213805424686399E-2</c:v>
                </c:pt>
                <c:pt idx="17">
                  <c:v>1.8934151612254136E-2</c:v>
                </c:pt>
                <c:pt idx="18">
                  <c:v>1.6431611680696439E-2</c:v>
                </c:pt>
                <c:pt idx="19">
                  <c:v>1.7710857508864936E-2</c:v>
                </c:pt>
                <c:pt idx="20">
                  <c:v>5.4750192484498096E-3</c:v>
                </c:pt>
                <c:pt idx="21">
                  <c:v>1.5414459421945199E-2</c:v>
                </c:pt>
                <c:pt idx="22">
                  <c:v>7.0542448656698599E-3</c:v>
                </c:pt>
                <c:pt idx="23">
                  <c:v>6.6743501273200502E-3</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numCache>
            </c:numRef>
          </c:val>
          <c:extLst>
            <c:ext xmlns:c16="http://schemas.microsoft.com/office/drawing/2014/chart" uri="{C3380CC4-5D6E-409C-BE32-E72D297353CC}">
              <c16:uniqueId val="{00000001-5BEA-48D3-A3D3-D8B808B005DA}"/>
            </c:ext>
          </c:extLst>
        </c:ser>
        <c:ser>
          <c:idx val="2"/>
          <c:order val="2"/>
          <c:tx>
            <c:strRef>
              <c:f>Milch!$F$2</c:f>
              <c:strCache>
                <c:ptCount val="1"/>
                <c:pt idx="0">
                  <c:v>n-PFHxA </c:v>
                </c:pt>
              </c:strCache>
            </c:strRef>
          </c:tx>
          <c:spPr>
            <a:solidFill>
              <a:schemeClr val="accent3"/>
            </a:solidFill>
            <a:ln>
              <a:noFill/>
            </a:ln>
            <a:effectLst/>
          </c:spPr>
          <c:invertIfNegative val="0"/>
          <c:cat>
            <c:multiLvlStrRef>
              <c:extLst>
                <c:ext xmlns:c15="http://schemas.microsoft.com/office/drawing/2012/chart" uri="{02D57815-91ED-43cb-92C2-25804820EDAC}">
                  <c15:fullRef>
                    <c15:sqref>Milch!$A$3:$C$46</c15:sqref>
                  </c15:fullRef>
                </c:ext>
              </c:extLst>
              <c:f>Milch!$A$3:$C$42</c:f>
              <c:multiLvlStrCache>
                <c:ptCount val="40"/>
                <c:lvl>
                  <c:pt idx="0">
                    <c:v>ER</c:v>
                  </c:pt>
                  <c:pt idx="1">
                    <c:v>E2</c:v>
                  </c:pt>
                  <c:pt idx="2">
                    <c:v>E3</c:v>
                  </c:pt>
                  <c:pt idx="3">
                    <c:v>E4</c:v>
                  </c:pt>
                  <c:pt idx="4">
                    <c:v>ER</c:v>
                  </c:pt>
                  <c:pt idx="5">
                    <c:v>E2</c:v>
                  </c:pt>
                  <c:pt idx="6">
                    <c:v>E3</c:v>
                  </c:pt>
                  <c:pt idx="7">
                    <c:v>E4</c:v>
                  </c:pt>
                  <c:pt idx="8">
                    <c:v>ER</c:v>
                  </c:pt>
                  <c:pt idx="9">
                    <c:v>E2</c:v>
                  </c:pt>
                  <c:pt idx="10">
                    <c:v>E3</c:v>
                  </c:pt>
                  <c:pt idx="11">
                    <c:v>E4</c:v>
                  </c:pt>
                  <c:pt idx="12">
                    <c:v>ER</c:v>
                  </c:pt>
                  <c:pt idx="13">
                    <c:v>E2</c:v>
                  </c:pt>
                  <c:pt idx="14">
                    <c:v>E3</c:v>
                  </c:pt>
                  <c:pt idx="15">
                    <c:v>E4</c:v>
                  </c:pt>
                  <c:pt idx="16">
                    <c:v>ER</c:v>
                  </c:pt>
                  <c:pt idx="17">
                    <c:v>E2</c:v>
                  </c:pt>
                  <c:pt idx="18">
                    <c:v>E3</c:v>
                  </c:pt>
                  <c:pt idx="19">
                    <c:v>E4</c:v>
                  </c:pt>
                  <c:pt idx="20">
                    <c:v>ER</c:v>
                  </c:pt>
                  <c:pt idx="21">
                    <c:v>E2</c:v>
                  </c:pt>
                  <c:pt idx="22">
                    <c:v>E3</c:v>
                  </c:pt>
                  <c:pt idx="23">
                    <c:v>E4</c:v>
                  </c:pt>
                  <c:pt idx="24">
                    <c:v>ER</c:v>
                  </c:pt>
                  <c:pt idx="25">
                    <c:v>E2</c:v>
                  </c:pt>
                  <c:pt idx="26">
                    <c:v>E3</c:v>
                  </c:pt>
                  <c:pt idx="27">
                    <c:v>E4</c:v>
                  </c:pt>
                  <c:pt idx="28">
                    <c:v>ER</c:v>
                  </c:pt>
                  <c:pt idx="29">
                    <c:v>E2</c:v>
                  </c:pt>
                  <c:pt idx="30">
                    <c:v>E3</c:v>
                  </c:pt>
                  <c:pt idx="31">
                    <c:v>E4</c:v>
                  </c:pt>
                  <c:pt idx="32">
                    <c:v>ER</c:v>
                  </c:pt>
                  <c:pt idx="33">
                    <c:v>E2</c:v>
                  </c:pt>
                  <c:pt idx="34">
                    <c:v>E3</c:v>
                  </c:pt>
                  <c:pt idx="35">
                    <c:v>E4</c:v>
                  </c:pt>
                  <c:pt idx="36">
                    <c:v>ER</c:v>
                  </c:pt>
                  <c:pt idx="37">
                    <c:v>E2</c:v>
                  </c:pt>
                  <c:pt idx="38">
                    <c:v>E3</c:v>
                  </c:pt>
                  <c:pt idx="39">
                    <c:v>E4</c:v>
                  </c:pt>
                </c:lvl>
                <c:lvl>
                  <c:pt idx="0">
                    <c:v>22.05.2023</c:v>
                  </c:pt>
                  <c:pt idx="4">
                    <c:v>26.05.2023</c:v>
                  </c:pt>
                  <c:pt idx="8">
                    <c:v>07.06.2023</c:v>
                  </c:pt>
                  <c:pt idx="12">
                    <c:v>28.06.2023</c:v>
                  </c:pt>
                  <c:pt idx="16">
                    <c:v>14.07.2023</c:v>
                  </c:pt>
                  <c:pt idx="20">
                    <c:v>17.07.2023</c:v>
                  </c:pt>
                  <c:pt idx="24">
                    <c:v>21.07.2023</c:v>
                  </c:pt>
                  <c:pt idx="28">
                    <c:v>02.08.2023</c:v>
                  </c:pt>
                  <c:pt idx="32">
                    <c:v>30.08.2023</c:v>
                  </c:pt>
                  <c:pt idx="36">
                    <c:v>04.10.2023</c:v>
                  </c:pt>
                </c:lvl>
                <c:lvl>
                  <c:pt idx="0">
                    <c:v>1</c:v>
                  </c:pt>
                  <c:pt idx="4">
                    <c:v>5</c:v>
                  </c:pt>
                  <c:pt idx="8">
                    <c:v>17</c:v>
                  </c:pt>
                  <c:pt idx="12">
                    <c:v>38</c:v>
                  </c:pt>
                  <c:pt idx="16">
                    <c:v>54</c:v>
                  </c:pt>
                  <c:pt idx="20">
                    <c:v>57</c:v>
                  </c:pt>
                  <c:pt idx="24">
                    <c:v>61</c:v>
                  </c:pt>
                  <c:pt idx="28">
                    <c:v>73</c:v>
                  </c:pt>
                  <c:pt idx="32">
                    <c:v>101</c:v>
                  </c:pt>
                  <c:pt idx="36">
                    <c:v>136</c:v>
                  </c:pt>
                </c:lvl>
              </c:multiLvlStrCache>
            </c:multiLvlStrRef>
          </c:cat>
          <c:val>
            <c:numRef>
              <c:extLst>
                <c:ext xmlns:c15="http://schemas.microsoft.com/office/drawing/2012/chart" uri="{02D57815-91ED-43cb-92C2-25804820EDAC}">
                  <c15:fullRef>
                    <c15:sqref>Milch!$F$3:$F$46</c15:sqref>
                  </c15:fullRef>
                </c:ext>
              </c:extLst>
              <c:f>Milch!$F$3:$F$42</c:f>
              <c:numCache>
                <c:formatCode>0.00</c:formatCode>
                <c:ptCount val="4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numCache>
            </c:numRef>
          </c:val>
          <c:extLst>
            <c:ext xmlns:c16="http://schemas.microsoft.com/office/drawing/2014/chart" uri="{C3380CC4-5D6E-409C-BE32-E72D297353CC}">
              <c16:uniqueId val="{00000002-5BEA-48D3-A3D3-D8B808B005DA}"/>
            </c:ext>
          </c:extLst>
        </c:ser>
        <c:ser>
          <c:idx val="3"/>
          <c:order val="3"/>
          <c:tx>
            <c:strRef>
              <c:f>Milch!$G$2</c:f>
              <c:strCache>
                <c:ptCount val="1"/>
                <c:pt idx="0">
                  <c:v>n-PFHpA </c:v>
                </c:pt>
              </c:strCache>
            </c:strRef>
          </c:tx>
          <c:spPr>
            <a:solidFill>
              <a:schemeClr val="accent4"/>
            </a:solidFill>
            <a:ln>
              <a:noFill/>
            </a:ln>
            <a:effectLst/>
          </c:spPr>
          <c:invertIfNegative val="0"/>
          <c:cat>
            <c:multiLvlStrRef>
              <c:extLst>
                <c:ext xmlns:c15="http://schemas.microsoft.com/office/drawing/2012/chart" uri="{02D57815-91ED-43cb-92C2-25804820EDAC}">
                  <c15:fullRef>
                    <c15:sqref>Milch!$A$3:$C$46</c15:sqref>
                  </c15:fullRef>
                </c:ext>
              </c:extLst>
              <c:f>Milch!$A$3:$C$42</c:f>
              <c:multiLvlStrCache>
                <c:ptCount val="40"/>
                <c:lvl>
                  <c:pt idx="0">
                    <c:v>ER</c:v>
                  </c:pt>
                  <c:pt idx="1">
                    <c:v>E2</c:v>
                  </c:pt>
                  <c:pt idx="2">
                    <c:v>E3</c:v>
                  </c:pt>
                  <c:pt idx="3">
                    <c:v>E4</c:v>
                  </c:pt>
                  <c:pt idx="4">
                    <c:v>ER</c:v>
                  </c:pt>
                  <c:pt idx="5">
                    <c:v>E2</c:v>
                  </c:pt>
                  <c:pt idx="6">
                    <c:v>E3</c:v>
                  </c:pt>
                  <c:pt idx="7">
                    <c:v>E4</c:v>
                  </c:pt>
                  <c:pt idx="8">
                    <c:v>ER</c:v>
                  </c:pt>
                  <c:pt idx="9">
                    <c:v>E2</c:v>
                  </c:pt>
                  <c:pt idx="10">
                    <c:v>E3</c:v>
                  </c:pt>
                  <c:pt idx="11">
                    <c:v>E4</c:v>
                  </c:pt>
                  <c:pt idx="12">
                    <c:v>ER</c:v>
                  </c:pt>
                  <c:pt idx="13">
                    <c:v>E2</c:v>
                  </c:pt>
                  <c:pt idx="14">
                    <c:v>E3</c:v>
                  </c:pt>
                  <c:pt idx="15">
                    <c:v>E4</c:v>
                  </c:pt>
                  <c:pt idx="16">
                    <c:v>ER</c:v>
                  </c:pt>
                  <c:pt idx="17">
                    <c:v>E2</c:v>
                  </c:pt>
                  <c:pt idx="18">
                    <c:v>E3</c:v>
                  </c:pt>
                  <c:pt idx="19">
                    <c:v>E4</c:v>
                  </c:pt>
                  <c:pt idx="20">
                    <c:v>ER</c:v>
                  </c:pt>
                  <c:pt idx="21">
                    <c:v>E2</c:v>
                  </c:pt>
                  <c:pt idx="22">
                    <c:v>E3</c:v>
                  </c:pt>
                  <c:pt idx="23">
                    <c:v>E4</c:v>
                  </c:pt>
                  <c:pt idx="24">
                    <c:v>ER</c:v>
                  </c:pt>
                  <c:pt idx="25">
                    <c:v>E2</c:v>
                  </c:pt>
                  <c:pt idx="26">
                    <c:v>E3</c:v>
                  </c:pt>
                  <c:pt idx="27">
                    <c:v>E4</c:v>
                  </c:pt>
                  <c:pt idx="28">
                    <c:v>ER</c:v>
                  </c:pt>
                  <c:pt idx="29">
                    <c:v>E2</c:v>
                  </c:pt>
                  <c:pt idx="30">
                    <c:v>E3</c:v>
                  </c:pt>
                  <c:pt idx="31">
                    <c:v>E4</c:v>
                  </c:pt>
                  <c:pt idx="32">
                    <c:v>ER</c:v>
                  </c:pt>
                  <c:pt idx="33">
                    <c:v>E2</c:v>
                  </c:pt>
                  <c:pt idx="34">
                    <c:v>E3</c:v>
                  </c:pt>
                  <c:pt idx="35">
                    <c:v>E4</c:v>
                  </c:pt>
                  <c:pt idx="36">
                    <c:v>ER</c:v>
                  </c:pt>
                  <c:pt idx="37">
                    <c:v>E2</c:v>
                  </c:pt>
                  <c:pt idx="38">
                    <c:v>E3</c:v>
                  </c:pt>
                  <c:pt idx="39">
                    <c:v>E4</c:v>
                  </c:pt>
                </c:lvl>
                <c:lvl>
                  <c:pt idx="0">
                    <c:v>22.05.2023</c:v>
                  </c:pt>
                  <c:pt idx="4">
                    <c:v>26.05.2023</c:v>
                  </c:pt>
                  <c:pt idx="8">
                    <c:v>07.06.2023</c:v>
                  </c:pt>
                  <c:pt idx="12">
                    <c:v>28.06.2023</c:v>
                  </c:pt>
                  <c:pt idx="16">
                    <c:v>14.07.2023</c:v>
                  </c:pt>
                  <c:pt idx="20">
                    <c:v>17.07.2023</c:v>
                  </c:pt>
                  <c:pt idx="24">
                    <c:v>21.07.2023</c:v>
                  </c:pt>
                  <c:pt idx="28">
                    <c:v>02.08.2023</c:v>
                  </c:pt>
                  <c:pt idx="32">
                    <c:v>30.08.2023</c:v>
                  </c:pt>
                  <c:pt idx="36">
                    <c:v>04.10.2023</c:v>
                  </c:pt>
                </c:lvl>
                <c:lvl>
                  <c:pt idx="0">
                    <c:v>1</c:v>
                  </c:pt>
                  <c:pt idx="4">
                    <c:v>5</c:v>
                  </c:pt>
                  <c:pt idx="8">
                    <c:v>17</c:v>
                  </c:pt>
                  <c:pt idx="12">
                    <c:v>38</c:v>
                  </c:pt>
                  <c:pt idx="16">
                    <c:v>54</c:v>
                  </c:pt>
                  <c:pt idx="20">
                    <c:v>57</c:v>
                  </c:pt>
                  <c:pt idx="24">
                    <c:v>61</c:v>
                  </c:pt>
                  <c:pt idx="28">
                    <c:v>73</c:v>
                  </c:pt>
                  <c:pt idx="32">
                    <c:v>101</c:v>
                  </c:pt>
                  <c:pt idx="36">
                    <c:v>136</c:v>
                  </c:pt>
                </c:lvl>
              </c:multiLvlStrCache>
            </c:multiLvlStrRef>
          </c:cat>
          <c:val>
            <c:numRef>
              <c:extLst>
                <c:ext xmlns:c15="http://schemas.microsoft.com/office/drawing/2012/chart" uri="{02D57815-91ED-43cb-92C2-25804820EDAC}">
                  <c15:fullRef>
                    <c15:sqref>Milch!$G$3:$G$46</c15:sqref>
                  </c15:fullRef>
                </c:ext>
              </c:extLst>
              <c:f>Milch!$G$3:$G$42</c:f>
              <c:numCache>
                <c:formatCode>0.00</c:formatCode>
                <c:ptCount val="4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numCache>
            </c:numRef>
          </c:val>
          <c:extLst>
            <c:ext xmlns:c16="http://schemas.microsoft.com/office/drawing/2014/chart" uri="{C3380CC4-5D6E-409C-BE32-E72D297353CC}">
              <c16:uniqueId val="{00000003-5BEA-48D3-A3D3-D8B808B005DA}"/>
            </c:ext>
          </c:extLst>
        </c:ser>
        <c:ser>
          <c:idx val="4"/>
          <c:order val="4"/>
          <c:tx>
            <c:strRef>
              <c:f>Milch!$H$2</c:f>
              <c:strCache>
                <c:ptCount val="1"/>
                <c:pt idx="0">
                  <c:v>n-PFOA </c:v>
                </c:pt>
              </c:strCache>
            </c:strRef>
          </c:tx>
          <c:spPr>
            <a:solidFill>
              <a:schemeClr val="accent5"/>
            </a:solidFill>
            <a:ln>
              <a:noFill/>
            </a:ln>
            <a:effectLst/>
          </c:spPr>
          <c:invertIfNegative val="0"/>
          <c:cat>
            <c:multiLvlStrRef>
              <c:extLst>
                <c:ext xmlns:c15="http://schemas.microsoft.com/office/drawing/2012/chart" uri="{02D57815-91ED-43cb-92C2-25804820EDAC}">
                  <c15:fullRef>
                    <c15:sqref>Milch!$A$3:$C$46</c15:sqref>
                  </c15:fullRef>
                </c:ext>
              </c:extLst>
              <c:f>Milch!$A$3:$C$42</c:f>
              <c:multiLvlStrCache>
                <c:ptCount val="40"/>
                <c:lvl>
                  <c:pt idx="0">
                    <c:v>ER</c:v>
                  </c:pt>
                  <c:pt idx="1">
                    <c:v>E2</c:v>
                  </c:pt>
                  <c:pt idx="2">
                    <c:v>E3</c:v>
                  </c:pt>
                  <c:pt idx="3">
                    <c:v>E4</c:v>
                  </c:pt>
                  <c:pt idx="4">
                    <c:v>ER</c:v>
                  </c:pt>
                  <c:pt idx="5">
                    <c:v>E2</c:v>
                  </c:pt>
                  <c:pt idx="6">
                    <c:v>E3</c:v>
                  </c:pt>
                  <c:pt idx="7">
                    <c:v>E4</c:v>
                  </c:pt>
                  <c:pt idx="8">
                    <c:v>ER</c:v>
                  </c:pt>
                  <c:pt idx="9">
                    <c:v>E2</c:v>
                  </c:pt>
                  <c:pt idx="10">
                    <c:v>E3</c:v>
                  </c:pt>
                  <c:pt idx="11">
                    <c:v>E4</c:v>
                  </c:pt>
                  <c:pt idx="12">
                    <c:v>ER</c:v>
                  </c:pt>
                  <c:pt idx="13">
                    <c:v>E2</c:v>
                  </c:pt>
                  <c:pt idx="14">
                    <c:v>E3</c:v>
                  </c:pt>
                  <c:pt idx="15">
                    <c:v>E4</c:v>
                  </c:pt>
                  <c:pt idx="16">
                    <c:v>ER</c:v>
                  </c:pt>
                  <c:pt idx="17">
                    <c:v>E2</c:v>
                  </c:pt>
                  <c:pt idx="18">
                    <c:v>E3</c:v>
                  </c:pt>
                  <c:pt idx="19">
                    <c:v>E4</c:v>
                  </c:pt>
                  <c:pt idx="20">
                    <c:v>ER</c:v>
                  </c:pt>
                  <c:pt idx="21">
                    <c:v>E2</c:v>
                  </c:pt>
                  <c:pt idx="22">
                    <c:v>E3</c:v>
                  </c:pt>
                  <c:pt idx="23">
                    <c:v>E4</c:v>
                  </c:pt>
                  <c:pt idx="24">
                    <c:v>ER</c:v>
                  </c:pt>
                  <c:pt idx="25">
                    <c:v>E2</c:v>
                  </c:pt>
                  <c:pt idx="26">
                    <c:v>E3</c:v>
                  </c:pt>
                  <c:pt idx="27">
                    <c:v>E4</c:v>
                  </c:pt>
                  <c:pt idx="28">
                    <c:v>ER</c:v>
                  </c:pt>
                  <c:pt idx="29">
                    <c:v>E2</c:v>
                  </c:pt>
                  <c:pt idx="30">
                    <c:v>E3</c:v>
                  </c:pt>
                  <c:pt idx="31">
                    <c:v>E4</c:v>
                  </c:pt>
                  <c:pt idx="32">
                    <c:v>ER</c:v>
                  </c:pt>
                  <c:pt idx="33">
                    <c:v>E2</c:v>
                  </c:pt>
                  <c:pt idx="34">
                    <c:v>E3</c:v>
                  </c:pt>
                  <c:pt idx="35">
                    <c:v>E4</c:v>
                  </c:pt>
                  <c:pt idx="36">
                    <c:v>ER</c:v>
                  </c:pt>
                  <c:pt idx="37">
                    <c:v>E2</c:v>
                  </c:pt>
                  <c:pt idx="38">
                    <c:v>E3</c:v>
                  </c:pt>
                  <c:pt idx="39">
                    <c:v>E4</c:v>
                  </c:pt>
                </c:lvl>
                <c:lvl>
                  <c:pt idx="0">
                    <c:v>22.05.2023</c:v>
                  </c:pt>
                  <c:pt idx="4">
                    <c:v>26.05.2023</c:v>
                  </c:pt>
                  <c:pt idx="8">
                    <c:v>07.06.2023</c:v>
                  </c:pt>
                  <c:pt idx="12">
                    <c:v>28.06.2023</c:v>
                  </c:pt>
                  <c:pt idx="16">
                    <c:v>14.07.2023</c:v>
                  </c:pt>
                  <c:pt idx="20">
                    <c:v>17.07.2023</c:v>
                  </c:pt>
                  <c:pt idx="24">
                    <c:v>21.07.2023</c:v>
                  </c:pt>
                  <c:pt idx="28">
                    <c:v>02.08.2023</c:v>
                  </c:pt>
                  <c:pt idx="32">
                    <c:v>30.08.2023</c:v>
                  </c:pt>
                  <c:pt idx="36">
                    <c:v>04.10.2023</c:v>
                  </c:pt>
                </c:lvl>
                <c:lvl>
                  <c:pt idx="0">
                    <c:v>1</c:v>
                  </c:pt>
                  <c:pt idx="4">
                    <c:v>5</c:v>
                  </c:pt>
                  <c:pt idx="8">
                    <c:v>17</c:v>
                  </c:pt>
                  <c:pt idx="12">
                    <c:v>38</c:v>
                  </c:pt>
                  <c:pt idx="16">
                    <c:v>54</c:v>
                  </c:pt>
                  <c:pt idx="20">
                    <c:v>57</c:v>
                  </c:pt>
                  <c:pt idx="24">
                    <c:v>61</c:v>
                  </c:pt>
                  <c:pt idx="28">
                    <c:v>73</c:v>
                  </c:pt>
                  <c:pt idx="32">
                    <c:v>101</c:v>
                  </c:pt>
                  <c:pt idx="36">
                    <c:v>136</c:v>
                  </c:pt>
                </c:lvl>
              </c:multiLvlStrCache>
            </c:multiLvlStrRef>
          </c:cat>
          <c:val>
            <c:numRef>
              <c:extLst>
                <c:ext xmlns:c15="http://schemas.microsoft.com/office/drawing/2012/chart" uri="{02D57815-91ED-43cb-92C2-25804820EDAC}">
                  <c15:fullRef>
                    <c15:sqref>Milch!$H$3:$H$46</c15:sqref>
                  </c15:fullRef>
                </c:ext>
              </c:extLst>
              <c:f>Milch!$H$3:$H$42</c:f>
              <c:numCache>
                <c:formatCode>0.00</c:formatCode>
                <c:ptCount val="40"/>
                <c:pt idx="0">
                  <c:v>0</c:v>
                </c:pt>
                <c:pt idx="1">
                  <c:v>0</c:v>
                </c:pt>
                <c:pt idx="2">
                  <c:v>0</c:v>
                </c:pt>
                <c:pt idx="3">
                  <c:v>1.01335748380402E-3</c:v>
                </c:pt>
                <c:pt idx="4">
                  <c:v>4.4426549334355414E-3</c:v>
                </c:pt>
                <c:pt idx="5">
                  <c:v>0.209595663169868</c:v>
                </c:pt>
                <c:pt idx="6">
                  <c:v>4.0133144250146899E-2</c:v>
                </c:pt>
                <c:pt idx="7">
                  <c:v>3.0518497895284297E-2</c:v>
                </c:pt>
                <c:pt idx="8">
                  <c:v>5.0477336705412809E-2</c:v>
                </c:pt>
                <c:pt idx="9">
                  <c:v>0.22187965780612298</c:v>
                </c:pt>
                <c:pt idx="10">
                  <c:v>0.17811158942407701</c:v>
                </c:pt>
                <c:pt idx="11">
                  <c:v>0.11524712207587601</c:v>
                </c:pt>
                <c:pt idx="12">
                  <c:v>1.9847346509452211E-2</c:v>
                </c:pt>
                <c:pt idx="13">
                  <c:v>2.6532308742198498E-2</c:v>
                </c:pt>
                <c:pt idx="14">
                  <c:v>3.3488525233316802E-2</c:v>
                </c:pt>
                <c:pt idx="15">
                  <c:v>2.2925038679851698E-2</c:v>
                </c:pt>
                <c:pt idx="16">
                  <c:v>2.8548527844760814E-2</c:v>
                </c:pt>
                <c:pt idx="17">
                  <c:v>5.7782984025754477E-2</c:v>
                </c:pt>
                <c:pt idx="18">
                  <c:v>3.6048779271888078E-2</c:v>
                </c:pt>
                <c:pt idx="19">
                  <c:v>2.3278323846917186E-2</c:v>
                </c:pt>
                <c:pt idx="20">
                  <c:v>4.8280235046873517E-3</c:v>
                </c:pt>
                <c:pt idx="21">
                  <c:v>3.00340268400104E-2</c:v>
                </c:pt>
                <c:pt idx="22">
                  <c:v>1.5007052692955799E-2</c:v>
                </c:pt>
                <c:pt idx="23">
                  <c:v>1.12463808041988E-2</c:v>
                </c:pt>
                <c:pt idx="24">
                  <c:v>0</c:v>
                </c:pt>
                <c:pt idx="25">
                  <c:v>2.6515195355113802E-3</c:v>
                </c:pt>
                <c:pt idx="26">
                  <c:v>1.9355260240149E-3</c:v>
                </c:pt>
                <c:pt idx="27">
                  <c:v>1.6774457027934301E-3</c:v>
                </c:pt>
                <c:pt idx="28">
                  <c:v>0</c:v>
                </c:pt>
                <c:pt idx="29">
                  <c:v>1.3266456982193699E-3</c:v>
                </c:pt>
                <c:pt idx="30">
                  <c:v>2.41932109422932E-3</c:v>
                </c:pt>
                <c:pt idx="31">
                  <c:v>2.4672001328686697E-3</c:v>
                </c:pt>
                <c:pt idx="32">
                  <c:v>0</c:v>
                </c:pt>
                <c:pt idx="33">
                  <c:v>2.4476944836482103E-3</c:v>
                </c:pt>
                <c:pt idx="34">
                  <c:v>0</c:v>
                </c:pt>
                <c:pt idx="35">
                  <c:v>0</c:v>
                </c:pt>
                <c:pt idx="36">
                  <c:v>0</c:v>
                </c:pt>
                <c:pt idx="37">
                  <c:v>0</c:v>
                </c:pt>
                <c:pt idx="38">
                  <c:v>0</c:v>
                </c:pt>
                <c:pt idx="39">
                  <c:v>0</c:v>
                </c:pt>
              </c:numCache>
            </c:numRef>
          </c:val>
          <c:extLst>
            <c:ext xmlns:c16="http://schemas.microsoft.com/office/drawing/2014/chart" uri="{C3380CC4-5D6E-409C-BE32-E72D297353CC}">
              <c16:uniqueId val="{00000004-5BEA-48D3-A3D3-D8B808B005DA}"/>
            </c:ext>
          </c:extLst>
        </c:ser>
        <c:ser>
          <c:idx val="5"/>
          <c:order val="5"/>
          <c:tx>
            <c:strRef>
              <c:f>Milch!$I$2</c:f>
              <c:strCache>
                <c:ptCount val="1"/>
                <c:pt idx="0">
                  <c:v>n-PFNA </c:v>
                </c:pt>
              </c:strCache>
            </c:strRef>
          </c:tx>
          <c:spPr>
            <a:solidFill>
              <a:schemeClr val="accent6"/>
            </a:solidFill>
            <a:ln>
              <a:noFill/>
            </a:ln>
            <a:effectLst/>
          </c:spPr>
          <c:invertIfNegative val="0"/>
          <c:cat>
            <c:multiLvlStrRef>
              <c:extLst>
                <c:ext xmlns:c15="http://schemas.microsoft.com/office/drawing/2012/chart" uri="{02D57815-91ED-43cb-92C2-25804820EDAC}">
                  <c15:fullRef>
                    <c15:sqref>Milch!$A$3:$C$46</c15:sqref>
                  </c15:fullRef>
                </c:ext>
              </c:extLst>
              <c:f>Milch!$A$3:$C$42</c:f>
              <c:multiLvlStrCache>
                <c:ptCount val="40"/>
                <c:lvl>
                  <c:pt idx="0">
                    <c:v>ER</c:v>
                  </c:pt>
                  <c:pt idx="1">
                    <c:v>E2</c:v>
                  </c:pt>
                  <c:pt idx="2">
                    <c:v>E3</c:v>
                  </c:pt>
                  <c:pt idx="3">
                    <c:v>E4</c:v>
                  </c:pt>
                  <c:pt idx="4">
                    <c:v>ER</c:v>
                  </c:pt>
                  <c:pt idx="5">
                    <c:v>E2</c:v>
                  </c:pt>
                  <c:pt idx="6">
                    <c:v>E3</c:v>
                  </c:pt>
                  <c:pt idx="7">
                    <c:v>E4</c:v>
                  </c:pt>
                  <c:pt idx="8">
                    <c:v>ER</c:v>
                  </c:pt>
                  <c:pt idx="9">
                    <c:v>E2</c:v>
                  </c:pt>
                  <c:pt idx="10">
                    <c:v>E3</c:v>
                  </c:pt>
                  <c:pt idx="11">
                    <c:v>E4</c:v>
                  </c:pt>
                  <c:pt idx="12">
                    <c:v>ER</c:v>
                  </c:pt>
                  <c:pt idx="13">
                    <c:v>E2</c:v>
                  </c:pt>
                  <c:pt idx="14">
                    <c:v>E3</c:v>
                  </c:pt>
                  <c:pt idx="15">
                    <c:v>E4</c:v>
                  </c:pt>
                  <c:pt idx="16">
                    <c:v>ER</c:v>
                  </c:pt>
                  <c:pt idx="17">
                    <c:v>E2</c:v>
                  </c:pt>
                  <c:pt idx="18">
                    <c:v>E3</c:v>
                  </c:pt>
                  <c:pt idx="19">
                    <c:v>E4</c:v>
                  </c:pt>
                  <c:pt idx="20">
                    <c:v>ER</c:v>
                  </c:pt>
                  <c:pt idx="21">
                    <c:v>E2</c:v>
                  </c:pt>
                  <c:pt idx="22">
                    <c:v>E3</c:v>
                  </c:pt>
                  <c:pt idx="23">
                    <c:v>E4</c:v>
                  </c:pt>
                  <c:pt idx="24">
                    <c:v>ER</c:v>
                  </c:pt>
                  <c:pt idx="25">
                    <c:v>E2</c:v>
                  </c:pt>
                  <c:pt idx="26">
                    <c:v>E3</c:v>
                  </c:pt>
                  <c:pt idx="27">
                    <c:v>E4</c:v>
                  </c:pt>
                  <c:pt idx="28">
                    <c:v>ER</c:v>
                  </c:pt>
                  <c:pt idx="29">
                    <c:v>E2</c:v>
                  </c:pt>
                  <c:pt idx="30">
                    <c:v>E3</c:v>
                  </c:pt>
                  <c:pt idx="31">
                    <c:v>E4</c:v>
                  </c:pt>
                  <c:pt idx="32">
                    <c:v>ER</c:v>
                  </c:pt>
                  <c:pt idx="33">
                    <c:v>E2</c:v>
                  </c:pt>
                  <c:pt idx="34">
                    <c:v>E3</c:v>
                  </c:pt>
                  <c:pt idx="35">
                    <c:v>E4</c:v>
                  </c:pt>
                  <c:pt idx="36">
                    <c:v>ER</c:v>
                  </c:pt>
                  <c:pt idx="37">
                    <c:v>E2</c:v>
                  </c:pt>
                  <c:pt idx="38">
                    <c:v>E3</c:v>
                  </c:pt>
                  <c:pt idx="39">
                    <c:v>E4</c:v>
                  </c:pt>
                </c:lvl>
                <c:lvl>
                  <c:pt idx="0">
                    <c:v>22.05.2023</c:v>
                  </c:pt>
                  <c:pt idx="4">
                    <c:v>26.05.2023</c:v>
                  </c:pt>
                  <c:pt idx="8">
                    <c:v>07.06.2023</c:v>
                  </c:pt>
                  <c:pt idx="12">
                    <c:v>28.06.2023</c:v>
                  </c:pt>
                  <c:pt idx="16">
                    <c:v>14.07.2023</c:v>
                  </c:pt>
                  <c:pt idx="20">
                    <c:v>17.07.2023</c:v>
                  </c:pt>
                  <c:pt idx="24">
                    <c:v>21.07.2023</c:v>
                  </c:pt>
                  <c:pt idx="28">
                    <c:v>02.08.2023</c:v>
                  </c:pt>
                  <c:pt idx="32">
                    <c:v>30.08.2023</c:v>
                  </c:pt>
                  <c:pt idx="36">
                    <c:v>04.10.2023</c:v>
                  </c:pt>
                </c:lvl>
                <c:lvl>
                  <c:pt idx="0">
                    <c:v>1</c:v>
                  </c:pt>
                  <c:pt idx="4">
                    <c:v>5</c:v>
                  </c:pt>
                  <c:pt idx="8">
                    <c:v>17</c:v>
                  </c:pt>
                  <c:pt idx="12">
                    <c:v>38</c:v>
                  </c:pt>
                  <c:pt idx="16">
                    <c:v>54</c:v>
                  </c:pt>
                  <c:pt idx="20">
                    <c:v>57</c:v>
                  </c:pt>
                  <c:pt idx="24">
                    <c:v>61</c:v>
                  </c:pt>
                  <c:pt idx="28">
                    <c:v>73</c:v>
                  </c:pt>
                  <c:pt idx="32">
                    <c:v>101</c:v>
                  </c:pt>
                  <c:pt idx="36">
                    <c:v>136</c:v>
                  </c:pt>
                </c:lvl>
              </c:multiLvlStrCache>
            </c:multiLvlStrRef>
          </c:cat>
          <c:val>
            <c:numRef>
              <c:extLst>
                <c:ext xmlns:c15="http://schemas.microsoft.com/office/drawing/2012/chart" uri="{02D57815-91ED-43cb-92C2-25804820EDAC}">
                  <c15:fullRef>
                    <c15:sqref>Milch!$I$3:$I$46</c15:sqref>
                  </c15:fullRef>
                </c:ext>
              </c:extLst>
              <c:f>Milch!$I$3:$I$42</c:f>
              <c:numCache>
                <c:formatCode>0.00</c:formatCode>
                <c:ptCount val="40"/>
                <c:pt idx="0">
                  <c:v>0</c:v>
                </c:pt>
                <c:pt idx="1">
                  <c:v>2.33779026822488E-3</c:v>
                </c:pt>
                <c:pt idx="2">
                  <c:v>1.67825382247219E-3</c:v>
                </c:pt>
                <c:pt idx="3">
                  <c:v>0</c:v>
                </c:pt>
                <c:pt idx="4">
                  <c:v>0</c:v>
                </c:pt>
                <c:pt idx="5">
                  <c:v>8.4797716901868301E-3</c:v>
                </c:pt>
                <c:pt idx="6">
                  <c:v>2.6023062165192001E-3</c:v>
                </c:pt>
                <c:pt idx="7">
                  <c:v>2.8251625857980398E-3</c:v>
                </c:pt>
                <c:pt idx="8">
                  <c:v>4.6489465087705788E-3</c:v>
                </c:pt>
                <c:pt idx="9">
                  <c:v>1.5030022547124601E-2</c:v>
                </c:pt>
                <c:pt idx="10">
                  <c:v>7.2258822105941492E-3</c:v>
                </c:pt>
                <c:pt idx="11">
                  <c:v>1.20451467714188E-2</c:v>
                </c:pt>
                <c:pt idx="12">
                  <c:v>2.0039105419237492E-3</c:v>
                </c:pt>
                <c:pt idx="13">
                  <c:v>7.3776302534387895E-3</c:v>
                </c:pt>
                <c:pt idx="14">
                  <c:v>3.7931325441260201E-3</c:v>
                </c:pt>
                <c:pt idx="15">
                  <c:v>4.7618705283005401E-3</c:v>
                </c:pt>
                <c:pt idx="16">
                  <c:v>2.3049986580432392E-3</c:v>
                </c:pt>
                <c:pt idx="17">
                  <c:v>3.6596696402208442E-3</c:v>
                </c:pt>
                <c:pt idx="18">
                  <c:v>3.4360410834665838E-3</c:v>
                </c:pt>
                <c:pt idx="19">
                  <c:v>1.9904698988405236E-3</c:v>
                </c:pt>
                <c:pt idx="20">
                  <c:v>1.3729193269155192E-3</c:v>
                </c:pt>
                <c:pt idx="21">
                  <c:v>4.9915542995211098E-3</c:v>
                </c:pt>
                <c:pt idx="22">
                  <c:v>2.69775103344185E-3</c:v>
                </c:pt>
                <c:pt idx="23">
                  <c:v>3.0336585547517296E-3</c:v>
                </c:pt>
                <c:pt idx="24">
                  <c:v>0</c:v>
                </c:pt>
                <c:pt idx="25">
                  <c:v>3.6211183527189899E-3</c:v>
                </c:pt>
                <c:pt idx="26">
                  <c:v>2.52474404611672E-3</c:v>
                </c:pt>
                <c:pt idx="27">
                  <c:v>1.7035833449573501E-3</c:v>
                </c:pt>
                <c:pt idx="28">
                  <c:v>0</c:v>
                </c:pt>
                <c:pt idx="29">
                  <c:v>1.0786988359892799E-3</c:v>
                </c:pt>
                <c:pt idx="30">
                  <c:v>2.1002750519565597E-3</c:v>
                </c:pt>
                <c:pt idx="31">
                  <c:v>1.83269009958066E-3</c:v>
                </c:pt>
                <c:pt idx="32">
                  <c:v>0</c:v>
                </c:pt>
                <c:pt idx="33">
                  <c:v>2.0831486387979502E-3</c:v>
                </c:pt>
                <c:pt idx="34">
                  <c:v>0</c:v>
                </c:pt>
                <c:pt idx="35">
                  <c:v>0</c:v>
                </c:pt>
                <c:pt idx="36">
                  <c:v>0</c:v>
                </c:pt>
                <c:pt idx="37">
                  <c:v>0</c:v>
                </c:pt>
                <c:pt idx="38">
                  <c:v>0</c:v>
                </c:pt>
                <c:pt idx="39">
                  <c:v>0</c:v>
                </c:pt>
              </c:numCache>
            </c:numRef>
          </c:val>
          <c:extLst>
            <c:ext xmlns:c16="http://schemas.microsoft.com/office/drawing/2014/chart" uri="{C3380CC4-5D6E-409C-BE32-E72D297353CC}">
              <c16:uniqueId val="{00000005-5BEA-48D3-A3D3-D8B808B005DA}"/>
            </c:ext>
          </c:extLst>
        </c:ser>
        <c:ser>
          <c:idx val="6"/>
          <c:order val="6"/>
          <c:tx>
            <c:strRef>
              <c:f>Milch!$J$2</c:f>
              <c:strCache>
                <c:ptCount val="1"/>
                <c:pt idx="0">
                  <c:v>n-PFDA </c:v>
                </c:pt>
              </c:strCache>
            </c:strRef>
          </c:tx>
          <c:spPr>
            <a:solidFill>
              <a:schemeClr val="accent1">
                <a:lumMod val="60000"/>
              </a:schemeClr>
            </a:solidFill>
            <a:ln>
              <a:noFill/>
            </a:ln>
            <a:effectLst/>
          </c:spPr>
          <c:invertIfNegative val="0"/>
          <c:cat>
            <c:multiLvlStrRef>
              <c:extLst>
                <c:ext xmlns:c15="http://schemas.microsoft.com/office/drawing/2012/chart" uri="{02D57815-91ED-43cb-92C2-25804820EDAC}">
                  <c15:fullRef>
                    <c15:sqref>Milch!$A$3:$C$46</c15:sqref>
                  </c15:fullRef>
                </c:ext>
              </c:extLst>
              <c:f>Milch!$A$3:$C$42</c:f>
              <c:multiLvlStrCache>
                <c:ptCount val="40"/>
                <c:lvl>
                  <c:pt idx="0">
                    <c:v>ER</c:v>
                  </c:pt>
                  <c:pt idx="1">
                    <c:v>E2</c:v>
                  </c:pt>
                  <c:pt idx="2">
                    <c:v>E3</c:v>
                  </c:pt>
                  <c:pt idx="3">
                    <c:v>E4</c:v>
                  </c:pt>
                  <c:pt idx="4">
                    <c:v>ER</c:v>
                  </c:pt>
                  <c:pt idx="5">
                    <c:v>E2</c:v>
                  </c:pt>
                  <c:pt idx="6">
                    <c:v>E3</c:v>
                  </c:pt>
                  <c:pt idx="7">
                    <c:v>E4</c:v>
                  </c:pt>
                  <c:pt idx="8">
                    <c:v>ER</c:v>
                  </c:pt>
                  <c:pt idx="9">
                    <c:v>E2</c:v>
                  </c:pt>
                  <c:pt idx="10">
                    <c:v>E3</c:v>
                  </c:pt>
                  <c:pt idx="11">
                    <c:v>E4</c:v>
                  </c:pt>
                  <c:pt idx="12">
                    <c:v>ER</c:v>
                  </c:pt>
                  <c:pt idx="13">
                    <c:v>E2</c:v>
                  </c:pt>
                  <c:pt idx="14">
                    <c:v>E3</c:v>
                  </c:pt>
                  <c:pt idx="15">
                    <c:v>E4</c:v>
                  </c:pt>
                  <c:pt idx="16">
                    <c:v>ER</c:v>
                  </c:pt>
                  <c:pt idx="17">
                    <c:v>E2</c:v>
                  </c:pt>
                  <c:pt idx="18">
                    <c:v>E3</c:v>
                  </c:pt>
                  <c:pt idx="19">
                    <c:v>E4</c:v>
                  </c:pt>
                  <c:pt idx="20">
                    <c:v>ER</c:v>
                  </c:pt>
                  <c:pt idx="21">
                    <c:v>E2</c:v>
                  </c:pt>
                  <c:pt idx="22">
                    <c:v>E3</c:v>
                  </c:pt>
                  <c:pt idx="23">
                    <c:v>E4</c:v>
                  </c:pt>
                  <c:pt idx="24">
                    <c:v>ER</c:v>
                  </c:pt>
                  <c:pt idx="25">
                    <c:v>E2</c:v>
                  </c:pt>
                  <c:pt idx="26">
                    <c:v>E3</c:v>
                  </c:pt>
                  <c:pt idx="27">
                    <c:v>E4</c:v>
                  </c:pt>
                  <c:pt idx="28">
                    <c:v>ER</c:v>
                  </c:pt>
                  <c:pt idx="29">
                    <c:v>E2</c:v>
                  </c:pt>
                  <c:pt idx="30">
                    <c:v>E3</c:v>
                  </c:pt>
                  <c:pt idx="31">
                    <c:v>E4</c:v>
                  </c:pt>
                  <c:pt idx="32">
                    <c:v>ER</c:v>
                  </c:pt>
                  <c:pt idx="33">
                    <c:v>E2</c:v>
                  </c:pt>
                  <c:pt idx="34">
                    <c:v>E3</c:v>
                  </c:pt>
                  <c:pt idx="35">
                    <c:v>E4</c:v>
                  </c:pt>
                  <c:pt idx="36">
                    <c:v>ER</c:v>
                  </c:pt>
                  <c:pt idx="37">
                    <c:v>E2</c:v>
                  </c:pt>
                  <c:pt idx="38">
                    <c:v>E3</c:v>
                  </c:pt>
                  <c:pt idx="39">
                    <c:v>E4</c:v>
                  </c:pt>
                </c:lvl>
                <c:lvl>
                  <c:pt idx="0">
                    <c:v>22.05.2023</c:v>
                  </c:pt>
                  <c:pt idx="4">
                    <c:v>26.05.2023</c:v>
                  </c:pt>
                  <c:pt idx="8">
                    <c:v>07.06.2023</c:v>
                  </c:pt>
                  <c:pt idx="12">
                    <c:v>28.06.2023</c:v>
                  </c:pt>
                  <c:pt idx="16">
                    <c:v>14.07.2023</c:v>
                  </c:pt>
                  <c:pt idx="20">
                    <c:v>17.07.2023</c:v>
                  </c:pt>
                  <c:pt idx="24">
                    <c:v>21.07.2023</c:v>
                  </c:pt>
                  <c:pt idx="28">
                    <c:v>02.08.2023</c:v>
                  </c:pt>
                  <c:pt idx="32">
                    <c:v>30.08.2023</c:v>
                  </c:pt>
                  <c:pt idx="36">
                    <c:v>04.10.2023</c:v>
                  </c:pt>
                </c:lvl>
                <c:lvl>
                  <c:pt idx="0">
                    <c:v>1</c:v>
                  </c:pt>
                  <c:pt idx="4">
                    <c:v>5</c:v>
                  </c:pt>
                  <c:pt idx="8">
                    <c:v>17</c:v>
                  </c:pt>
                  <c:pt idx="12">
                    <c:v>38</c:v>
                  </c:pt>
                  <c:pt idx="16">
                    <c:v>54</c:v>
                  </c:pt>
                  <c:pt idx="20">
                    <c:v>57</c:v>
                  </c:pt>
                  <c:pt idx="24">
                    <c:v>61</c:v>
                  </c:pt>
                  <c:pt idx="28">
                    <c:v>73</c:v>
                  </c:pt>
                  <c:pt idx="32">
                    <c:v>101</c:v>
                  </c:pt>
                  <c:pt idx="36">
                    <c:v>136</c:v>
                  </c:pt>
                </c:lvl>
              </c:multiLvlStrCache>
            </c:multiLvlStrRef>
          </c:cat>
          <c:val>
            <c:numRef>
              <c:extLst>
                <c:ext xmlns:c15="http://schemas.microsoft.com/office/drawing/2012/chart" uri="{02D57815-91ED-43cb-92C2-25804820EDAC}">
                  <c15:fullRef>
                    <c15:sqref>Milch!$J$3:$J$46</c15:sqref>
                  </c15:fullRef>
                </c:ext>
              </c:extLst>
              <c:f>Milch!$J$3:$J$42</c:f>
              <c:numCache>
                <c:formatCode>0.00</c:formatCode>
                <c:ptCount val="40"/>
                <c:pt idx="0">
                  <c:v>0</c:v>
                </c:pt>
                <c:pt idx="1">
                  <c:v>1.1790775702605201E-2</c:v>
                </c:pt>
                <c:pt idx="2">
                  <c:v>1.38040981363727E-2</c:v>
                </c:pt>
                <c:pt idx="3">
                  <c:v>1.25119338315338E-2</c:v>
                </c:pt>
                <c:pt idx="4">
                  <c:v>0</c:v>
                </c:pt>
                <c:pt idx="5">
                  <c:v>3.3389069317713203E-2</c:v>
                </c:pt>
                <c:pt idx="6">
                  <c:v>2.1062998773426902E-2</c:v>
                </c:pt>
                <c:pt idx="7">
                  <c:v>2.64028903773092E-2</c:v>
                </c:pt>
                <c:pt idx="8">
                  <c:v>3.2914773966452947E-2</c:v>
                </c:pt>
                <c:pt idx="9">
                  <c:v>7.3795781913673808E-2</c:v>
                </c:pt>
                <c:pt idx="10">
                  <c:v>4.3196445494956201E-2</c:v>
                </c:pt>
                <c:pt idx="11">
                  <c:v>8.3871477172770201E-2</c:v>
                </c:pt>
                <c:pt idx="12">
                  <c:v>4.3136119076977154E-2</c:v>
                </c:pt>
                <c:pt idx="13">
                  <c:v>0.107156169024134</c:v>
                </c:pt>
                <c:pt idx="14">
                  <c:v>4.6570570423550894E-2</c:v>
                </c:pt>
                <c:pt idx="15">
                  <c:v>9.3911152115214197E-2</c:v>
                </c:pt>
                <c:pt idx="16">
                  <c:v>5.4652470905084349E-2</c:v>
                </c:pt>
                <c:pt idx="17">
                  <c:v>7.2559051018973225E-2</c:v>
                </c:pt>
                <c:pt idx="18">
                  <c:v>9.7881261792901728E-2</c:v>
                </c:pt>
                <c:pt idx="19">
                  <c:v>5.2268330133902328E-2</c:v>
                </c:pt>
                <c:pt idx="20">
                  <c:v>5.9375309489246755E-2</c:v>
                </c:pt>
                <c:pt idx="21">
                  <c:v>9.3097136993615395E-2</c:v>
                </c:pt>
                <c:pt idx="22">
                  <c:v>6.4711043081659897E-2</c:v>
                </c:pt>
                <c:pt idx="23">
                  <c:v>0.122337683612202</c:v>
                </c:pt>
                <c:pt idx="24">
                  <c:v>4.5975018505869651E-2</c:v>
                </c:pt>
                <c:pt idx="25">
                  <c:v>6.9676128653275896E-2</c:v>
                </c:pt>
                <c:pt idx="26">
                  <c:v>4.7105444929390602E-2</c:v>
                </c:pt>
                <c:pt idx="27">
                  <c:v>9.1003090713101198E-2</c:v>
                </c:pt>
                <c:pt idx="28">
                  <c:v>4.6606885049235151E-2</c:v>
                </c:pt>
                <c:pt idx="29">
                  <c:v>8.8128211407214496E-2</c:v>
                </c:pt>
                <c:pt idx="30">
                  <c:v>6.8830983718829994E-2</c:v>
                </c:pt>
                <c:pt idx="31">
                  <c:v>9.8386977554906913E-2</c:v>
                </c:pt>
                <c:pt idx="32">
                  <c:v>3.0443656097894154E-2</c:v>
                </c:pt>
                <c:pt idx="33">
                  <c:v>5.9942483766367502E-2</c:v>
                </c:pt>
                <c:pt idx="34">
                  <c:v>3.8687961798265696E-2</c:v>
                </c:pt>
                <c:pt idx="35">
                  <c:v>4.07674500930005E-2</c:v>
                </c:pt>
                <c:pt idx="36">
                  <c:v>1.2826139872192754E-2</c:v>
                </c:pt>
                <c:pt idx="37">
                  <c:v>1.21215463322545E-2</c:v>
                </c:pt>
                <c:pt idx="38">
                  <c:v>0</c:v>
                </c:pt>
                <c:pt idx="39">
                  <c:v>1.10560498443018E-2</c:v>
                </c:pt>
              </c:numCache>
            </c:numRef>
          </c:val>
          <c:extLst>
            <c:ext xmlns:c16="http://schemas.microsoft.com/office/drawing/2014/chart" uri="{C3380CC4-5D6E-409C-BE32-E72D297353CC}">
              <c16:uniqueId val="{00000006-5BEA-48D3-A3D3-D8B808B005DA}"/>
            </c:ext>
          </c:extLst>
        </c:ser>
        <c:ser>
          <c:idx val="7"/>
          <c:order val="7"/>
          <c:tx>
            <c:strRef>
              <c:f>Milch!$K$2</c:f>
              <c:strCache>
                <c:ptCount val="1"/>
                <c:pt idx="0">
                  <c:v>n-PFUnDA </c:v>
                </c:pt>
              </c:strCache>
            </c:strRef>
          </c:tx>
          <c:spPr>
            <a:solidFill>
              <a:schemeClr val="accent2">
                <a:lumMod val="60000"/>
              </a:schemeClr>
            </a:solidFill>
            <a:ln>
              <a:noFill/>
            </a:ln>
            <a:effectLst/>
          </c:spPr>
          <c:invertIfNegative val="0"/>
          <c:cat>
            <c:multiLvlStrRef>
              <c:extLst>
                <c:ext xmlns:c15="http://schemas.microsoft.com/office/drawing/2012/chart" uri="{02D57815-91ED-43cb-92C2-25804820EDAC}">
                  <c15:fullRef>
                    <c15:sqref>Milch!$A$3:$C$46</c15:sqref>
                  </c15:fullRef>
                </c:ext>
              </c:extLst>
              <c:f>Milch!$A$3:$C$42</c:f>
              <c:multiLvlStrCache>
                <c:ptCount val="40"/>
                <c:lvl>
                  <c:pt idx="0">
                    <c:v>ER</c:v>
                  </c:pt>
                  <c:pt idx="1">
                    <c:v>E2</c:v>
                  </c:pt>
                  <c:pt idx="2">
                    <c:v>E3</c:v>
                  </c:pt>
                  <c:pt idx="3">
                    <c:v>E4</c:v>
                  </c:pt>
                  <c:pt idx="4">
                    <c:v>ER</c:v>
                  </c:pt>
                  <c:pt idx="5">
                    <c:v>E2</c:v>
                  </c:pt>
                  <c:pt idx="6">
                    <c:v>E3</c:v>
                  </c:pt>
                  <c:pt idx="7">
                    <c:v>E4</c:v>
                  </c:pt>
                  <c:pt idx="8">
                    <c:v>ER</c:v>
                  </c:pt>
                  <c:pt idx="9">
                    <c:v>E2</c:v>
                  </c:pt>
                  <c:pt idx="10">
                    <c:v>E3</c:v>
                  </c:pt>
                  <c:pt idx="11">
                    <c:v>E4</c:v>
                  </c:pt>
                  <c:pt idx="12">
                    <c:v>ER</c:v>
                  </c:pt>
                  <c:pt idx="13">
                    <c:v>E2</c:v>
                  </c:pt>
                  <c:pt idx="14">
                    <c:v>E3</c:v>
                  </c:pt>
                  <c:pt idx="15">
                    <c:v>E4</c:v>
                  </c:pt>
                  <c:pt idx="16">
                    <c:v>ER</c:v>
                  </c:pt>
                  <c:pt idx="17">
                    <c:v>E2</c:v>
                  </c:pt>
                  <c:pt idx="18">
                    <c:v>E3</c:v>
                  </c:pt>
                  <c:pt idx="19">
                    <c:v>E4</c:v>
                  </c:pt>
                  <c:pt idx="20">
                    <c:v>ER</c:v>
                  </c:pt>
                  <c:pt idx="21">
                    <c:v>E2</c:v>
                  </c:pt>
                  <c:pt idx="22">
                    <c:v>E3</c:v>
                  </c:pt>
                  <c:pt idx="23">
                    <c:v>E4</c:v>
                  </c:pt>
                  <c:pt idx="24">
                    <c:v>ER</c:v>
                  </c:pt>
                  <c:pt idx="25">
                    <c:v>E2</c:v>
                  </c:pt>
                  <c:pt idx="26">
                    <c:v>E3</c:v>
                  </c:pt>
                  <c:pt idx="27">
                    <c:v>E4</c:v>
                  </c:pt>
                  <c:pt idx="28">
                    <c:v>ER</c:v>
                  </c:pt>
                  <c:pt idx="29">
                    <c:v>E2</c:v>
                  </c:pt>
                  <c:pt idx="30">
                    <c:v>E3</c:v>
                  </c:pt>
                  <c:pt idx="31">
                    <c:v>E4</c:v>
                  </c:pt>
                  <c:pt idx="32">
                    <c:v>ER</c:v>
                  </c:pt>
                  <c:pt idx="33">
                    <c:v>E2</c:v>
                  </c:pt>
                  <c:pt idx="34">
                    <c:v>E3</c:v>
                  </c:pt>
                  <c:pt idx="35">
                    <c:v>E4</c:v>
                  </c:pt>
                  <c:pt idx="36">
                    <c:v>ER</c:v>
                  </c:pt>
                  <c:pt idx="37">
                    <c:v>E2</c:v>
                  </c:pt>
                  <c:pt idx="38">
                    <c:v>E3</c:v>
                  </c:pt>
                  <c:pt idx="39">
                    <c:v>E4</c:v>
                  </c:pt>
                </c:lvl>
                <c:lvl>
                  <c:pt idx="0">
                    <c:v>22.05.2023</c:v>
                  </c:pt>
                  <c:pt idx="4">
                    <c:v>26.05.2023</c:v>
                  </c:pt>
                  <c:pt idx="8">
                    <c:v>07.06.2023</c:v>
                  </c:pt>
                  <c:pt idx="12">
                    <c:v>28.06.2023</c:v>
                  </c:pt>
                  <c:pt idx="16">
                    <c:v>14.07.2023</c:v>
                  </c:pt>
                  <c:pt idx="20">
                    <c:v>17.07.2023</c:v>
                  </c:pt>
                  <c:pt idx="24">
                    <c:v>21.07.2023</c:v>
                  </c:pt>
                  <c:pt idx="28">
                    <c:v>02.08.2023</c:v>
                  </c:pt>
                  <c:pt idx="32">
                    <c:v>30.08.2023</c:v>
                  </c:pt>
                  <c:pt idx="36">
                    <c:v>04.10.2023</c:v>
                  </c:pt>
                </c:lvl>
                <c:lvl>
                  <c:pt idx="0">
                    <c:v>1</c:v>
                  </c:pt>
                  <c:pt idx="4">
                    <c:v>5</c:v>
                  </c:pt>
                  <c:pt idx="8">
                    <c:v>17</c:v>
                  </c:pt>
                  <c:pt idx="12">
                    <c:v>38</c:v>
                  </c:pt>
                  <c:pt idx="16">
                    <c:v>54</c:v>
                  </c:pt>
                  <c:pt idx="20">
                    <c:v>57</c:v>
                  </c:pt>
                  <c:pt idx="24">
                    <c:v>61</c:v>
                  </c:pt>
                  <c:pt idx="28">
                    <c:v>73</c:v>
                  </c:pt>
                  <c:pt idx="32">
                    <c:v>101</c:v>
                  </c:pt>
                  <c:pt idx="36">
                    <c:v>136</c:v>
                  </c:pt>
                </c:lvl>
              </c:multiLvlStrCache>
            </c:multiLvlStrRef>
          </c:cat>
          <c:val>
            <c:numRef>
              <c:extLst>
                <c:ext xmlns:c15="http://schemas.microsoft.com/office/drawing/2012/chart" uri="{02D57815-91ED-43cb-92C2-25804820EDAC}">
                  <c15:fullRef>
                    <c15:sqref>Milch!$K$3:$K$46</c15:sqref>
                  </c15:fullRef>
                </c:ext>
              </c:extLst>
              <c:f>Milch!$K$3:$K$42</c:f>
              <c:numCache>
                <c:formatCode>0.00</c:formatCode>
                <c:ptCount val="40"/>
                <c:pt idx="0">
                  <c:v>0</c:v>
                </c:pt>
                <c:pt idx="1">
                  <c:v>0</c:v>
                </c:pt>
                <c:pt idx="2">
                  <c:v>0</c:v>
                </c:pt>
                <c:pt idx="3">
                  <c:v>2.58914829109826E-3</c:v>
                </c:pt>
                <c:pt idx="4">
                  <c:v>0</c:v>
                </c:pt>
                <c:pt idx="5">
                  <c:v>9.360817310340809E-3</c:v>
                </c:pt>
                <c:pt idx="6">
                  <c:v>5.5475062293487403E-3</c:v>
                </c:pt>
                <c:pt idx="7">
                  <c:v>7.4585079263439708E-3</c:v>
                </c:pt>
                <c:pt idx="8">
                  <c:v>1.6954041349351301E-2</c:v>
                </c:pt>
                <c:pt idx="9">
                  <c:v>3.49147823591077E-2</c:v>
                </c:pt>
                <c:pt idx="10">
                  <c:v>1.86194526223438E-2</c:v>
                </c:pt>
                <c:pt idx="11">
                  <c:v>4.1619764345093103E-2</c:v>
                </c:pt>
                <c:pt idx="12">
                  <c:v>2.5778508931931701E-2</c:v>
                </c:pt>
                <c:pt idx="13">
                  <c:v>5.4210330547925699E-2</c:v>
                </c:pt>
                <c:pt idx="14">
                  <c:v>2.2460409862691998E-2</c:v>
                </c:pt>
                <c:pt idx="15">
                  <c:v>4.99200196084294E-2</c:v>
                </c:pt>
                <c:pt idx="16">
                  <c:v>2.7230372760294098E-2</c:v>
                </c:pt>
                <c:pt idx="17">
                  <c:v>3.29218952878743E-2</c:v>
                </c:pt>
                <c:pt idx="18">
                  <c:v>4.44819259799447E-2</c:v>
                </c:pt>
                <c:pt idx="19">
                  <c:v>2.58525007599066E-2</c:v>
                </c:pt>
                <c:pt idx="20">
                  <c:v>3.11602479895168E-2</c:v>
                </c:pt>
                <c:pt idx="21">
                  <c:v>4.8083620149294799E-2</c:v>
                </c:pt>
                <c:pt idx="22">
                  <c:v>2.7504118597854302E-2</c:v>
                </c:pt>
                <c:pt idx="23">
                  <c:v>5.5610732630760704E-2</c:v>
                </c:pt>
                <c:pt idx="24">
                  <c:v>2.16245846227331E-2</c:v>
                </c:pt>
                <c:pt idx="25">
                  <c:v>3.82098923606249E-2</c:v>
                </c:pt>
                <c:pt idx="26">
                  <c:v>2.17988163822024E-2</c:v>
                </c:pt>
                <c:pt idx="27">
                  <c:v>4.0541575175703302E-2</c:v>
                </c:pt>
                <c:pt idx="28">
                  <c:v>2.0695190398836001E-2</c:v>
                </c:pt>
                <c:pt idx="29">
                  <c:v>3.9919350703616095E-2</c:v>
                </c:pt>
                <c:pt idx="30">
                  <c:v>3.1451860435167796E-2</c:v>
                </c:pt>
                <c:pt idx="31">
                  <c:v>3.4805153877288497E-2</c:v>
                </c:pt>
                <c:pt idx="32">
                  <c:v>1.15001176611017E-2</c:v>
                </c:pt>
                <c:pt idx="33">
                  <c:v>2.3069878619327602E-2</c:v>
                </c:pt>
                <c:pt idx="34">
                  <c:v>1.2226508611969701E-2</c:v>
                </c:pt>
                <c:pt idx="35">
                  <c:v>1.2976656648201301E-2</c:v>
                </c:pt>
                <c:pt idx="36">
                  <c:v>3.7359473335998E-3</c:v>
                </c:pt>
                <c:pt idx="37">
                  <c:v>2.9100209041917099E-3</c:v>
                </c:pt>
                <c:pt idx="38">
                  <c:v>0</c:v>
                </c:pt>
                <c:pt idx="39">
                  <c:v>0</c:v>
                </c:pt>
              </c:numCache>
            </c:numRef>
          </c:val>
          <c:extLst>
            <c:ext xmlns:c16="http://schemas.microsoft.com/office/drawing/2014/chart" uri="{C3380CC4-5D6E-409C-BE32-E72D297353CC}">
              <c16:uniqueId val="{00000007-5BEA-48D3-A3D3-D8B808B005DA}"/>
            </c:ext>
          </c:extLst>
        </c:ser>
        <c:ser>
          <c:idx val="8"/>
          <c:order val="8"/>
          <c:tx>
            <c:strRef>
              <c:f>Milch!$L$2</c:f>
              <c:strCache>
                <c:ptCount val="1"/>
                <c:pt idx="0">
                  <c:v>n-PFDoDA </c:v>
                </c:pt>
              </c:strCache>
            </c:strRef>
          </c:tx>
          <c:spPr>
            <a:solidFill>
              <a:schemeClr val="accent3">
                <a:lumMod val="60000"/>
              </a:schemeClr>
            </a:solidFill>
            <a:ln>
              <a:noFill/>
            </a:ln>
            <a:effectLst/>
          </c:spPr>
          <c:invertIfNegative val="0"/>
          <c:cat>
            <c:multiLvlStrRef>
              <c:extLst>
                <c:ext xmlns:c15="http://schemas.microsoft.com/office/drawing/2012/chart" uri="{02D57815-91ED-43cb-92C2-25804820EDAC}">
                  <c15:fullRef>
                    <c15:sqref>Milch!$A$3:$C$46</c15:sqref>
                  </c15:fullRef>
                </c:ext>
              </c:extLst>
              <c:f>Milch!$A$3:$C$42</c:f>
              <c:multiLvlStrCache>
                <c:ptCount val="40"/>
                <c:lvl>
                  <c:pt idx="0">
                    <c:v>ER</c:v>
                  </c:pt>
                  <c:pt idx="1">
                    <c:v>E2</c:v>
                  </c:pt>
                  <c:pt idx="2">
                    <c:v>E3</c:v>
                  </c:pt>
                  <c:pt idx="3">
                    <c:v>E4</c:v>
                  </c:pt>
                  <c:pt idx="4">
                    <c:v>ER</c:v>
                  </c:pt>
                  <c:pt idx="5">
                    <c:v>E2</c:v>
                  </c:pt>
                  <c:pt idx="6">
                    <c:v>E3</c:v>
                  </c:pt>
                  <c:pt idx="7">
                    <c:v>E4</c:v>
                  </c:pt>
                  <c:pt idx="8">
                    <c:v>ER</c:v>
                  </c:pt>
                  <c:pt idx="9">
                    <c:v>E2</c:v>
                  </c:pt>
                  <c:pt idx="10">
                    <c:v>E3</c:v>
                  </c:pt>
                  <c:pt idx="11">
                    <c:v>E4</c:v>
                  </c:pt>
                  <c:pt idx="12">
                    <c:v>ER</c:v>
                  </c:pt>
                  <c:pt idx="13">
                    <c:v>E2</c:v>
                  </c:pt>
                  <c:pt idx="14">
                    <c:v>E3</c:v>
                  </c:pt>
                  <c:pt idx="15">
                    <c:v>E4</c:v>
                  </c:pt>
                  <c:pt idx="16">
                    <c:v>ER</c:v>
                  </c:pt>
                  <c:pt idx="17">
                    <c:v>E2</c:v>
                  </c:pt>
                  <c:pt idx="18">
                    <c:v>E3</c:v>
                  </c:pt>
                  <c:pt idx="19">
                    <c:v>E4</c:v>
                  </c:pt>
                  <c:pt idx="20">
                    <c:v>ER</c:v>
                  </c:pt>
                  <c:pt idx="21">
                    <c:v>E2</c:v>
                  </c:pt>
                  <c:pt idx="22">
                    <c:v>E3</c:v>
                  </c:pt>
                  <c:pt idx="23">
                    <c:v>E4</c:v>
                  </c:pt>
                  <c:pt idx="24">
                    <c:v>ER</c:v>
                  </c:pt>
                  <c:pt idx="25">
                    <c:v>E2</c:v>
                  </c:pt>
                  <c:pt idx="26">
                    <c:v>E3</c:v>
                  </c:pt>
                  <c:pt idx="27">
                    <c:v>E4</c:v>
                  </c:pt>
                  <c:pt idx="28">
                    <c:v>ER</c:v>
                  </c:pt>
                  <c:pt idx="29">
                    <c:v>E2</c:v>
                  </c:pt>
                  <c:pt idx="30">
                    <c:v>E3</c:v>
                  </c:pt>
                  <c:pt idx="31">
                    <c:v>E4</c:v>
                  </c:pt>
                  <c:pt idx="32">
                    <c:v>ER</c:v>
                  </c:pt>
                  <c:pt idx="33">
                    <c:v>E2</c:v>
                  </c:pt>
                  <c:pt idx="34">
                    <c:v>E3</c:v>
                  </c:pt>
                  <c:pt idx="35">
                    <c:v>E4</c:v>
                  </c:pt>
                  <c:pt idx="36">
                    <c:v>ER</c:v>
                  </c:pt>
                  <c:pt idx="37">
                    <c:v>E2</c:v>
                  </c:pt>
                  <c:pt idx="38">
                    <c:v>E3</c:v>
                  </c:pt>
                  <c:pt idx="39">
                    <c:v>E4</c:v>
                  </c:pt>
                </c:lvl>
                <c:lvl>
                  <c:pt idx="0">
                    <c:v>22.05.2023</c:v>
                  </c:pt>
                  <c:pt idx="4">
                    <c:v>26.05.2023</c:v>
                  </c:pt>
                  <c:pt idx="8">
                    <c:v>07.06.2023</c:v>
                  </c:pt>
                  <c:pt idx="12">
                    <c:v>28.06.2023</c:v>
                  </c:pt>
                  <c:pt idx="16">
                    <c:v>14.07.2023</c:v>
                  </c:pt>
                  <c:pt idx="20">
                    <c:v>17.07.2023</c:v>
                  </c:pt>
                  <c:pt idx="24">
                    <c:v>21.07.2023</c:v>
                  </c:pt>
                  <c:pt idx="28">
                    <c:v>02.08.2023</c:v>
                  </c:pt>
                  <c:pt idx="32">
                    <c:v>30.08.2023</c:v>
                  </c:pt>
                  <c:pt idx="36">
                    <c:v>04.10.2023</c:v>
                  </c:pt>
                </c:lvl>
                <c:lvl>
                  <c:pt idx="0">
                    <c:v>1</c:v>
                  </c:pt>
                  <c:pt idx="4">
                    <c:v>5</c:v>
                  </c:pt>
                  <c:pt idx="8">
                    <c:v>17</c:v>
                  </c:pt>
                  <c:pt idx="12">
                    <c:v>38</c:v>
                  </c:pt>
                  <c:pt idx="16">
                    <c:v>54</c:v>
                  </c:pt>
                  <c:pt idx="20">
                    <c:v>57</c:v>
                  </c:pt>
                  <c:pt idx="24">
                    <c:v>61</c:v>
                  </c:pt>
                  <c:pt idx="28">
                    <c:v>73</c:v>
                  </c:pt>
                  <c:pt idx="32">
                    <c:v>101</c:v>
                  </c:pt>
                  <c:pt idx="36">
                    <c:v>136</c:v>
                  </c:pt>
                </c:lvl>
              </c:multiLvlStrCache>
            </c:multiLvlStrRef>
          </c:cat>
          <c:val>
            <c:numRef>
              <c:extLst>
                <c:ext xmlns:c15="http://schemas.microsoft.com/office/drawing/2012/chart" uri="{02D57815-91ED-43cb-92C2-25804820EDAC}">
                  <c15:fullRef>
                    <c15:sqref>Milch!$L$3:$L$46</c15:sqref>
                  </c15:fullRef>
                </c:ext>
              </c:extLst>
              <c:f>Milch!$L$3:$L$42</c:f>
              <c:numCache>
                <c:formatCode>0.00</c:formatCode>
                <c:ptCount val="40"/>
                <c:pt idx="0">
                  <c:v>0</c:v>
                </c:pt>
                <c:pt idx="1">
                  <c:v>0</c:v>
                </c:pt>
                <c:pt idx="2">
                  <c:v>0</c:v>
                </c:pt>
                <c:pt idx="3">
                  <c:v>0</c:v>
                </c:pt>
                <c:pt idx="4">
                  <c:v>0</c:v>
                </c:pt>
                <c:pt idx="5">
                  <c:v>7.89648505321092E-3</c:v>
                </c:pt>
                <c:pt idx="6">
                  <c:v>0</c:v>
                </c:pt>
                <c:pt idx="7">
                  <c:v>0</c:v>
                </c:pt>
                <c:pt idx="8">
                  <c:v>1.49716133301933E-2</c:v>
                </c:pt>
                <c:pt idx="9">
                  <c:v>2.9367155782343599E-2</c:v>
                </c:pt>
                <c:pt idx="10">
                  <c:v>1.69262717975509E-2</c:v>
                </c:pt>
                <c:pt idx="11">
                  <c:v>3.4153800334022003E-2</c:v>
                </c:pt>
                <c:pt idx="12">
                  <c:v>2.45732131973363E-2</c:v>
                </c:pt>
                <c:pt idx="13">
                  <c:v>4.00500470331797E-2</c:v>
                </c:pt>
                <c:pt idx="14">
                  <c:v>1.7348980508508301E-2</c:v>
                </c:pt>
                <c:pt idx="15">
                  <c:v>3.1663821973688298E-2</c:v>
                </c:pt>
                <c:pt idx="16">
                  <c:v>2.4922846824658999E-2</c:v>
                </c:pt>
                <c:pt idx="17">
                  <c:v>2.4558960948641701E-2</c:v>
                </c:pt>
                <c:pt idx="18">
                  <c:v>2.6888572770725899E-2</c:v>
                </c:pt>
                <c:pt idx="19">
                  <c:v>2.1273776649253999E-2</c:v>
                </c:pt>
                <c:pt idx="20">
                  <c:v>2.0915846046972799E-2</c:v>
                </c:pt>
                <c:pt idx="21">
                  <c:v>3.9158369226801597E-2</c:v>
                </c:pt>
                <c:pt idx="22">
                  <c:v>2.3506400259173499E-2</c:v>
                </c:pt>
                <c:pt idx="23">
                  <c:v>3.5579949787219102E-2</c:v>
                </c:pt>
                <c:pt idx="24">
                  <c:v>1.64069896124623E-2</c:v>
                </c:pt>
                <c:pt idx="25">
                  <c:v>2.6949181076347601E-2</c:v>
                </c:pt>
                <c:pt idx="26">
                  <c:v>1.62668779880514E-2</c:v>
                </c:pt>
                <c:pt idx="27">
                  <c:v>2.5023743811544399E-2</c:v>
                </c:pt>
                <c:pt idx="28">
                  <c:v>1.2761840533562E-2</c:v>
                </c:pt>
                <c:pt idx="29">
                  <c:v>2.25663423294197E-2</c:v>
                </c:pt>
                <c:pt idx="30">
                  <c:v>1.6122531047794299E-2</c:v>
                </c:pt>
                <c:pt idx="31">
                  <c:v>1.6264082775781501E-2</c:v>
                </c:pt>
                <c:pt idx="32">
                  <c:v>5.2161457668237999E-3</c:v>
                </c:pt>
                <c:pt idx="33">
                  <c:v>9.9867257502593912E-3</c:v>
                </c:pt>
                <c:pt idx="34">
                  <c:v>5.1444886890135997E-3</c:v>
                </c:pt>
                <c:pt idx="35">
                  <c:v>0</c:v>
                </c:pt>
                <c:pt idx="36">
                  <c:v>0</c:v>
                </c:pt>
                <c:pt idx="37">
                  <c:v>0</c:v>
                </c:pt>
                <c:pt idx="38">
                  <c:v>0</c:v>
                </c:pt>
                <c:pt idx="39">
                  <c:v>0</c:v>
                </c:pt>
              </c:numCache>
            </c:numRef>
          </c:val>
          <c:extLst>
            <c:ext xmlns:c16="http://schemas.microsoft.com/office/drawing/2014/chart" uri="{C3380CC4-5D6E-409C-BE32-E72D297353CC}">
              <c16:uniqueId val="{00000008-5BEA-48D3-A3D3-D8B808B005DA}"/>
            </c:ext>
          </c:extLst>
        </c:ser>
        <c:ser>
          <c:idx val="9"/>
          <c:order val="9"/>
          <c:tx>
            <c:strRef>
              <c:f>Milch!$M$2</c:f>
              <c:strCache>
                <c:ptCount val="1"/>
                <c:pt idx="0">
                  <c:v>n-PFTrDA </c:v>
                </c:pt>
              </c:strCache>
            </c:strRef>
          </c:tx>
          <c:spPr>
            <a:solidFill>
              <a:schemeClr val="accent4">
                <a:lumMod val="60000"/>
              </a:schemeClr>
            </a:solidFill>
            <a:ln>
              <a:noFill/>
            </a:ln>
            <a:effectLst/>
          </c:spPr>
          <c:invertIfNegative val="0"/>
          <c:cat>
            <c:multiLvlStrRef>
              <c:extLst>
                <c:ext xmlns:c15="http://schemas.microsoft.com/office/drawing/2012/chart" uri="{02D57815-91ED-43cb-92C2-25804820EDAC}">
                  <c15:fullRef>
                    <c15:sqref>Milch!$A$3:$C$46</c15:sqref>
                  </c15:fullRef>
                </c:ext>
              </c:extLst>
              <c:f>Milch!$A$3:$C$42</c:f>
              <c:multiLvlStrCache>
                <c:ptCount val="40"/>
                <c:lvl>
                  <c:pt idx="0">
                    <c:v>ER</c:v>
                  </c:pt>
                  <c:pt idx="1">
                    <c:v>E2</c:v>
                  </c:pt>
                  <c:pt idx="2">
                    <c:v>E3</c:v>
                  </c:pt>
                  <c:pt idx="3">
                    <c:v>E4</c:v>
                  </c:pt>
                  <c:pt idx="4">
                    <c:v>ER</c:v>
                  </c:pt>
                  <c:pt idx="5">
                    <c:v>E2</c:v>
                  </c:pt>
                  <c:pt idx="6">
                    <c:v>E3</c:v>
                  </c:pt>
                  <c:pt idx="7">
                    <c:v>E4</c:v>
                  </c:pt>
                  <c:pt idx="8">
                    <c:v>ER</c:v>
                  </c:pt>
                  <c:pt idx="9">
                    <c:v>E2</c:v>
                  </c:pt>
                  <c:pt idx="10">
                    <c:v>E3</c:v>
                  </c:pt>
                  <c:pt idx="11">
                    <c:v>E4</c:v>
                  </c:pt>
                  <c:pt idx="12">
                    <c:v>ER</c:v>
                  </c:pt>
                  <c:pt idx="13">
                    <c:v>E2</c:v>
                  </c:pt>
                  <c:pt idx="14">
                    <c:v>E3</c:v>
                  </c:pt>
                  <c:pt idx="15">
                    <c:v>E4</c:v>
                  </c:pt>
                  <c:pt idx="16">
                    <c:v>ER</c:v>
                  </c:pt>
                  <c:pt idx="17">
                    <c:v>E2</c:v>
                  </c:pt>
                  <c:pt idx="18">
                    <c:v>E3</c:v>
                  </c:pt>
                  <c:pt idx="19">
                    <c:v>E4</c:v>
                  </c:pt>
                  <c:pt idx="20">
                    <c:v>ER</c:v>
                  </c:pt>
                  <c:pt idx="21">
                    <c:v>E2</c:v>
                  </c:pt>
                  <c:pt idx="22">
                    <c:v>E3</c:v>
                  </c:pt>
                  <c:pt idx="23">
                    <c:v>E4</c:v>
                  </c:pt>
                  <c:pt idx="24">
                    <c:v>ER</c:v>
                  </c:pt>
                  <c:pt idx="25">
                    <c:v>E2</c:v>
                  </c:pt>
                  <c:pt idx="26">
                    <c:v>E3</c:v>
                  </c:pt>
                  <c:pt idx="27">
                    <c:v>E4</c:v>
                  </c:pt>
                  <c:pt idx="28">
                    <c:v>ER</c:v>
                  </c:pt>
                  <c:pt idx="29">
                    <c:v>E2</c:v>
                  </c:pt>
                  <c:pt idx="30">
                    <c:v>E3</c:v>
                  </c:pt>
                  <c:pt idx="31">
                    <c:v>E4</c:v>
                  </c:pt>
                  <c:pt idx="32">
                    <c:v>ER</c:v>
                  </c:pt>
                  <c:pt idx="33">
                    <c:v>E2</c:v>
                  </c:pt>
                  <c:pt idx="34">
                    <c:v>E3</c:v>
                  </c:pt>
                  <c:pt idx="35">
                    <c:v>E4</c:v>
                  </c:pt>
                  <c:pt idx="36">
                    <c:v>ER</c:v>
                  </c:pt>
                  <c:pt idx="37">
                    <c:v>E2</c:v>
                  </c:pt>
                  <c:pt idx="38">
                    <c:v>E3</c:v>
                  </c:pt>
                  <c:pt idx="39">
                    <c:v>E4</c:v>
                  </c:pt>
                </c:lvl>
                <c:lvl>
                  <c:pt idx="0">
                    <c:v>22.05.2023</c:v>
                  </c:pt>
                  <c:pt idx="4">
                    <c:v>26.05.2023</c:v>
                  </c:pt>
                  <c:pt idx="8">
                    <c:v>07.06.2023</c:v>
                  </c:pt>
                  <c:pt idx="12">
                    <c:v>28.06.2023</c:v>
                  </c:pt>
                  <c:pt idx="16">
                    <c:v>14.07.2023</c:v>
                  </c:pt>
                  <c:pt idx="20">
                    <c:v>17.07.2023</c:v>
                  </c:pt>
                  <c:pt idx="24">
                    <c:v>21.07.2023</c:v>
                  </c:pt>
                  <c:pt idx="28">
                    <c:v>02.08.2023</c:v>
                  </c:pt>
                  <c:pt idx="32">
                    <c:v>30.08.2023</c:v>
                  </c:pt>
                  <c:pt idx="36">
                    <c:v>04.10.2023</c:v>
                  </c:pt>
                </c:lvl>
                <c:lvl>
                  <c:pt idx="0">
                    <c:v>1</c:v>
                  </c:pt>
                  <c:pt idx="4">
                    <c:v>5</c:v>
                  </c:pt>
                  <c:pt idx="8">
                    <c:v>17</c:v>
                  </c:pt>
                  <c:pt idx="12">
                    <c:v>38</c:v>
                  </c:pt>
                  <c:pt idx="16">
                    <c:v>54</c:v>
                  </c:pt>
                  <c:pt idx="20">
                    <c:v>57</c:v>
                  </c:pt>
                  <c:pt idx="24">
                    <c:v>61</c:v>
                  </c:pt>
                  <c:pt idx="28">
                    <c:v>73</c:v>
                  </c:pt>
                  <c:pt idx="32">
                    <c:v>101</c:v>
                  </c:pt>
                  <c:pt idx="36">
                    <c:v>136</c:v>
                  </c:pt>
                </c:lvl>
              </c:multiLvlStrCache>
            </c:multiLvlStrRef>
          </c:cat>
          <c:val>
            <c:numRef>
              <c:extLst>
                <c:ext xmlns:c15="http://schemas.microsoft.com/office/drawing/2012/chart" uri="{02D57815-91ED-43cb-92C2-25804820EDAC}">
                  <c15:fullRef>
                    <c15:sqref>Milch!$M$3:$M$46</c15:sqref>
                  </c15:fullRef>
                </c:ext>
              </c:extLst>
              <c:f>Milch!$M$3:$M$42</c:f>
              <c:numCache>
                <c:formatCode>0.00</c:formatCode>
                <c:ptCount val="40"/>
                <c:pt idx="0">
                  <c:v>0</c:v>
                </c:pt>
                <c:pt idx="1">
                  <c:v>0</c:v>
                </c:pt>
                <c:pt idx="2">
                  <c:v>0</c:v>
                </c:pt>
                <c:pt idx="3">
                  <c:v>0</c:v>
                </c:pt>
                <c:pt idx="4">
                  <c:v>0</c:v>
                </c:pt>
                <c:pt idx="5">
                  <c:v>0</c:v>
                </c:pt>
                <c:pt idx="6">
                  <c:v>0</c:v>
                </c:pt>
                <c:pt idx="7">
                  <c:v>0</c:v>
                </c:pt>
                <c:pt idx="8">
                  <c:v>4.3512974013214462E-3</c:v>
                </c:pt>
                <c:pt idx="9">
                  <c:v>1.177727502749E-2</c:v>
                </c:pt>
                <c:pt idx="10">
                  <c:v>5.0055865967406302E-3</c:v>
                </c:pt>
                <c:pt idx="11">
                  <c:v>1.2351631347168199E-2</c:v>
                </c:pt>
                <c:pt idx="12">
                  <c:v>6.9595442551019862E-3</c:v>
                </c:pt>
                <c:pt idx="13">
                  <c:v>1.5297612110506099E-2</c:v>
                </c:pt>
                <c:pt idx="14">
                  <c:v>5.7448802761218692E-3</c:v>
                </c:pt>
                <c:pt idx="15">
                  <c:v>1.20682546284227E-2</c:v>
                </c:pt>
                <c:pt idx="16">
                  <c:v>9.2405962964164663E-3</c:v>
                </c:pt>
                <c:pt idx="17">
                  <c:v>5.6927500909723901E-3</c:v>
                </c:pt>
                <c:pt idx="18">
                  <c:v>6.3412909842697103E-3</c:v>
                </c:pt>
                <c:pt idx="19">
                  <c:v>5.7661339984552903E-3</c:v>
                </c:pt>
                <c:pt idx="20">
                  <c:v>6.948940608235506E-3</c:v>
                </c:pt>
                <c:pt idx="21">
                  <c:v>1.4108046349941599E-2</c:v>
                </c:pt>
                <c:pt idx="22">
                  <c:v>7.4245700138655703E-3</c:v>
                </c:pt>
                <c:pt idx="23">
                  <c:v>1.1383355976669301E-2</c:v>
                </c:pt>
                <c:pt idx="24">
                  <c:v>0</c:v>
                </c:pt>
                <c:pt idx="25">
                  <c:v>1.01318094645198E-2</c:v>
                </c:pt>
                <c:pt idx="26">
                  <c:v>5.67138636541585E-3</c:v>
                </c:pt>
                <c:pt idx="27">
                  <c:v>7.2839433494401098E-3</c:v>
                </c:pt>
                <c:pt idx="28">
                  <c:v>2.7627025658919762E-3</c:v>
                </c:pt>
                <c:pt idx="29">
                  <c:v>5.2747902711915394E-3</c:v>
                </c:pt>
                <c:pt idx="30">
                  <c:v>4.2434378520402501E-3</c:v>
                </c:pt>
                <c:pt idx="31">
                  <c:v>3.97840578786764E-3</c:v>
                </c:pt>
                <c:pt idx="32">
                  <c:v>0</c:v>
                </c:pt>
                <c:pt idx="33">
                  <c:v>0</c:v>
                </c:pt>
                <c:pt idx="34">
                  <c:v>0</c:v>
                </c:pt>
                <c:pt idx="35">
                  <c:v>0</c:v>
                </c:pt>
                <c:pt idx="36">
                  <c:v>0</c:v>
                </c:pt>
                <c:pt idx="37">
                  <c:v>0</c:v>
                </c:pt>
                <c:pt idx="38">
                  <c:v>0</c:v>
                </c:pt>
                <c:pt idx="39">
                  <c:v>0</c:v>
                </c:pt>
              </c:numCache>
            </c:numRef>
          </c:val>
          <c:extLst>
            <c:ext xmlns:c16="http://schemas.microsoft.com/office/drawing/2014/chart" uri="{C3380CC4-5D6E-409C-BE32-E72D297353CC}">
              <c16:uniqueId val="{00000009-5BEA-48D3-A3D3-D8B808B005DA}"/>
            </c:ext>
          </c:extLst>
        </c:ser>
        <c:ser>
          <c:idx val="10"/>
          <c:order val="10"/>
          <c:tx>
            <c:strRef>
              <c:f>Milch!$N$2</c:f>
              <c:strCache>
                <c:ptCount val="1"/>
                <c:pt idx="0">
                  <c:v>n-PFTeDA </c:v>
                </c:pt>
              </c:strCache>
            </c:strRef>
          </c:tx>
          <c:spPr>
            <a:solidFill>
              <a:schemeClr val="accent5">
                <a:lumMod val="60000"/>
              </a:schemeClr>
            </a:solidFill>
            <a:ln>
              <a:noFill/>
            </a:ln>
            <a:effectLst/>
          </c:spPr>
          <c:invertIfNegative val="0"/>
          <c:cat>
            <c:multiLvlStrRef>
              <c:extLst>
                <c:ext xmlns:c15="http://schemas.microsoft.com/office/drawing/2012/chart" uri="{02D57815-91ED-43cb-92C2-25804820EDAC}">
                  <c15:fullRef>
                    <c15:sqref>Milch!$A$3:$C$46</c15:sqref>
                  </c15:fullRef>
                </c:ext>
              </c:extLst>
              <c:f>Milch!$A$3:$C$42</c:f>
              <c:multiLvlStrCache>
                <c:ptCount val="40"/>
                <c:lvl>
                  <c:pt idx="0">
                    <c:v>ER</c:v>
                  </c:pt>
                  <c:pt idx="1">
                    <c:v>E2</c:v>
                  </c:pt>
                  <c:pt idx="2">
                    <c:v>E3</c:v>
                  </c:pt>
                  <c:pt idx="3">
                    <c:v>E4</c:v>
                  </c:pt>
                  <c:pt idx="4">
                    <c:v>ER</c:v>
                  </c:pt>
                  <c:pt idx="5">
                    <c:v>E2</c:v>
                  </c:pt>
                  <c:pt idx="6">
                    <c:v>E3</c:v>
                  </c:pt>
                  <c:pt idx="7">
                    <c:v>E4</c:v>
                  </c:pt>
                  <c:pt idx="8">
                    <c:v>ER</c:v>
                  </c:pt>
                  <c:pt idx="9">
                    <c:v>E2</c:v>
                  </c:pt>
                  <c:pt idx="10">
                    <c:v>E3</c:v>
                  </c:pt>
                  <c:pt idx="11">
                    <c:v>E4</c:v>
                  </c:pt>
                  <c:pt idx="12">
                    <c:v>ER</c:v>
                  </c:pt>
                  <c:pt idx="13">
                    <c:v>E2</c:v>
                  </c:pt>
                  <c:pt idx="14">
                    <c:v>E3</c:v>
                  </c:pt>
                  <c:pt idx="15">
                    <c:v>E4</c:v>
                  </c:pt>
                  <c:pt idx="16">
                    <c:v>ER</c:v>
                  </c:pt>
                  <c:pt idx="17">
                    <c:v>E2</c:v>
                  </c:pt>
                  <c:pt idx="18">
                    <c:v>E3</c:v>
                  </c:pt>
                  <c:pt idx="19">
                    <c:v>E4</c:v>
                  </c:pt>
                  <c:pt idx="20">
                    <c:v>ER</c:v>
                  </c:pt>
                  <c:pt idx="21">
                    <c:v>E2</c:v>
                  </c:pt>
                  <c:pt idx="22">
                    <c:v>E3</c:v>
                  </c:pt>
                  <c:pt idx="23">
                    <c:v>E4</c:v>
                  </c:pt>
                  <c:pt idx="24">
                    <c:v>ER</c:v>
                  </c:pt>
                  <c:pt idx="25">
                    <c:v>E2</c:v>
                  </c:pt>
                  <c:pt idx="26">
                    <c:v>E3</c:v>
                  </c:pt>
                  <c:pt idx="27">
                    <c:v>E4</c:v>
                  </c:pt>
                  <c:pt idx="28">
                    <c:v>ER</c:v>
                  </c:pt>
                  <c:pt idx="29">
                    <c:v>E2</c:v>
                  </c:pt>
                  <c:pt idx="30">
                    <c:v>E3</c:v>
                  </c:pt>
                  <c:pt idx="31">
                    <c:v>E4</c:v>
                  </c:pt>
                  <c:pt idx="32">
                    <c:v>ER</c:v>
                  </c:pt>
                  <c:pt idx="33">
                    <c:v>E2</c:v>
                  </c:pt>
                  <c:pt idx="34">
                    <c:v>E3</c:v>
                  </c:pt>
                  <c:pt idx="35">
                    <c:v>E4</c:v>
                  </c:pt>
                  <c:pt idx="36">
                    <c:v>ER</c:v>
                  </c:pt>
                  <c:pt idx="37">
                    <c:v>E2</c:v>
                  </c:pt>
                  <c:pt idx="38">
                    <c:v>E3</c:v>
                  </c:pt>
                  <c:pt idx="39">
                    <c:v>E4</c:v>
                  </c:pt>
                </c:lvl>
                <c:lvl>
                  <c:pt idx="0">
                    <c:v>22.05.2023</c:v>
                  </c:pt>
                  <c:pt idx="4">
                    <c:v>26.05.2023</c:v>
                  </c:pt>
                  <c:pt idx="8">
                    <c:v>07.06.2023</c:v>
                  </c:pt>
                  <c:pt idx="12">
                    <c:v>28.06.2023</c:v>
                  </c:pt>
                  <c:pt idx="16">
                    <c:v>14.07.2023</c:v>
                  </c:pt>
                  <c:pt idx="20">
                    <c:v>17.07.2023</c:v>
                  </c:pt>
                  <c:pt idx="24">
                    <c:v>21.07.2023</c:v>
                  </c:pt>
                  <c:pt idx="28">
                    <c:v>02.08.2023</c:v>
                  </c:pt>
                  <c:pt idx="32">
                    <c:v>30.08.2023</c:v>
                  </c:pt>
                  <c:pt idx="36">
                    <c:v>04.10.2023</c:v>
                  </c:pt>
                </c:lvl>
                <c:lvl>
                  <c:pt idx="0">
                    <c:v>1</c:v>
                  </c:pt>
                  <c:pt idx="4">
                    <c:v>5</c:v>
                  </c:pt>
                  <c:pt idx="8">
                    <c:v>17</c:v>
                  </c:pt>
                  <c:pt idx="12">
                    <c:v>38</c:v>
                  </c:pt>
                  <c:pt idx="16">
                    <c:v>54</c:v>
                  </c:pt>
                  <c:pt idx="20">
                    <c:v>57</c:v>
                  </c:pt>
                  <c:pt idx="24">
                    <c:v>61</c:v>
                  </c:pt>
                  <c:pt idx="28">
                    <c:v>73</c:v>
                  </c:pt>
                  <c:pt idx="32">
                    <c:v>101</c:v>
                  </c:pt>
                  <c:pt idx="36">
                    <c:v>136</c:v>
                  </c:pt>
                </c:lvl>
              </c:multiLvlStrCache>
            </c:multiLvlStrRef>
          </c:cat>
          <c:val>
            <c:numRef>
              <c:extLst>
                <c:ext xmlns:c15="http://schemas.microsoft.com/office/drawing/2012/chart" uri="{02D57815-91ED-43cb-92C2-25804820EDAC}">
                  <c15:fullRef>
                    <c15:sqref>Milch!$N$3:$N$46</c15:sqref>
                  </c15:fullRef>
                </c:ext>
              </c:extLst>
              <c:f>Milch!$N$3:$N$42</c:f>
              <c:numCache>
                <c:formatCode>0.00</c:formatCode>
                <c:ptCount val="40"/>
                <c:pt idx="0">
                  <c:v>0</c:v>
                </c:pt>
                <c:pt idx="1">
                  <c:v>0</c:v>
                </c:pt>
                <c:pt idx="2">
                  <c:v>0</c:v>
                </c:pt>
                <c:pt idx="3">
                  <c:v>0</c:v>
                </c:pt>
                <c:pt idx="4">
                  <c:v>0</c:v>
                </c:pt>
                <c:pt idx="5">
                  <c:v>0</c:v>
                </c:pt>
                <c:pt idx="6">
                  <c:v>0</c:v>
                </c:pt>
                <c:pt idx="7">
                  <c:v>0</c:v>
                </c:pt>
                <c:pt idx="8">
                  <c:v>0</c:v>
                </c:pt>
                <c:pt idx="9">
                  <c:v>3.71900619133E-3</c:v>
                </c:pt>
                <c:pt idx="10">
                  <c:v>0</c:v>
                </c:pt>
                <c:pt idx="11">
                  <c:v>4.0851702599383208E-3</c:v>
                </c:pt>
                <c:pt idx="12">
                  <c:v>0</c:v>
                </c:pt>
                <c:pt idx="13">
                  <c:v>3.8852212077120298E-3</c:v>
                </c:pt>
                <c:pt idx="14">
                  <c:v>0</c:v>
                </c:pt>
                <c:pt idx="15">
                  <c:v>3.1217518201245098E-3</c:v>
                </c:pt>
                <c:pt idx="16">
                  <c:v>2.87002596735482E-3</c:v>
                </c:pt>
                <c:pt idx="17">
                  <c:v>2.9847111615760504E-3</c:v>
                </c:pt>
                <c:pt idx="18">
                  <c:v>3.38428878453583E-3</c:v>
                </c:pt>
                <c:pt idx="19">
                  <c:v>3.4164464677102504E-3</c:v>
                </c:pt>
                <c:pt idx="20">
                  <c:v>0</c:v>
                </c:pt>
                <c:pt idx="21">
                  <c:v>4.3675021552802996E-3</c:v>
                </c:pt>
                <c:pt idx="22">
                  <c:v>2.8705064614474199E-3</c:v>
                </c:pt>
                <c:pt idx="23">
                  <c:v>3.1216667510384601E-3</c:v>
                </c:pt>
                <c:pt idx="24">
                  <c:v>0</c:v>
                </c:pt>
                <c:pt idx="25">
                  <c:v>3.29461466420089E-3</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numCache>
            </c:numRef>
          </c:val>
          <c:extLst>
            <c:ext xmlns:c16="http://schemas.microsoft.com/office/drawing/2014/chart" uri="{C3380CC4-5D6E-409C-BE32-E72D297353CC}">
              <c16:uniqueId val="{0000000A-5BEA-48D3-A3D3-D8B808B005DA}"/>
            </c:ext>
          </c:extLst>
        </c:ser>
        <c:ser>
          <c:idx val="11"/>
          <c:order val="11"/>
          <c:tx>
            <c:strRef>
              <c:f>Milch!$O$2</c:f>
              <c:strCache>
                <c:ptCount val="1"/>
                <c:pt idx="0">
                  <c:v>n-PFBS </c:v>
                </c:pt>
              </c:strCache>
            </c:strRef>
          </c:tx>
          <c:spPr>
            <a:solidFill>
              <a:schemeClr val="accent6">
                <a:lumMod val="60000"/>
              </a:schemeClr>
            </a:solidFill>
            <a:ln>
              <a:noFill/>
            </a:ln>
            <a:effectLst/>
          </c:spPr>
          <c:invertIfNegative val="0"/>
          <c:cat>
            <c:multiLvlStrRef>
              <c:extLst>
                <c:ext xmlns:c15="http://schemas.microsoft.com/office/drawing/2012/chart" uri="{02D57815-91ED-43cb-92C2-25804820EDAC}">
                  <c15:fullRef>
                    <c15:sqref>Milch!$A$3:$C$46</c15:sqref>
                  </c15:fullRef>
                </c:ext>
              </c:extLst>
              <c:f>Milch!$A$3:$C$42</c:f>
              <c:multiLvlStrCache>
                <c:ptCount val="40"/>
                <c:lvl>
                  <c:pt idx="0">
                    <c:v>ER</c:v>
                  </c:pt>
                  <c:pt idx="1">
                    <c:v>E2</c:v>
                  </c:pt>
                  <c:pt idx="2">
                    <c:v>E3</c:v>
                  </c:pt>
                  <c:pt idx="3">
                    <c:v>E4</c:v>
                  </c:pt>
                  <c:pt idx="4">
                    <c:v>ER</c:v>
                  </c:pt>
                  <c:pt idx="5">
                    <c:v>E2</c:v>
                  </c:pt>
                  <c:pt idx="6">
                    <c:v>E3</c:v>
                  </c:pt>
                  <c:pt idx="7">
                    <c:v>E4</c:v>
                  </c:pt>
                  <c:pt idx="8">
                    <c:v>ER</c:v>
                  </c:pt>
                  <c:pt idx="9">
                    <c:v>E2</c:v>
                  </c:pt>
                  <c:pt idx="10">
                    <c:v>E3</c:v>
                  </c:pt>
                  <c:pt idx="11">
                    <c:v>E4</c:v>
                  </c:pt>
                  <c:pt idx="12">
                    <c:v>ER</c:v>
                  </c:pt>
                  <c:pt idx="13">
                    <c:v>E2</c:v>
                  </c:pt>
                  <c:pt idx="14">
                    <c:v>E3</c:v>
                  </c:pt>
                  <c:pt idx="15">
                    <c:v>E4</c:v>
                  </c:pt>
                  <c:pt idx="16">
                    <c:v>ER</c:v>
                  </c:pt>
                  <c:pt idx="17">
                    <c:v>E2</c:v>
                  </c:pt>
                  <c:pt idx="18">
                    <c:v>E3</c:v>
                  </c:pt>
                  <c:pt idx="19">
                    <c:v>E4</c:v>
                  </c:pt>
                  <c:pt idx="20">
                    <c:v>ER</c:v>
                  </c:pt>
                  <c:pt idx="21">
                    <c:v>E2</c:v>
                  </c:pt>
                  <c:pt idx="22">
                    <c:v>E3</c:v>
                  </c:pt>
                  <c:pt idx="23">
                    <c:v>E4</c:v>
                  </c:pt>
                  <c:pt idx="24">
                    <c:v>ER</c:v>
                  </c:pt>
                  <c:pt idx="25">
                    <c:v>E2</c:v>
                  </c:pt>
                  <c:pt idx="26">
                    <c:v>E3</c:v>
                  </c:pt>
                  <c:pt idx="27">
                    <c:v>E4</c:v>
                  </c:pt>
                  <c:pt idx="28">
                    <c:v>ER</c:v>
                  </c:pt>
                  <c:pt idx="29">
                    <c:v>E2</c:v>
                  </c:pt>
                  <c:pt idx="30">
                    <c:v>E3</c:v>
                  </c:pt>
                  <c:pt idx="31">
                    <c:v>E4</c:v>
                  </c:pt>
                  <c:pt idx="32">
                    <c:v>ER</c:v>
                  </c:pt>
                  <c:pt idx="33">
                    <c:v>E2</c:v>
                  </c:pt>
                  <c:pt idx="34">
                    <c:v>E3</c:v>
                  </c:pt>
                  <c:pt idx="35">
                    <c:v>E4</c:v>
                  </c:pt>
                  <c:pt idx="36">
                    <c:v>ER</c:v>
                  </c:pt>
                  <c:pt idx="37">
                    <c:v>E2</c:v>
                  </c:pt>
                  <c:pt idx="38">
                    <c:v>E3</c:v>
                  </c:pt>
                  <c:pt idx="39">
                    <c:v>E4</c:v>
                  </c:pt>
                </c:lvl>
                <c:lvl>
                  <c:pt idx="0">
                    <c:v>22.05.2023</c:v>
                  </c:pt>
                  <c:pt idx="4">
                    <c:v>26.05.2023</c:v>
                  </c:pt>
                  <c:pt idx="8">
                    <c:v>07.06.2023</c:v>
                  </c:pt>
                  <c:pt idx="12">
                    <c:v>28.06.2023</c:v>
                  </c:pt>
                  <c:pt idx="16">
                    <c:v>14.07.2023</c:v>
                  </c:pt>
                  <c:pt idx="20">
                    <c:v>17.07.2023</c:v>
                  </c:pt>
                  <c:pt idx="24">
                    <c:v>21.07.2023</c:v>
                  </c:pt>
                  <c:pt idx="28">
                    <c:v>02.08.2023</c:v>
                  </c:pt>
                  <c:pt idx="32">
                    <c:v>30.08.2023</c:v>
                  </c:pt>
                  <c:pt idx="36">
                    <c:v>04.10.2023</c:v>
                  </c:pt>
                </c:lvl>
                <c:lvl>
                  <c:pt idx="0">
                    <c:v>1</c:v>
                  </c:pt>
                  <c:pt idx="4">
                    <c:v>5</c:v>
                  </c:pt>
                  <c:pt idx="8">
                    <c:v>17</c:v>
                  </c:pt>
                  <c:pt idx="12">
                    <c:v>38</c:v>
                  </c:pt>
                  <c:pt idx="16">
                    <c:v>54</c:v>
                  </c:pt>
                  <c:pt idx="20">
                    <c:v>57</c:v>
                  </c:pt>
                  <c:pt idx="24">
                    <c:v>61</c:v>
                  </c:pt>
                  <c:pt idx="28">
                    <c:v>73</c:v>
                  </c:pt>
                  <c:pt idx="32">
                    <c:v>101</c:v>
                  </c:pt>
                  <c:pt idx="36">
                    <c:v>136</c:v>
                  </c:pt>
                </c:lvl>
              </c:multiLvlStrCache>
            </c:multiLvlStrRef>
          </c:cat>
          <c:val>
            <c:numRef>
              <c:extLst>
                <c:ext xmlns:c15="http://schemas.microsoft.com/office/drawing/2012/chart" uri="{02D57815-91ED-43cb-92C2-25804820EDAC}">
                  <c15:fullRef>
                    <c15:sqref>Milch!$O$3:$O$46</c15:sqref>
                  </c15:fullRef>
                </c:ext>
              </c:extLst>
              <c:f>Milch!$O$3:$O$42</c:f>
              <c:numCache>
                <c:formatCode>0.00</c:formatCode>
                <c:ptCount val="4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numCache>
            </c:numRef>
          </c:val>
          <c:extLst>
            <c:ext xmlns:c16="http://schemas.microsoft.com/office/drawing/2014/chart" uri="{C3380CC4-5D6E-409C-BE32-E72D297353CC}">
              <c16:uniqueId val="{0000000B-5BEA-48D3-A3D3-D8B808B005DA}"/>
            </c:ext>
          </c:extLst>
        </c:ser>
        <c:ser>
          <c:idx val="12"/>
          <c:order val="12"/>
          <c:tx>
            <c:strRef>
              <c:f>Milch!$P$2</c:f>
              <c:strCache>
                <c:ptCount val="1"/>
                <c:pt idx="0">
                  <c:v>n-PFPeS </c:v>
                </c:pt>
              </c:strCache>
            </c:strRef>
          </c:tx>
          <c:spPr>
            <a:solidFill>
              <a:schemeClr val="accent1">
                <a:lumMod val="80000"/>
                <a:lumOff val="20000"/>
              </a:schemeClr>
            </a:solidFill>
            <a:ln>
              <a:noFill/>
            </a:ln>
            <a:effectLst/>
          </c:spPr>
          <c:invertIfNegative val="0"/>
          <c:cat>
            <c:multiLvlStrRef>
              <c:extLst>
                <c:ext xmlns:c15="http://schemas.microsoft.com/office/drawing/2012/chart" uri="{02D57815-91ED-43cb-92C2-25804820EDAC}">
                  <c15:fullRef>
                    <c15:sqref>Milch!$A$3:$C$46</c15:sqref>
                  </c15:fullRef>
                </c:ext>
              </c:extLst>
              <c:f>Milch!$A$3:$C$42</c:f>
              <c:multiLvlStrCache>
                <c:ptCount val="40"/>
                <c:lvl>
                  <c:pt idx="0">
                    <c:v>ER</c:v>
                  </c:pt>
                  <c:pt idx="1">
                    <c:v>E2</c:v>
                  </c:pt>
                  <c:pt idx="2">
                    <c:v>E3</c:v>
                  </c:pt>
                  <c:pt idx="3">
                    <c:v>E4</c:v>
                  </c:pt>
                  <c:pt idx="4">
                    <c:v>ER</c:v>
                  </c:pt>
                  <c:pt idx="5">
                    <c:v>E2</c:v>
                  </c:pt>
                  <c:pt idx="6">
                    <c:v>E3</c:v>
                  </c:pt>
                  <c:pt idx="7">
                    <c:v>E4</c:v>
                  </c:pt>
                  <c:pt idx="8">
                    <c:v>ER</c:v>
                  </c:pt>
                  <c:pt idx="9">
                    <c:v>E2</c:v>
                  </c:pt>
                  <c:pt idx="10">
                    <c:v>E3</c:v>
                  </c:pt>
                  <c:pt idx="11">
                    <c:v>E4</c:v>
                  </c:pt>
                  <c:pt idx="12">
                    <c:v>ER</c:v>
                  </c:pt>
                  <c:pt idx="13">
                    <c:v>E2</c:v>
                  </c:pt>
                  <c:pt idx="14">
                    <c:v>E3</c:v>
                  </c:pt>
                  <c:pt idx="15">
                    <c:v>E4</c:v>
                  </c:pt>
                  <c:pt idx="16">
                    <c:v>ER</c:v>
                  </c:pt>
                  <c:pt idx="17">
                    <c:v>E2</c:v>
                  </c:pt>
                  <c:pt idx="18">
                    <c:v>E3</c:v>
                  </c:pt>
                  <c:pt idx="19">
                    <c:v>E4</c:v>
                  </c:pt>
                  <c:pt idx="20">
                    <c:v>ER</c:v>
                  </c:pt>
                  <c:pt idx="21">
                    <c:v>E2</c:v>
                  </c:pt>
                  <c:pt idx="22">
                    <c:v>E3</c:v>
                  </c:pt>
                  <c:pt idx="23">
                    <c:v>E4</c:v>
                  </c:pt>
                  <c:pt idx="24">
                    <c:v>ER</c:v>
                  </c:pt>
                  <c:pt idx="25">
                    <c:v>E2</c:v>
                  </c:pt>
                  <c:pt idx="26">
                    <c:v>E3</c:v>
                  </c:pt>
                  <c:pt idx="27">
                    <c:v>E4</c:v>
                  </c:pt>
                  <c:pt idx="28">
                    <c:v>ER</c:v>
                  </c:pt>
                  <c:pt idx="29">
                    <c:v>E2</c:v>
                  </c:pt>
                  <c:pt idx="30">
                    <c:v>E3</c:v>
                  </c:pt>
                  <c:pt idx="31">
                    <c:v>E4</c:v>
                  </c:pt>
                  <c:pt idx="32">
                    <c:v>ER</c:v>
                  </c:pt>
                  <c:pt idx="33">
                    <c:v>E2</c:v>
                  </c:pt>
                  <c:pt idx="34">
                    <c:v>E3</c:v>
                  </c:pt>
                  <c:pt idx="35">
                    <c:v>E4</c:v>
                  </c:pt>
                  <c:pt idx="36">
                    <c:v>ER</c:v>
                  </c:pt>
                  <c:pt idx="37">
                    <c:v>E2</c:v>
                  </c:pt>
                  <c:pt idx="38">
                    <c:v>E3</c:v>
                  </c:pt>
                  <c:pt idx="39">
                    <c:v>E4</c:v>
                  </c:pt>
                </c:lvl>
                <c:lvl>
                  <c:pt idx="0">
                    <c:v>22.05.2023</c:v>
                  </c:pt>
                  <c:pt idx="4">
                    <c:v>26.05.2023</c:v>
                  </c:pt>
                  <c:pt idx="8">
                    <c:v>07.06.2023</c:v>
                  </c:pt>
                  <c:pt idx="12">
                    <c:v>28.06.2023</c:v>
                  </c:pt>
                  <c:pt idx="16">
                    <c:v>14.07.2023</c:v>
                  </c:pt>
                  <c:pt idx="20">
                    <c:v>17.07.2023</c:v>
                  </c:pt>
                  <c:pt idx="24">
                    <c:v>21.07.2023</c:v>
                  </c:pt>
                  <c:pt idx="28">
                    <c:v>02.08.2023</c:v>
                  </c:pt>
                  <c:pt idx="32">
                    <c:v>30.08.2023</c:v>
                  </c:pt>
                  <c:pt idx="36">
                    <c:v>04.10.2023</c:v>
                  </c:pt>
                </c:lvl>
                <c:lvl>
                  <c:pt idx="0">
                    <c:v>1</c:v>
                  </c:pt>
                  <c:pt idx="4">
                    <c:v>5</c:v>
                  </c:pt>
                  <c:pt idx="8">
                    <c:v>17</c:v>
                  </c:pt>
                  <c:pt idx="12">
                    <c:v>38</c:v>
                  </c:pt>
                  <c:pt idx="16">
                    <c:v>54</c:v>
                  </c:pt>
                  <c:pt idx="20">
                    <c:v>57</c:v>
                  </c:pt>
                  <c:pt idx="24">
                    <c:v>61</c:v>
                  </c:pt>
                  <c:pt idx="28">
                    <c:v>73</c:v>
                  </c:pt>
                  <c:pt idx="32">
                    <c:v>101</c:v>
                  </c:pt>
                  <c:pt idx="36">
                    <c:v>136</c:v>
                  </c:pt>
                </c:lvl>
              </c:multiLvlStrCache>
            </c:multiLvlStrRef>
          </c:cat>
          <c:val>
            <c:numRef>
              <c:extLst>
                <c:ext xmlns:c15="http://schemas.microsoft.com/office/drawing/2012/chart" uri="{02D57815-91ED-43cb-92C2-25804820EDAC}">
                  <c15:fullRef>
                    <c15:sqref>Milch!$P$3:$P$46</c15:sqref>
                  </c15:fullRef>
                </c:ext>
              </c:extLst>
              <c:f>Milch!$P$3:$P$42</c:f>
              <c:numCache>
                <c:formatCode>0.00</c:formatCode>
                <c:ptCount val="4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numCache>
            </c:numRef>
          </c:val>
          <c:extLst>
            <c:ext xmlns:c16="http://schemas.microsoft.com/office/drawing/2014/chart" uri="{C3380CC4-5D6E-409C-BE32-E72D297353CC}">
              <c16:uniqueId val="{0000000C-5BEA-48D3-A3D3-D8B808B005DA}"/>
            </c:ext>
          </c:extLst>
        </c:ser>
        <c:ser>
          <c:idx val="13"/>
          <c:order val="13"/>
          <c:tx>
            <c:strRef>
              <c:f>Milch!$Q$2</c:f>
              <c:strCache>
                <c:ptCount val="1"/>
                <c:pt idx="0">
                  <c:v>n-PFHxS </c:v>
                </c:pt>
              </c:strCache>
            </c:strRef>
          </c:tx>
          <c:spPr>
            <a:solidFill>
              <a:schemeClr val="accent2">
                <a:lumMod val="80000"/>
                <a:lumOff val="20000"/>
              </a:schemeClr>
            </a:solidFill>
            <a:ln>
              <a:noFill/>
            </a:ln>
            <a:effectLst/>
          </c:spPr>
          <c:invertIfNegative val="0"/>
          <c:cat>
            <c:multiLvlStrRef>
              <c:extLst>
                <c:ext xmlns:c15="http://schemas.microsoft.com/office/drawing/2012/chart" uri="{02D57815-91ED-43cb-92C2-25804820EDAC}">
                  <c15:fullRef>
                    <c15:sqref>Milch!$A$3:$C$46</c15:sqref>
                  </c15:fullRef>
                </c:ext>
              </c:extLst>
              <c:f>Milch!$A$3:$C$42</c:f>
              <c:multiLvlStrCache>
                <c:ptCount val="40"/>
                <c:lvl>
                  <c:pt idx="0">
                    <c:v>ER</c:v>
                  </c:pt>
                  <c:pt idx="1">
                    <c:v>E2</c:v>
                  </c:pt>
                  <c:pt idx="2">
                    <c:v>E3</c:v>
                  </c:pt>
                  <c:pt idx="3">
                    <c:v>E4</c:v>
                  </c:pt>
                  <c:pt idx="4">
                    <c:v>ER</c:v>
                  </c:pt>
                  <c:pt idx="5">
                    <c:v>E2</c:v>
                  </c:pt>
                  <c:pt idx="6">
                    <c:v>E3</c:v>
                  </c:pt>
                  <c:pt idx="7">
                    <c:v>E4</c:v>
                  </c:pt>
                  <c:pt idx="8">
                    <c:v>ER</c:v>
                  </c:pt>
                  <c:pt idx="9">
                    <c:v>E2</c:v>
                  </c:pt>
                  <c:pt idx="10">
                    <c:v>E3</c:v>
                  </c:pt>
                  <c:pt idx="11">
                    <c:v>E4</c:v>
                  </c:pt>
                  <c:pt idx="12">
                    <c:v>ER</c:v>
                  </c:pt>
                  <c:pt idx="13">
                    <c:v>E2</c:v>
                  </c:pt>
                  <c:pt idx="14">
                    <c:v>E3</c:v>
                  </c:pt>
                  <c:pt idx="15">
                    <c:v>E4</c:v>
                  </c:pt>
                  <c:pt idx="16">
                    <c:v>ER</c:v>
                  </c:pt>
                  <c:pt idx="17">
                    <c:v>E2</c:v>
                  </c:pt>
                  <c:pt idx="18">
                    <c:v>E3</c:v>
                  </c:pt>
                  <c:pt idx="19">
                    <c:v>E4</c:v>
                  </c:pt>
                  <c:pt idx="20">
                    <c:v>ER</c:v>
                  </c:pt>
                  <c:pt idx="21">
                    <c:v>E2</c:v>
                  </c:pt>
                  <c:pt idx="22">
                    <c:v>E3</c:v>
                  </c:pt>
                  <c:pt idx="23">
                    <c:v>E4</c:v>
                  </c:pt>
                  <c:pt idx="24">
                    <c:v>ER</c:v>
                  </c:pt>
                  <c:pt idx="25">
                    <c:v>E2</c:v>
                  </c:pt>
                  <c:pt idx="26">
                    <c:v>E3</c:v>
                  </c:pt>
                  <c:pt idx="27">
                    <c:v>E4</c:v>
                  </c:pt>
                  <c:pt idx="28">
                    <c:v>ER</c:v>
                  </c:pt>
                  <c:pt idx="29">
                    <c:v>E2</c:v>
                  </c:pt>
                  <c:pt idx="30">
                    <c:v>E3</c:v>
                  </c:pt>
                  <c:pt idx="31">
                    <c:v>E4</c:v>
                  </c:pt>
                  <c:pt idx="32">
                    <c:v>ER</c:v>
                  </c:pt>
                  <c:pt idx="33">
                    <c:v>E2</c:v>
                  </c:pt>
                  <c:pt idx="34">
                    <c:v>E3</c:v>
                  </c:pt>
                  <c:pt idx="35">
                    <c:v>E4</c:v>
                  </c:pt>
                  <c:pt idx="36">
                    <c:v>ER</c:v>
                  </c:pt>
                  <c:pt idx="37">
                    <c:v>E2</c:v>
                  </c:pt>
                  <c:pt idx="38">
                    <c:v>E3</c:v>
                  </c:pt>
                  <c:pt idx="39">
                    <c:v>E4</c:v>
                  </c:pt>
                </c:lvl>
                <c:lvl>
                  <c:pt idx="0">
                    <c:v>22.05.2023</c:v>
                  </c:pt>
                  <c:pt idx="4">
                    <c:v>26.05.2023</c:v>
                  </c:pt>
                  <c:pt idx="8">
                    <c:v>07.06.2023</c:v>
                  </c:pt>
                  <c:pt idx="12">
                    <c:v>28.06.2023</c:v>
                  </c:pt>
                  <c:pt idx="16">
                    <c:v>14.07.2023</c:v>
                  </c:pt>
                  <c:pt idx="20">
                    <c:v>17.07.2023</c:v>
                  </c:pt>
                  <c:pt idx="24">
                    <c:v>21.07.2023</c:v>
                  </c:pt>
                  <c:pt idx="28">
                    <c:v>02.08.2023</c:v>
                  </c:pt>
                  <c:pt idx="32">
                    <c:v>30.08.2023</c:v>
                  </c:pt>
                  <c:pt idx="36">
                    <c:v>04.10.2023</c:v>
                  </c:pt>
                </c:lvl>
                <c:lvl>
                  <c:pt idx="0">
                    <c:v>1</c:v>
                  </c:pt>
                  <c:pt idx="4">
                    <c:v>5</c:v>
                  </c:pt>
                  <c:pt idx="8">
                    <c:v>17</c:v>
                  </c:pt>
                  <c:pt idx="12">
                    <c:v>38</c:v>
                  </c:pt>
                  <c:pt idx="16">
                    <c:v>54</c:v>
                  </c:pt>
                  <c:pt idx="20">
                    <c:v>57</c:v>
                  </c:pt>
                  <c:pt idx="24">
                    <c:v>61</c:v>
                  </c:pt>
                  <c:pt idx="28">
                    <c:v>73</c:v>
                  </c:pt>
                  <c:pt idx="32">
                    <c:v>101</c:v>
                  </c:pt>
                  <c:pt idx="36">
                    <c:v>136</c:v>
                  </c:pt>
                </c:lvl>
              </c:multiLvlStrCache>
            </c:multiLvlStrRef>
          </c:cat>
          <c:val>
            <c:numRef>
              <c:extLst>
                <c:ext xmlns:c15="http://schemas.microsoft.com/office/drawing/2012/chart" uri="{02D57815-91ED-43cb-92C2-25804820EDAC}">
                  <c15:fullRef>
                    <c15:sqref>Milch!$Q$3:$Q$46</c15:sqref>
                  </c15:fullRef>
                </c:ext>
              </c:extLst>
              <c:f>Milch!$Q$3:$Q$42</c:f>
              <c:numCache>
                <c:formatCode>0.00</c:formatCode>
                <c:ptCount val="40"/>
                <c:pt idx="0">
                  <c:v>0</c:v>
                </c:pt>
                <c:pt idx="1">
                  <c:v>0</c:v>
                </c:pt>
                <c:pt idx="2">
                  <c:v>0</c:v>
                </c:pt>
                <c:pt idx="3">
                  <c:v>0</c:v>
                </c:pt>
                <c:pt idx="4">
                  <c:v>0</c:v>
                </c:pt>
                <c:pt idx="5">
                  <c:v>0</c:v>
                </c:pt>
                <c:pt idx="6">
                  <c:v>0</c:v>
                </c:pt>
                <c:pt idx="7">
                  <c:v>0</c:v>
                </c:pt>
                <c:pt idx="8">
                  <c:v>6.5557913200847704E-3</c:v>
                </c:pt>
                <c:pt idx="9">
                  <c:v>1.6660111714123901E-2</c:v>
                </c:pt>
                <c:pt idx="10">
                  <c:v>1.1395948625353799E-2</c:v>
                </c:pt>
                <c:pt idx="11">
                  <c:v>1.20643796393429E-2</c:v>
                </c:pt>
                <c:pt idx="12">
                  <c:v>1.1095719548076801E-2</c:v>
                </c:pt>
                <c:pt idx="13">
                  <c:v>2.9408653847937602E-2</c:v>
                </c:pt>
                <c:pt idx="14">
                  <c:v>1.8867048921763198E-2</c:v>
                </c:pt>
                <c:pt idx="15">
                  <c:v>1.9187682386456299E-2</c:v>
                </c:pt>
                <c:pt idx="16">
                  <c:v>9.3084041860647011E-3</c:v>
                </c:pt>
                <c:pt idx="17">
                  <c:v>1.86221002781897E-2</c:v>
                </c:pt>
                <c:pt idx="18">
                  <c:v>1.3779695614473599E-2</c:v>
                </c:pt>
                <c:pt idx="19">
                  <c:v>1.0096036658988901E-2</c:v>
                </c:pt>
                <c:pt idx="20">
                  <c:v>7.3833736709949197E-3</c:v>
                </c:pt>
                <c:pt idx="21">
                  <c:v>1.8373239981052902E-2</c:v>
                </c:pt>
                <c:pt idx="22">
                  <c:v>1.2895731141396799E-2</c:v>
                </c:pt>
                <c:pt idx="23">
                  <c:v>1.2333846591473E-2</c:v>
                </c:pt>
                <c:pt idx="24">
                  <c:v>3.4865405581599399E-3</c:v>
                </c:pt>
                <c:pt idx="25">
                  <c:v>1.1028218196287201E-2</c:v>
                </c:pt>
                <c:pt idx="26">
                  <c:v>5.9754643161275397E-3</c:v>
                </c:pt>
                <c:pt idx="27">
                  <c:v>5.5429119425641606E-3</c:v>
                </c:pt>
                <c:pt idx="28">
                  <c:v>0</c:v>
                </c:pt>
                <c:pt idx="29">
                  <c:v>0</c:v>
                </c:pt>
                <c:pt idx="30">
                  <c:v>0</c:v>
                </c:pt>
                <c:pt idx="31">
                  <c:v>0</c:v>
                </c:pt>
                <c:pt idx="32">
                  <c:v>0</c:v>
                </c:pt>
                <c:pt idx="33">
                  <c:v>0</c:v>
                </c:pt>
                <c:pt idx="34">
                  <c:v>0</c:v>
                </c:pt>
                <c:pt idx="35">
                  <c:v>0</c:v>
                </c:pt>
                <c:pt idx="36">
                  <c:v>0</c:v>
                </c:pt>
                <c:pt idx="37">
                  <c:v>0</c:v>
                </c:pt>
                <c:pt idx="38">
                  <c:v>0</c:v>
                </c:pt>
                <c:pt idx="39">
                  <c:v>0</c:v>
                </c:pt>
              </c:numCache>
            </c:numRef>
          </c:val>
          <c:extLst>
            <c:ext xmlns:c16="http://schemas.microsoft.com/office/drawing/2014/chart" uri="{C3380CC4-5D6E-409C-BE32-E72D297353CC}">
              <c16:uniqueId val="{0000000D-5BEA-48D3-A3D3-D8B808B005DA}"/>
            </c:ext>
          </c:extLst>
        </c:ser>
        <c:ser>
          <c:idx val="14"/>
          <c:order val="14"/>
          <c:tx>
            <c:strRef>
              <c:f>Milch!$R$2</c:f>
              <c:strCache>
                <c:ptCount val="1"/>
                <c:pt idx="0">
                  <c:v>n-PFHpS </c:v>
                </c:pt>
              </c:strCache>
            </c:strRef>
          </c:tx>
          <c:spPr>
            <a:solidFill>
              <a:schemeClr val="accent3">
                <a:lumMod val="80000"/>
                <a:lumOff val="20000"/>
              </a:schemeClr>
            </a:solidFill>
            <a:ln>
              <a:noFill/>
            </a:ln>
            <a:effectLst/>
          </c:spPr>
          <c:invertIfNegative val="0"/>
          <c:cat>
            <c:multiLvlStrRef>
              <c:extLst>
                <c:ext xmlns:c15="http://schemas.microsoft.com/office/drawing/2012/chart" uri="{02D57815-91ED-43cb-92C2-25804820EDAC}">
                  <c15:fullRef>
                    <c15:sqref>Milch!$A$3:$C$46</c15:sqref>
                  </c15:fullRef>
                </c:ext>
              </c:extLst>
              <c:f>Milch!$A$3:$C$42</c:f>
              <c:multiLvlStrCache>
                <c:ptCount val="40"/>
                <c:lvl>
                  <c:pt idx="0">
                    <c:v>ER</c:v>
                  </c:pt>
                  <c:pt idx="1">
                    <c:v>E2</c:v>
                  </c:pt>
                  <c:pt idx="2">
                    <c:v>E3</c:v>
                  </c:pt>
                  <c:pt idx="3">
                    <c:v>E4</c:v>
                  </c:pt>
                  <c:pt idx="4">
                    <c:v>ER</c:v>
                  </c:pt>
                  <c:pt idx="5">
                    <c:v>E2</c:v>
                  </c:pt>
                  <c:pt idx="6">
                    <c:v>E3</c:v>
                  </c:pt>
                  <c:pt idx="7">
                    <c:v>E4</c:v>
                  </c:pt>
                  <c:pt idx="8">
                    <c:v>ER</c:v>
                  </c:pt>
                  <c:pt idx="9">
                    <c:v>E2</c:v>
                  </c:pt>
                  <c:pt idx="10">
                    <c:v>E3</c:v>
                  </c:pt>
                  <c:pt idx="11">
                    <c:v>E4</c:v>
                  </c:pt>
                  <c:pt idx="12">
                    <c:v>ER</c:v>
                  </c:pt>
                  <c:pt idx="13">
                    <c:v>E2</c:v>
                  </c:pt>
                  <c:pt idx="14">
                    <c:v>E3</c:v>
                  </c:pt>
                  <c:pt idx="15">
                    <c:v>E4</c:v>
                  </c:pt>
                  <c:pt idx="16">
                    <c:v>ER</c:v>
                  </c:pt>
                  <c:pt idx="17">
                    <c:v>E2</c:v>
                  </c:pt>
                  <c:pt idx="18">
                    <c:v>E3</c:v>
                  </c:pt>
                  <c:pt idx="19">
                    <c:v>E4</c:v>
                  </c:pt>
                  <c:pt idx="20">
                    <c:v>ER</c:v>
                  </c:pt>
                  <c:pt idx="21">
                    <c:v>E2</c:v>
                  </c:pt>
                  <c:pt idx="22">
                    <c:v>E3</c:v>
                  </c:pt>
                  <c:pt idx="23">
                    <c:v>E4</c:v>
                  </c:pt>
                  <c:pt idx="24">
                    <c:v>ER</c:v>
                  </c:pt>
                  <c:pt idx="25">
                    <c:v>E2</c:v>
                  </c:pt>
                  <c:pt idx="26">
                    <c:v>E3</c:v>
                  </c:pt>
                  <c:pt idx="27">
                    <c:v>E4</c:v>
                  </c:pt>
                  <c:pt idx="28">
                    <c:v>ER</c:v>
                  </c:pt>
                  <c:pt idx="29">
                    <c:v>E2</c:v>
                  </c:pt>
                  <c:pt idx="30">
                    <c:v>E3</c:v>
                  </c:pt>
                  <c:pt idx="31">
                    <c:v>E4</c:v>
                  </c:pt>
                  <c:pt idx="32">
                    <c:v>ER</c:v>
                  </c:pt>
                  <c:pt idx="33">
                    <c:v>E2</c:v>
                  </c:pt>
                  <c:pt idx="34">
                    <c:v>E3</c:v>
                  </c:pt>
                  <c:pt idx="35">
                    <c:v>E4</c:v>
                  </c:pt>
                  <c:pt idx="36">
                    <c:v>ER</c:v>
                  </c:pt>
                  <c:pt idx="37">
                    <c:v>E2</c:v>
                  </c:pt>
                  <c:pt idx="38">
                    <c:v>E3</c:v>
                  </c:pt>
                  <c:pt idx="39">
                    <c:v>E4</c:v>
                  </c:pt>
                </c:lvl>
                <c:lvl>
                  <c:pt idx="0">
                    <c:v>22.05.2023</c:v>
                  </c:pt>
                  <c:pt idx="4">
                    <c:v>26.05.2023</c:v>
                  </c:pt>
                  <c:pt idx="8">
                    <c:v>07.06.2023</c:v>
                  </c:pt>
                  <c:pt idx="12">
                    <c:v>28.06.2023</c:v>
                  </c:pt>
                  <c:pt idx="16">
                    <c:v>14.07.2023</c:v>
                  </c:pt>
                  <c:pt idx="20">
                    <c:v>17.07.2023</c:v>
                  </c:pt>
                  <c:pt idx="24">
                    <c:v>21.07.2023</c:v>
                  </c:pt>
                  <c:pt idx="28">
                    <c:v>02.08.2023</c:v>
                  </c:pt>
                  <c:pt idx="32">
                    <c:v>30.08.2023</c:v>
                  </c:pt>
                  <c:pt idx="36">
                    <c:v>04.10.2023</c:v>
                  </c:pt>
                </c:lvl>
                <c:lvl>
                  <c:pt idx="0">
                    <c:v>1</c:v>
                  </c:pt>
                  <c:pt idx="4">
                    <c:v>5</c:v>
                  </c:pt>
                  <c:pt idx="8">
                    <c:v>17</c:v>
                  </c:pt>
                  <c:pt idx="12">
                    <c:v>38</c:v>
                  </c:pt>
                  <c:pt idx="16">
                    <c:v>54</c:v>
                  </c:pt>
                  <c:pt idx="20">
                    <c:v>57</c:v>
                  </c:pt>
                  <c:pt idx="24">
                    <c:v>61</c:v>
                  </c:pt>
                  <c:pt idx="28">
                    <c:v>73</c:v>
                  </c:pt>
                  <c:pt idx="32">
                    <c:v>101</c:v>
                  </c:pt>
                  <c:pt idx="36">
                    <c:v>136</c:v>
                  </c:pt>
                </c:lvl>
              </c:multiLvlStrCache>
            </c:multiLvlStrRef>
          </c:cat>
          <c:val>
            <c:numRef>
              <c:extLst>
                <c:ext xmlns:c15="http://schemas.microsoft.com/office/drawing/2012/chart" uri="{02D57815-91ED-43cb-92C2-25804820EDAC}">
                  <c15:fullRef>
                    <c15:sqref>Milch!$R$3:$R$46</c15:sqref>
                  </c15:fullRef>
                </c:ext>
              </c:extLst>
              <c:f>Milch!$R$3:$R$42</c:f>
              <c:numCache>
                <c:formatCode>0.00</c:formatCode>
                <c:ptCount val="40"/>
                <c:pt idx="0">
                  <c:v>0</c:v>
                </c:pt>
                <c:pt idx="1">
                  <c:v>0</c:v>
                </c:pt>
                <c:pt idx="2">
                  <c:v>0</c:v>
                </c:pt>
                <c:pt idx="3">
                  <c:v>0</c:v>
                </c:pt>
                <c:pt idx="4">
                  <c:v>0</c:v>
                </c:pt>
                <c:pt idx="5">
                  <c:v>0</c:v>
                </c:pt>
                <c:pt idx="6">
                  <c:v>0</c:v>
                </c:pt>
                <c:pt idx="7">
                  <c:v>0</c:v>
                </c:pt>
                <c:pt idx="8">
                  <c:v>5.6641672377653702E-3</c:v>
                </c:pt>
                <c:pt idx="9">
                  <c:v>1.1517704350125901E-2</c:v>
                </c:pt>
                <c:pt idx="10">
                  <c:v>6.0242160625142193E-3</c:v>
                </c:pt>
                <c:pt idx="11">
                  <c:v>9.1155236529303005E-3</c:v>
                </c:pt>
                <c:pt idx="12">
                  <c:v>1.2141093173336601E-2</c:v>
                </c:pt>
                <c:pt idx="13">
                  <c:v>2.2203826120604401E-2</c:v>
                </c:pt>
                <c:pt idx="14">
                  <c:v>1.0689204284392399E-2</c:v>
                </c:pt>
                <c:pt idx="15">
                  <c:v>1.74804326784944E-2</c:v>
                </c:pt>
                <c:pt idx="16">
                  <c:v>1.3002768497254E-2</c:v>
                </c:pt>
                <c:pt idx="17">
                  <c:v>1.7074242584207599E-2</c:v>
                </c:pt>
                <c:pt idx="18">
                  <c:v>1.8896087924118898E-2</c:v>
                </c:pt>
                <c:pt idx="19">
                  <c:v>1.2380236946933699E-2</c:v>
                </c:pt>
                <c:pt idx="20">
                  <c:v>1.37402336685368E-2</c:v>
                </c:pt>
                <c:pt idx="21">
                  <c:v>1.9789815939691303E-2</c:v>
                </c:pt>
                <c:pt idx="22">
                  <c:v>1.1529417582512001E-2</c:v>
                </c:pt>
                <c:pt idx="23">
                  <c:v>1.7616738110509601E-2</c:v>
                </c:pt>
                <c:pt idx="24">
                  <c:v>8.7121600333454601E-3</c:v>
                </c:pt>
                <c:pt idx="25">
                  <c:v>1.37345436145476E-2</c:v>
                </c:pt>
                <c:pt idx="26">
                  <c:v>8.002606638203319E-3</c:v>
                </c:pt>
                <c:pt idx="27">
                  <c:v>1.2414674305087499E-2</c:v>
                </c:pt>
                <c:pt idx="28">
                  <c:v>9.05496778973474E-3</c:v>
                </c:pt>
                <c:pt idx="29">
                  <c:v>1.5520974681841701E-2</c:v>
                </c:pt>
                <c:pt idx="30">
                  <c:v>8.3993123611177702E-3</c:v>
                </c:pt>
                <c:pt idx="31">
                  <c:v>9.31232988685924E-3</c:v>
                </c:pt>
                <c:pt idx="32">
                  <c:v>2.9622217535084099E-3</c:v>
                </c:pt>
                <c:pt idx="33">
                  <c:v>7.0807903770288205E-3</c:v>
                </c:pt>
                <c:pt idx="34">
                  <c:v>0</c:v>
                </c:pt>
                <c:pt idx="35">
                  <c:v>2.9274581458242997E-3</c:v>
                </c:pt>
                <c:pt idx="36">
                  <c:v>0</c:v>
                </c:pt>
                <c:pt idx="37">
                  <c:v>0</c:v>
                </c:pt>
                <c:pt idx="38">
                  <c:v>0</c:v>
                </c:pt>
                <c:pt idx="39">
                  <c:v>0</c:v>
                </c:pt>
              </c:numCache>
            </c:numRef>
          </c:val>
          <c:extLst>
            <c:ext xmlns:c16="http://schemas.microsoft.com/office/drawing/2014/chart" uri="{C3380CC4-5D6E-409C-BE32-E72D297353CC}">
              <c16:uniqueId val="{0000000E-5BEA-48D3-A3D3-D8B808B005DA}"/>
            </c:ext>
          </c:extLst>
        </c:ser>
        <c:ser>
          <c:idx val="15"/>
          <c:order val="15"/>
          <c:tx>
            <c:strRef>
              <c:f>Milch!$S$2</c:f>
              <c:strCache>
                <c:ptCount val="1"/>
                <c:pt idx="0">
                  <c:v>n-PFOS </c:v>
                </c:pt>
              </c:strCache>
            </c:strRef>
          </c:tx>
          <c:spPr>
            <a:solidFill>
              <a:schemeClr val="accent4">
                <a:lumMod val="80000"/>
                <a:lumOff val="20000"/>
              </a:schemeClr>
            </a:solidFill>
            <a:ln>
              <a:noFill/>
            </a:ln>
            <a:effectLst/>
          </c:spPr>
          <c:invertIfNegative val="0"/>
          <c:cat>
            <c:multiLvlStrRef>
              <c:extLst>
                <c:ext xmlns:c15="http://schemas.microsoft.com/office/drawing/2012/chart" uri="{02D57815-91ED-43cb-92C2-25804820EDAC}">
                  <c15:fullRef>
                    <c15:sqref>Milch!$A$3:$C$46</c15:sqref>
                  </c15:fullRef>
                </c:ext>
              </c:extLst>
              <c:f>Milch!$A$3:$C$42</c:f>
              <c:multiLvlStrCache>
                <c:ptCount val="40"/>
                <c:lvl>
                  <c:pt idx="0">
                    <c:v>ER</c:v>
                  </c:pt>
                  <c:pt idx="1">
                    <c:v>E2</c:v>
                  </c:pt>
                  <c:pt idx="2">
                    <c:v>E3</c:v>
                  </c:pt>
                  <c:pt idx="3">
                    <c:v>E4</c:v>
                  </c:pt>
                  <c:pt idx="4">
                    <c:v>ER</c:v>
                  </c:pt>
                  <c:pt idx="5">
                    <c:v>E2</c:v>
                  </c:pt>
                  <c:pt idx="6">
                    <c:v>E3</c:v>
                  </c:pt>
                  <c:pt idx="7">
                    <c:v>E4</c:v>
                  </c:pt>
                  <c:pt idx="8">
                    <c:v>ER</c:v>
                  </c:pt>
                  <c:pt idx="9">
                    <c:v>E2</c:v>
                  </c:pt>
                  <c:pt idx="10">
                    <c:v>E3</c:v>
                  </c:pt>
                  <c:pt idx="11">
                    <c:v>E4</c:v>
                  </c:pt>
                  <c:pt idx="12">
                    <c:v>ER</c:v>
                  </c:pt>
                  <c:pt idx="13">
                    <c:v>E2</c:v>
                  </c:pt>
                  <c:pt idx="14">
                    <c:v>E3</c:v>
                  </c:pt>
                  <c:pt idx="15">
                    <c:v>E4</c:v>
                  </c:pt>
                  <c:pt idx="16">
                    <c:v>ER</c:v>
                  </c:pt>
                  <c:pt idx="17">
                    <c:v>E2</c:v>
                  </c:pt>
                  <c:pt idx="18">
                    <c:v>E3</c:v>
                  </c:pt>
                  <c:pt idx="19">
                    <c:v>E4</c:v>
                  </c:pt>
                  <c:pt idx="20">
                    <c:v>ER</c:v>
                  </c:pt>
                  <c:pt idx="21">
                    <c:v>E2</c:v>
                  </c:pt>
                  <c:pt idx="22">
                    <c:v>E3</c:v>
                  </c:pt>
                  <c:pt idx="23">
                    <c:v>E4</c:v>
                  </c:pt>
                  <c:pt idx="24">
                    <c:v>ER</c:v>
                  </c:pt>
                  <c:pt idx="25">
                    <c:v>E2</c:v>
                  </c:pt>
                  <c:pt idx="26">
                    <c:v>E3</c:v>
                  </c:pt>
                  <c:pt idx="27">
                    <c:v>E4</c:v>
                  </c:pt>
                  <c:pt idx="28">
                    <c:v>ER</c:v>
                  </c:pt>
                  <c:pt idx="29">
                    <c:v>E2</c:v>
                  </c:pt>
                  <c:pt idx="30">
                    <c:v>E3</c:v>
                  </c:pt>
                  <c:pt idx="31">
                    <c:v>E4</c:v>
                  </c:pt>
                  <c:pt idx="32">
                    <c:v>ER</c:v>
                  </c:pt>
                  <c:pt idx="33">
                    <c:v>E2</c:v>
                  </c:pt>
                  <c:pt idx="34">
                    <c:v>E3</c:v>
                  </c:pt>
                  <c:pt idx="35">
                    <c:v>E4</c:v>
                  </c:pt>
                  <c:pt idx="36">
                    <c:v>ER</c:v>
                  </c:pt>
                  <c:pt idx="37">
                    <c:v>E2</c:v>
                  </c:pt>
                  <c:pt idx="38">
                    <c:v>E3</c:v>
                  </c:pt>
                  <c:pt idx="39">
                    <c:v>E4</c:v>
                  </c:pt>
                </c:lvl>
                <c:lvl>
                  <c:pt idx="0">
                    <c:v>22.05.2023</c:v>
                  </c:pt>
                  <c:pt idx="4">
                    <c:v>26.05.2023</c:v>
                  </c:pt>
                  <c:pt idx="8">
                    <c:v>07.06.2023</c:v>
                  </c:pt>
                  <c:pt idx="12">
                    <c:v>28.06.2023</c:v>
                  </c:pt>
                  <c:pt idx="16">
                    <c:v>14.07.2023</c:v>
                  </c:pt>
                  <c:pt idx="20">
                    <c:v>17.07.2023</c:v>
                  </c:pt>
                  <c:pt idx="24">
                    <c:v>21.07.2023</c:v>
                  </c:pt>
                  <c:pt idx="28">
                    <c:v>02.08.2023</c:v>
                  </c:pt>
                  <c:pt idx="32">
                    <c:v>30.08.2023</c:v>
                  </c:pt>
                  <c:pt idx="36">
                    <c:v>04.10.2023</c:v>
                  </c:pt>
                </c:lvl>
                <c:lvl>
                  <c:pt idx="0">
                    <c:v>1</c:v>
                  </c:pt>
                  <c:pt idx="4">
                    <c:v>5</c:v>
                  </c:pt>
                  <c:pt idx="8">
                    <c:v>17</c:v>
                  </c:pt>
                  <c:pt idx="12">
                    <c:v>38</c:v>
                  </c:pt>
                  <c:pt idx="16">
                    <c:v>54</c:v>
                  </c:pt>
                  <c:pt idx="20">
                    <c:v>57</c:v>
                  </c:pt>
                  <c:pt idx="24">
                    <c:v>61</c:v>
                  </c:pt>
                  <c:pt idx="28">
                    <c:v>73</c:v>
                  </c:pt>
                  <c:pt idx="32">
                    <c:v>101</c:v>
                  </c:pt>
                  <c:pt idx="36">
                    <c:v>136</c:v>
                  </c:pt>
                </c:lvl>
              </c:multiLvlStrCache>
            </c:multiLvlStrRef>
          </c:cat>
          <c:val>
            <c:numRef>
              <c:extLst>
                <c:ext xmlns:c15="http://schemas.microsoft.com/office/drawing/2012/chart" uri="{02D57815-91ED-43cb-92C2-25804820EDAC}">
                  <c15:fullRef>
                    <c15:sqref>Milch!$S$3:$S$46</c15:sqref>
                  </c15:fullRef>
                </c:ext>
              </c:extLst>
              <c:f>Milch!$S$3:$S$42</c:f>
              <c:numCache>
                <c:formatCode>0.00</c:formatCode>
                <c:ptCount val="40"/>
                <c:pt idx="0">
                  <c:v>0</c:v>
                </c:pt>
                <c:pt idx="1">
                  <c:v>0</c:v>
                </c:pt>
                <c:pt idx="2">
                  <c:v>0</c:v>
                </c:pt>
                <c:pt idx="3">
                  <c:v>0</c:v>
                </c:pt>
                <c:pt idx="4">
                  <c:v>5.3580058831647799E-2</c:v>
                </c:pt>
                <c:pt idx="5">
                  <c:v>1.87660381699656</c:v>
                </c:pt>
                <c:pt idx="6">
                  <c:v>0.50523927403996205</c:v>
                </c:pt>
                <c:pt idx="7">
                  <c:v>0.63925431093827101</c:v>
                </c:pt>
                <c:pt idx="8">
                  <c:v>4.6243772558082901</c:v>
                </c:pt>
                <c:pt idx="9">
                  <c:v>10.835528744974001</c:v>
                </c:pt>
                <c:pt idx="10">
                  <c:v>4.5231807834538307</c:v>
                </c:pt>
                <c:pt idx="11">
                  <c:v>9.8357407093285687</c:v>
                </c:pt>
                <c:pt idx="12">
                  <c:v>7.7913358235521804</c:v>
                </c:pt>
                <c:pt idx="13">
                  <c:v>17.950616136018301</c:v>
                </c:pt>
                <c:pt idx="14">
                  <c:v>6.4683392317634496</c:v>
                </c:pt>
                <c:pt idx="15">
                  <c:v>14.209710185902601</c:v>
                </c:pt>
                <c:pt idx="16">
                  <c:v>12.178471095585101</c:v>
                </c:pt>
                <c:pt idx="17">
                  <c:v>12.2113401710182</c:v>
                </c:pt>
                <c:pt idx="18">
                  <c:v>14.746996268781301</c:v>
                </c:pt>
                <c:pt idx="19">
                  <c:v>9.3219295076075603</c:v>
                </c:pt>
                <c:pt idx="20">
                  <c:v>13.123967032493699</c:v>
                </c:pt>
                <c:pt idx="21">
                  <c:v>15.308263091115199</c:v>
                </c:pt>
                <c:pt idx="22">
                  <c:v>10.1008984194719</c:v>
                </c:pt>
                <c:pt idx="23">
                  <c:v>17.773688354314501</c:v>
                </c:pt>
                <c:pt idx="24">
                  <c:v>7.9336850604161304</c:v>
                </c:pt>
                <c:pt idx="25">
                  <c:v>11.191836639536399</c:v>
                </c:pt>
                <c:pt idx="26">
                  <c:v>7.34638398120312</c:v>
                </c:pt>
                <c:pt idx="27">
                  <c:v>13.704638869157399</c:v>
                </c:pt>
                <c:pt idx="28">
                  <c:v>8.3974744149872596</c:v>
                </c:pt>
                <c:pt idx="29">
                  <c:v>13.078703887668301</c:v>
                </c:pt>
                <c:pt idx="30">
                  <c:v>10.4668798676493</c:v>
                </c:pt>
                <c:pt idx="31">
                  <c:v>12.7958967618153</c:v>
                </c:pt>
                <c:pt idx="32">
                  <c:v>5.5462058463017101</c:v>
                </c:pt>
                <c:pt idx="33">
                  <c:v>8.57577453323408</c:v>
                </c:pt>
                <c:pt idx="34">
                  <c:v>5.7910253994052301</c:v>
                </c:pt>
                <c:pt idx="35">
                  <c:v>6.28796748858485</c:v>
                </c:pt>
                <c:pt idx="36">
                  <c:v>2.3764097731810798</c:v>
                </c:pt>
                <c:pt idx="37">
                  <c:v>1.8633306904098399</c:v>
                </c:pt>
                <c:pt idx="38">
                  <c:v>1.26381722648068</c:v>
                </c:pt>
                <c:pt idx="39">
                  <c:v>1.9897611904925401</c:v>
                </c:pt>
              </c:numCache>
            </c:numRef>
          </c:val>
          <c:extLst>
            <c:ext xmlns:c16="http://schemas.microsoft.com/office/drawing/2014/chart" uri="{C3380CC4-5D6E-409C-BE32-E72D297353CC}">
              <c16:uniqueId val="{0000000F-5BEA-48D3-A3D3-D8B808B005DA}"/>
            </c:ext>
          </c:extLst>
        </c:ser>
        <c:ser>
          <c:idx val="16"/>
          <c:order val="16"/>
          <c:tx>
            <c:strRef>
              <c:f>Milch!$T$2</c:f>
              <c:strCache>
                <c:ptCount val="1"/>
                <c:pt idx="0">
                  <c:v>n-PFNS </c:v>
                </c:pt>
              </c:strCache>
            </c:strRef>
          </c:tx>
          <c:spPr>
            <a:solidFill>
              <a:schemeClr val="accent5">
                <a:lumMod val="80000"/>
                <a:lumOff val="20000"/>
              </a:schemeClr>
            </a:solidFill>
            <a:ln>
              <a:noFill/>
            </a:ln>
            <a:effectLst/>
          </c:spPr>
          <c:invertIfNegative val="0"/>
          <c:cat>
            <c:multiLvlStrRef>
              <c:extLst>
                <c:ext xmlns:c15="http://schemas.microsoft.com/office/drawing/2012/chart" uri="{02D57815-91ED-43cb-92C2-25804820EDAC}">
                  <c15:fullRef>
                    <c15:sqref>Milch!$A$3:$C$46</c15:sqref>
                  </c15:fullRef>
                </c:ext>
              </c:extLst>
              <c:f>Milch!$A$3:$C$42</c:f>
              <c:multiLvlStrCache>
                <c:ptCount val="40"/>
                <c:lvl>
                  <c:pt idx="0">
                    <c:v>ER</c:v>
                  </c:pt>
                  <c:pt idx="1">
                    <c:v>E2</c:v>
                  </c:pt>
                  <c:pt idx="2">
                    <c:v>E3</c:v>
                  </c:pt>
                  <c:pt idx="3">
                    <c:v>E4</c:v>
                  </c:pt>
                  <c:pt idx="4">
                    <c:v>ER</c:v>
                  </c:pt>
                  <c:pt idx="5">
                    <c:v>E2</c:v>
                  </c:pt>
                  <c:pt idx="6">
                    <c:v>E3</c:v>
                  </c:pt>
                  <c:pt idx="7">
                    <c:v>E4</c:v>
                  </c:pt>
                  <c:pt idx="8">
                    <c:v>ER</c:v>
                  </c:pt>
                  <c:pt idx="9">
                    <c:v>E2</c:v>
                  </c:pt>
                  <c:pt idx="10">
                    <c:v>E3</c:v>
                  </c:pt>
                  <c:pt idx="11">
                    <c:v>E4</c:v>
                  </c:pt>
                  <c:pt idx="12">
                    <c:v>ER</c:v>
                  </c:pt>
                  <c:pt idx="13">
                    <c:v>E2</c:v>
                  </c:pt>
                  <c:pt idx="14">
                    <c:v>E3</c:v>
                  </c:pt>
                  <c:pt idx="15">
                    <c:v>E4</c:v>
                  </c:pt>
                  <c:pt idx="16">
                    <c:v>ER</c:v>
                  </c:pt>
                  <c:pt idx="17">
                    <c:v>E2</c:v>
                  </c:pt>
                  <c:pt idx="18">
                    <c:v>E3</c:v>
                  </c:pt>
                  <c:pt idx="19">
                    <c:v>E4</c:v>
                  </c:pt>
                  <c:pt idx="20">
                    <c:v>ER</c:v>
                  </c:pt>
                  <c:pt idx="21">
                    <c:v>E2</c:v>
                  </c:pt>
                  <c:pt idx="22">
                    <c:v>E3</c:v>
                  </c:pt>
                  <c:pt idx="23">
                    <c:v>E4</c:v>
                  </c:pt>
                  <c:pt idx="24">
                    <c:v>ER</c:v>
                  </c:pt>
                  <c:pt idx="25">
                    <c:v>E2</c:v>
                  </c:pt>
                  <c:pt idx="26">
                    <c:v>E3</c:v>
                  </c:pt>
                  <c:pt idx="27">
                    <c:v>E4</c:v>
                  </c:pt>
                  <c:pt idx="28">
                    <c:v>ER</c:v>
                  </c:pt>
                  <c:pt idx="29">
                    <c:v>E2</c:v>
                  </c:pt>
                  <c:pt idx="30">
                    <c:v>E3</c:v>
                  </c:pt>
                  <c:pt idx="31">
                    <c:v>E4</c:v>
                  </c:pt>
                  <c:pt idx="32">
                    <c:v>ER</c:v>
                  </c:pt>
                  <c:pt idx="33">
                    <c:v>E2</c:v>
                  </c:pt>
                  <c:pt idx="34">
                    <c:v>E3</c:v>
                  </c:pt>
                  <c:pt idx="35">
                    <c:v>E4</c:v>
                  </c:pt>
                  <c:pt idx="36">
                    <c:v>ER</c:v>
                  </c:pt>
                  <c:pt idx="37">
                    <c:v>E2</c:v>
                  </c:pt>
                  <c:pt idx="38">
                    <c:v>E3</c:v>
                  </c:pt>
                  <c:pt idx="39">
                    <c:v>E4</c:v>
                  </c:pt>
                </c:lvl>
                <c:lvl>
                  <c:pt idx="0">
                    <c:v>22.05.2023</c:v>
                  </c:pt>
                  <c:pt idx="4">
                    <c:v>26.05.2023</c:v>
                  </c:pt>
                  <c:pt idx="8">
                    <c:v>07.06.2023</c:v>
                  </c:pt>
                  <c:pt idx="12">
                    <c:v>28.06.2023</c:v>
                  </c:pt>
                  <c:pt idx="16">
                    <c:v>14.07.2023</c:v>
                  </c:pt>
                  <c:pt idx="20">
                    <c:v>17.07.2023</c:v>
                  </c:pt>
                  <c:pt idx="24">
                    <c:v>21.07.2023</c:v>
                  </c:pt>
                  <c:pt idx="28">
                    <c:v>02.08.2023</c:v>
                  </c:pt>
                  <c:pt idx="32">
                    <c:v>30.08.2023</c:v>
                  </c:pt>
                  <c:pt idx="36">
                    <c:v>04.10.2023</c:v>
                  </c:pt>
                </c:lvl>
                <c:lvl>
                  <c:pt idx="0">
                    <c:v>1</c:v>
                  </c:pt>
                  <c:pt idx="4">
                    <c:v>5</c:v>
                  </c:pt>
                  <c:pt idx="8">
                    <c:v>17</c:v>
                  </c:pt>
                  <c:pt idx="12">
                    <c:v>38</c:v>
                  </c:pt>
                  <c:pt idx="16">
                    <c:v>54</c:v>
                  </c:pt>
                  <c:pt idx="20">
                    <c:v>57</c:v>
                  </c:pt>
                  <c:pt idx="24">
                    <c:v>61</c:v>
                  </c:pt>
                  <c:pt idx="28">
                    <c:v>73</c:v>
                  </c:pt>
                  <c:pt idx="32">
                    <c:v>101</c:v>
                  </c:pt>
                  <c:pt idx="36">
                    <c:v>136</c:v>
                  </c:pt>
                </c:lvl>
              </c:multiLvlStrCache>
            </c:multiLvlStrRef>
          </c:cat>
          <c:val>
            <c:numRef>
              <c:extLst>
                <c:ext xmlns:c15="http://schemas.microsoft.com/office/drawing/2012/chart" uri="{02D57815-91ED-43cb-92C2-25804820EDAC}">
                  <c15:fullRef>
                    <c15:sqref>Milch!$T$3:$T$46</c15:sqref>
                  </c15:fullRef>
                </c:ext>
              </c:extLst>
              <c:f>Milch!$T$3:$T$42</c:f>
              <c:numCache>
                <c:formatCode>0.00</c:formatCode>
                <c:ptCount val="40"/>
                <c:pt idx="0">
                  <c:v>0</c:v>
                </c:pt>
                <c:pt idx="1">
                  <c:v>0</c:v>
                </c:pt>
                <c:pt idx="2">
                  <c:v>0</c:v>
                </c:pt>
                <c:pt idx="3">
                  <c:v>0</c:v>
                </c:pt>
                <c:pt idx="4">
                  <c:v>3.8691960747259301E-2</c:v>
                </c:pt>
                <c:pt idx="5">
                  <c:v>1.0537722752310799</c:v>
                </c:pt>
                <c:pt idx="6">
                  <c:v>0.36539778023237396</c:v>
                </c:pt>
                <c:pt idx="7">
                  <c:v>0.43831271544360501</c:v>
                </c:pt>
                <c:pt idx="8">
                  <c:v>2.9057804620535901</c:v>
                </c:pt>
                <c:pt idx="9">
                  <c:v>5.9692562438094399</c:v>
                </c:pt>
                <c:pt idx="10">
                  <c:v>2.8542492831941599</c:v>
                </c:pt>
                <c:pt idx="11">
                  <c:v>7.4230781195522706</c:v>
                </c:pt>
                <c:pt idx="12">
                  <c:v>5.6650737451774802</c:v>
                </c:pt>
                <c:pt idx="13">
                  <c:v>14.6440039623887</c:v>
                </c:pt>
                <c:pt idx="14">
                  <c:v>5.0072221111036095</c:v>
                </c:pt>
                <c:pt idx="15">
                  <c:v>11.2446959444881</c:v>
                </c:pt>
                <c:pt idx="16">
                  <c:v>9.2242609658041896</c:v>
                </c:pt>
                <c:pt idx="17">
                  <c:v>7.2737674716598306</c:v>
                </c:pt>
                <c:pt idx="18">
                  <c:v>8.7706734849236607</c:v>
                </c:pt>
                <c:pt idx="19">
                  <c:v>5.9668111903246901</c:v>
                </c:pt>
                <c:pt idx="20">
                  <c:v>9.1197662805331294</c:v>
                </c:pt>
                <c:pt idx="21">
                  <c:v>12.715707396533901</c:v>
                </c:pt>
                <c:pt idx="22">
                  <c:v>7.6726181491103196</c:v>
                </c:pt>
                <c:pt idx="23">
                  <c:v>13.6145809669993</c:v>
                </c:pt>
                <c:pt idx="24">
                  <c:v>4.6866294787117901</c:v>
                </c:pt>
                <c:pt idx="25">
                  <c:v>9.0647681064767198</c:v>
                </c:pt>
                <c:pt idx="26">
                  <c:v>4.83857959887633</c:v>
                </c:pt>
                <c:pt idx="27">
                  <c:v>10.0734839679328</c:v>
                </c:pt>
                <c:pt idx="28">
                  <c:v>5.65399682212482</c:v>
                </c:pt>
                <c:pt idx="29">
                  <c:v>9.4602189412475806</c:v>
                </c:pt>
                <c:pt idx="30">
                  <c:v>6.8724561851474997</c:v>
                </c:pt>
                <c:pt idx="31">
                  <c:v>8.3803533705248299</c:v>
                </c:pt>
                <c:pt idx="32">
                  <c:v>2.3080440542957499</c:v>
                </c:pt>
                <c:pt idx="33">
                  <c:v>4.0069058140357203</c:v>
                </c:pt>
                <c:pt idx="34">
                  <c:v>2.29174272301971</c:v>
                </c:pt>
                <c:pt idx="35">
                  <c:v>2.1993931033742</c:v>
                </c:pt>
                <c:pt idx="36">
                  <c:v>0.53483673340285898</c:v>
                </c:pt>
                <c:pt idx="37">
                  <c:v>0.374547706886044</c:v>
                </c:pt>
                <c:pt idx="38">
                  <c:v>0.186186137485228</c:v>
                </c:pt>
                <c:pt idx="39">
                  <c:v>0.26151063318067602</c:v>
                </c:pt>
              </c:numCache>
            </c:numRef>
          </c:val>
          <c:extLst>
            <c:ext xmlns:c16="http://schemas.microsoft.com/office/drawing/2014/chart" uri="{C3380CC4-5D6E-409C-BE32-E72D297353CC}">
              <c16:uniqueId val="{00000010-5BEA-48D3-A3D3-D8B808B005DA}"/>
            </c:ext>
          </c:extLst>
        </c:ser>
        <c:ser>
          <c:idx val="17"/>
          <c:order val="17"/>
          <c:tx>
            <c:strRef>
              <c:f>Milch!$U$2</c:f>
              <c:strCache>
                <c:ptCount val="1"/>
                <c:pt idx="0">
                  <c:v>n-PFDS </c:v>
                </c:pt>
              </c:strCache>
            </c:strRef>
          </c:tx>
          <c:spPr>
            <a:solidFill>
              <a:schemeClr val="accent6">
                <a:lumMod val="80000"/>
                <a:lumOff val="20000"/>
              </a:schemeClr>
            </a:solidFill>
            <a:ln>
              <a:noFill/>
            </a:ln>
            <a:effectLst/>
          </c:spPr>
          <c:invertIfNegative val="0"/>
          <c:cat>
            <c:multiLvlStrRef>
              <c:extLst>
                <c:ext xmlns:c15="http://schemas.microsoft.com/office/drawing/2012/chart" uri="{02D57815-91ED-43cb-92C2-25804820EDAC}">
                  <c15:fullRef>
                    <c15:sqref>Milch!$A$3:$C$46</c15:sqref>
                  </c15:fullRef>
                </c:ext>
              </c:extLst>
              <c:f>Milch!$A$3:$C$42</c:f>
              <c:multiLvlStrCache>
                <c:ptCount val="40"/>
                <c:lvl>
                  <c:pt idx="0">
                    <c:v>ER</c:v>
                  </c:pt>
                  <c:pt idx="1">
                    <c:v>E2</c:v>
                  </c:pt>
                  <c:pt idx="2">
                    <c:v>E3</c:v>
                  </c:pt>
                  <c:pt idx="3">
                    <c:v>E4</c:v>
                  </c:pt>
                  <c:pt idx="4">
                    <c:v>ER</c:v>
                  </c:pt>
                  <c:pt idx="5">
                    <c:v>E2</c:v>
                  </c:pt>
                  <c:pt idx="6">
                    <c:v>E3</c:v>
                  </c:pt>
                  <c:pt idx="7">
                    <c:v>E4</c:v>
                  </c:pt>
                  <c:pt idx="8">
                    <c:v>ER</c:v>
                  </c:pt>
                  <c:pt idx="9">
                    <c:v>E2</c:v>
                  </c:pt>
                  <c:pt idx="10">
                    <c:v>E3</c:v>
                  </c:pt>
                  <c:pt idx="11">
                    <c:v>E4</c:v>
                  </c:pt>
                  <c:pt idx="12">
                    <c:v>ER</c:v>
                  </c:pt>
                  <c:pt idx="13">
                    <c:v>E2</c:v>
                  </c:pt>
                  <c:pt idx="14">
                    <c:v>E3</c:v>
                  </c:pt>
                  <c:pt idx="15">
                    <c:v>E4</c:v>
                  </c:pt>
                  <c:pt idx="16">
                    <c:v>ER</c:v>
                  </c:pt>
                  <c:pt idx="17">
                    <c:v>E2</c:v>
                  </c:pt>
                  <c:pt idx="18">
                    <c:v>E3</c:v>
                  </c:pt>
                  <c:pt idx="19">
                    <c:v>E4</c:v>
                  </c:pt>
                  <c:pt idx="20">
                    <c:v>ER</c:v>
                  </c:pt>
                  <c:pt idx="21">
                    <c:v>E2</c:v>
                  </c:pt>
                  <c:pt idx="22">
                    <c:v>E3</c:v>
                  </c:pt>
                  <c:pt idx="23">
                    <c:v>E4</c:v>
                  </c:pt>
                  <c:pt idx="24">
                    <c:v>ER</c:v>
                  </c:pt>
                  <c:pt idx="25">
                    <c:v>E2</c:v>
                  </c:pt>
                  <c:pt idx="26">
                    <c:v>E3</c:v>
                  </c:pt>
                  <c:pt idx="27">
                    <c:v>E4</c:v>
                  </c:pt>
                  <c:pt idx="28">
                    <c:v>ER</c:v>
                  </c:pt>
                  <c:pt idx="29">
                    <c:v>E2</c:v>
                  </c:pt>
                  <c:pt idx="30">
                    <c:v>E3</c:v>
                  </c:pt>
                  <c:pt idx="31">
                    <c:v>E4</c:v>
                  </c:pt>
                  <c:pt idx="32">
                    <c:v>ER</c:v>
                  </c:pt>
                  <c:pt idx="33">
                    <c:v>E2</c:v>
                  </c:pt>
                  <c:pt idx="34">
                    <c:v>E3</c:v>
                  </c:pt>
                  <c:pt idx="35">
                    <c:v>E4</c:v>
                  </c:pt>
                  <c:pt idx="36">
                    <c:v>ER</c:v>
                  </c:pt>
                  <c:pt idx="37">
                    <c:v>E2</c:v>
                  </c:pt>
                  <c:pt idx="38">
                    <c:v>E3</c:v>
                  </c:pt>
                  <c:pt idx="39">
                    <c:v>E4</c:v>
                  </c:pt>
                </c:lvl>
                <c:lvl>
                  <c:pt idx="0">
                    <c:v>22.05.2023</c:v>
                  </c:pt>
                  <c:pt idx="4">
                    <c:v>26.05.2023</c:v>
                  </c:pt>
                  <c:pt idx="8">
                    <c:v>07.06.2023</c:v>
                  </c:pt>
                  <c:pt idx="12">
                    <c:v>28.06.2023</c:v>
                  </c:pt>
                  <c:pt idx="16">
                    <c:v>14.07.2023</c:v>
                  </c:pt>
                  <c:pt idx="20">
                    <c:v>17.07.2023</c:v>
                  </c:pt>
                  <c:pt idx="24">
                    <c:v>21.07.2023</c:v>
                  </c:pt>
                  <c:pt idx="28">
                    <c:v>02.08.2023</c:v>
                  </c:pt>
                  <c:pt idx="32">
                    <c:v>30.08.2023</c:v>
                  </c:pt>
                  <c:pt idx="36">
                    <c:v>04.10.2023</c:v>
                  </c:pt>
                </c:lvl>
                <c:lvl>
                  <c:pt idx="0">
                    <c:v>1</c:v>
                  </c:pt>
                  <c:pt idx="4">
                    <c:v>5</c:v>
                  </c:pt>
                  <c:pt idx="8">
                    <c:v>17</c:v>
                  </c:pt>
                  <c:pt idx="12">
                    <c:v>38</c:v>
                  </c:pt>
                  <c:pt idx="16">
                    <c:v>54</c:v>
                  </c:pt>
                  <c:pt idx="20">
                    <c:v>57</c:v>
                  </c:pt>
                  <c:pt idx="24">
                    <c:v>61</c:v>
                  </c:pt>
                  <c:pt idx="28">
                    <c:v>73</c:v>
                  </c:pt>
                  <c:pt idx="32">
                    <c:v>101</c:v>
                  </c:pt>
                  <c:pt idx="36">
                    <c:v>136</c:v>
                  </c:pt>
                </c:lvl>
              </c:multiLvlStrCache>
            </c:multiLvlStrRef>
          </c:cat>
          <c:val>
            <c:numRef>
              <c:extLst>
                <c:ext xmlns:c15="http://schemas.microsoft.com/office/drawing/2012/chart" uri="{02D57815-91ED-43cb-92C2-25804820EDAC}">
                  <c15:fullRef>
                    <c15:sqref>Milch!$U$3:$U$46</c15:sqref>
                  </c15:fullRef>
                </c:ext>
              </c:extLst>
              <c:f>Milch!$U$3:$U$42</c:f>
              <c:numCache>
                <c:formatCode>0.00</c:formatCode>
                <c:ptCount val="40"/>
                <c:pt idx="0">
                  <c:v>0</c:v>
                </c:pt>
                <c:pt idx="1">
                  <c:v>0</c:v>
                </c:pt>
                <c:pt idx="2">
                  <c:v>0</c:v>
                </c:pt>
                <c:pt idx="3">
                  <c:v>0</c:v>
                </c:pt>
                <c:pt idx="4">
                  <c:v>3.6018150539357897E-2</c:v>
                </c:pt>
                <c:pt idx="5">
                  <c:v>0.61761008805601503</c:v>
                </c:pt>
                <c:pt idx="6">
                  <c:v>0.32328649307469198</c:v>
                </c:pt>
                <c:pt idx="7">
                  <c:v>0.344819352976798</c:v>
                </c:pt>
                <c:pt idx="8">
                  <c:v>2.0641866359766401</c:v>
                </c:pt>
                <c:pt idx="9">
                  <c:v>3.5304297069530199</c:v>
                </c:pt>
                <c:pt idx="10">
                  <c:v>1.79539685407369</c:v>
                </c:pt>
                <c:pt idx="11">
                  <c:v>3.6727777893274602</c:v>
                </c:pt>
                <c:pt idx="12">
                  <c:v>3.5708669461957903</c:v>
                </c:pt>
                <c:pt idx="13">
                  <c:v>5.0016911305427003</c:v>
                </c:pt>
                <c:pt idx="14">
                  <c:v>2.2505623622516602</c:v>
                </c:pt>
                <c:pt idx="15">
                  <c:v>3.8405693601750701</c:v>
                </c:pt>
                <c:pt idx="16">
                  <c:v>3.79519077749109</c:v>
                </c:pt>
                <c:pt idx="17">
                  <c:v>4.4679111312556996</c:v>
                </c:pt>
                <c:pt idx="18">
                  <c:v>7.3632789817963502</c:v>
                </c:pt>
                <c:pt idx="19">
                  <c:v>5.1063755050540705</c:v>
                </c:pt>
                <c:pt idx="20">
                  <c:v>3.07895596092464</c:v>
                </c:pt>
                <c:pt idx="21">
                  <c:v>5.5331546916020695</c:v>
                </c:pt>
                <c:pt idx="22">
                  <c:v>3.7448282765504199</c:v>
                </c:pt>
                <c:pt idx="23">
                  <c:v>3.98937850733267</c:v>
                </c:pt>
                <c:pt idx="24">
                  <c:v>1.70419675803185</c:v>
                </c:pt>
                <c:pt idx="25">
                  <c:v>3.6040390556858801</c:v>
                </c:pt>
                <c:pt idx="26">
                  <c:v>1.9112769767770998</c:v>
                </c:pt>
                <c:pt idx="27">
                  <c:v>2.3803849538049597</c:v>
                </c:pt>
                <c:pt idx="28">
                  <c:v>1.65851417542233</c:v>
                </c:pt>
                <c:pt idx="29">
                  <c:v>2.6411137584645599</c:v>
                </c:pt>
                <c:pt idx="30">
                  <c:v>1.78168998932584</c:v>
                </c:pt>
                <c:pt idx="31">
                  <c:v>1.4093297474734099</c:v>
                </c:pt>
                <c:pt idx="32">
                  <c:v>0.524464108527391</c:v>
                </c:pt>
                <c:pt idx="33">
                  <c:v>0.82715314312230104</c:v>
                </c:pt>
                <c:pt idx="34">
                  <c:v>0.39123072095407702</c:v>
                </c:pt>
                <c:pt idx="35">
                  <c:v>0.28647618435879701</c:v>
                </c:pt>
                <c:pt idx="36">
                  <c:v>7.2437417646764798E-2</c:v>
                </c:pt>
                <c:pt idx="37">
                  <c:v>6.642771508437291E-2</c:v>
                </c:pt>
                <c:pt idx="38">
                  <c:v>1.8461482946058899E-2</c:v>
                </c:pt>
                <c:pt idx="39">
                  <c:v>1.8640647028759498E-2</c:v>
                </c:pt>
              </c:numCache>
            </c:numRef>
          </c:val>
          <c:extLst>
            <c:ext xmlns:c16="http://schemas.microsoft.com/office/drawing/2014/chart" uri="{C3380CC4-5D6E-409C-BE32-E72D297353CC}">
              <c16:uniqueId val="{00000011-5BEA-48D3-A3D3-D8B808B005DA}"/>
            </c:ext>
          </c:extLst>
        </c:ser>
        <c:ser>
          <c:idx val="18"/>
          <c:order val="18"/>
          <c:tx>
            <c:strRef>
              <c:f>Milch!$V$2</c:f>
              <c:strCache>
                <c:ptCount val="1"/>
                <c:pt idx="0">
                  <c:v>n-PFUnDS </c:v>
                </c:pt>
              </c:strCache>
            </c:strRef>
          </c:tx>
          <c:spPr>
            <a:solidFill>
              <a:schemeClr val="accent1">
                <a:lumMod val="80000"/>
              </a:schemeClr>
            </a:solidFill>
            <a:ln>
              <a:noFill/>
            </a:ln>
            <a:effectLst/>
          </c:spPr>
          <c:invertIfNegative val="0"/>
          <c:cat>
            <c:multiLvlStrRef>
              <c:extLst>
                <c:ext xmlns:c15="http://schemas.microsoft.com/office/drawing/2012/chart" uri="{02D57815-91ED-43cb-92C2-25804820EDAC}">
                  <c15:fullRef>
                    <c15:sqref>Milch!$A$3:$C$46</c15:sqref>
                  </c15:fullRef>
                </c:ext>
              </c:extLst>
              <c:f>Milch!$A$3:$C$42</c:f>
              <c:multiLvlStrCache>
                <c:ptCount val="40"/>
                <c:lvl>
                  <c:pt idx="0">
                    <c:v>ER</c:v>
                  </c:pt>
                  <c:pt idx="1">
                    <c:v>E2</c:v>
                  </c:pt>
                  <c:pt idx="2">
                    <c:v>E3</c:v>
                  </c:pt>
                  <c:pt idx="3">
                    <c:v>E4</c:v>
                  </c:pt>
                  <c:pt idx="4">
                    <c:v>ER</c:v>
                  </c:pt>
                  <c:pt idx="5">
                    <c:v>E2</c:v>
                  </c:pt>
                  <c:pt idx="6">
                    <c:v>E3</c:v>
                  </c:pt>
                  <c:pt idx="7">
                    <c:v>E4</c:v>
                  </c:pt>
                  <c:pt idx="8">
                    <c:v>ER</c:v>
                  </c:pt>
                  <c:pt idx="9">
                    <c:v>E2</c:v>
                  </c:pt>
                  <c:pt idx="10">
                    <c:v>E3</c:v>
                  </c:pt>
                  <c:pt idx="11">
                    <c:v>E4</c:v>
                  </c:pt>
                  <c:pt idx="12">
                    <c:v>ER</c:v>
                  </c:pt>
                  <c:pt idx="13">
                    <c:v>E2</c:v>
                  </c:pt>
                  <c:pt idx="14">
                    <c:v>E3</c:v>
                  </c:pt>
                  <c:pt idx="15">
                    <c:v>E4</c:v>
                  </c:pt>
                  <c:pt idx="16">
                    <c:v>ER</c:v>
                  </c:pt>
                  <c:pt idx="17">
                    <c:v>E2</c:v>
                  </c:pt>
                  <c:pt idx="18">
                    <c:v>E3</c:v>
                  </c:pt>
                  <c:pt idx="19">
                    <c:v>E4</c:v>
                  </c:pt>
                  <c:pt idx="20">
                    <c:v>ER</c:v>
                  </c:pt>
                  <c:pt idx="21">
                    <c:v>E2</c:v>
                  </c:pt>
                  <c:pt idx="22">
                    <c:v>E3</c:v>
                  </c:pt>
                  <c:pt idx="23">
                    <c:v>E4</c:v>
                  </c:pt>
                  <c:pt idx="24">
                    <c:v>ER</c:v>
                  </c:pt>
                  <c:pt idx="25">
                    <c:v>E2</c:v>
                  </c:pt>
                  <c:pt idx="26">
                    <c:v>E3</c:v>
                  </c:pt>
                  <c:pt idx="27">
                    <c:v>E4</c:v>
                  </c:pt>
                  <c:pt idx="28">
                    <c:v>ER</c:v>
                  </c:pt>
                  <c:pt idx="29">
                    <c:v>E2</c:v>
                  </c:pt>
                  <c:pt idx="30">
                    <c:v>E3</c:v>
                  </c:pt>
                  <c:pt idx="31">
                    <c:v>E4</c:v>
                  </c:pt>
                  <c:pt idx="32">
                    <c:v>ER</c:v>
                  </c:pt>
                  <c:pt idx="33">
                    <c:v>E2</c:v>
                  </c:pt>
                  <c:pt idx="34">
                    <c:v>E3</c:v>
                  </c:pt>
                  <c:pt idx="35">
                    <c:v>E4</c:v>
                  </c:pt>
                  <c:pt idx="36">
                    <c:v>ER</c:v>
                  </c:pt>
                  <c:pt idx="37">
                    <c:v>E2</c:v>
                  </c:pt>
                  <c:pt idx="38">
                    <c:v>E3</c:v>
                  </c:pt>
                  <c:pt idx="39">
                    <c:v>E4</c:v>
                  </c:pt>
                </c:lvl>
                <c:lvl>
                  <c:pt idx="0">
                    <c:v>22.05.2023</c:v>
                  </c:pt>
                  <c:pt idx="4">
                    <c:v>26.05.2023</c:v>
                  </c:pt>
                  <c:pt idx="8">
                    <c:v>07.06.2023</c:v>
                  </c:pt>
                  <c:pt idx="12">
                    <c:v>28.06.2023</c:v>
                  </c:pt>
                  <c:pt idx="16">
                    <c:v>14.07.2023</c:v>
                  </c:pt>
                  <c:pt idx="20">
                    <c:v>17.07.2023</c:v>
                  </c:pt>
                  <c:pt idx="24">
                    <c:v>21.07.2023</c:v>
                  </c:pt>
                  <c:pt idx="28">
                    <c:v>02.08.2023</c:v>
                  </c:pt>
                  <c:pt idx="32">
                    <c:v>30.08.2023</c:v>
                  </c:pt>
                  <c:pt idx="36">
                    <c:v>04.10.2023</c:v>
                  </c:pt>
                </c:lvl>
                <c:lvl>
                  <c:pt idx="0">
                    <c:v>1</c:v>
                  </c:pt>
                  <c:pt idx="4">
                    <c:v>5</c:v>
                  </c:pt>
                  <c:pt idx="8">
                    <c:v>17</c:v>
                  </c:pt>
                  <c:pt idx="12">
                    <c:v>38</c:v>
                  </c:pt>
                  <c:pt idx="16">
                    <c:v>54</c:v>
                  </c:pt>
                  <c:pt idx="20">
                    <c:v>57</c:v>
                  </c:pt>
                  <c:pt idx="24">
                    <c:v>61</c:v>
                  </c:pt>
                  <c:pt idx="28">
                    <c:v>73</c:v>
                  </c:pt>
                  <c:pt idx="32">
                    <c:v>101</c:v>
                  </c:pt>
                  <c:pt idx="36">
                    <c:v>136</c:v>
                  </c:pt>
                </c:lvl>
              </c:multiLvlStrCache>
            </c:multiLvlStrRef>
          </c:cat>
          <c:val>
            <c:numRef>
              <c:extLst>
                <c:ext xmlns:c15="http://schemas.microsoft.com/office/drawing/2012/chart" uri="{02D57815-91ED-43cb-92C2-25804820EDAC}">
                  <c15:fullRef>
                    <c15:sqref>Milch!$V$3:$V$46</c15:sqref>
                  </c15:fullRef>
                </c:ext>
              </c:extLst>
              <c:f>Milch!$V$3:$V$42</c:f>
              <c:numCache>
                <c:formatCode>0.00</c:formatCode>
                <c:ptCount val="40"/>
                <c:pt idx="0">
                  <c:v>0</c:v>
                </c:pt>
                <c:pt idx="1">
                  <c:v>0</c:v>
                </c:pt>
                <c:pt idx="2">
                  <c:v>0</c:v>
                </c:pt>
                <c:pt idx="3">
                  <c:v>0</c:v>
                </c:pt>
                <c:pt idx="4">
                  <c:v>0</c:v>
                </c:pt>
                <c:pt idx="5">
                  <c:v>7.0429298677974997E-2</c:v>
                </c:pt>
                <c:pt idx="6">
                  <c:v>2.68430125780139E-2</c:v>
                </c:pt>
                <c:pt idx="7">
                  <c:v>2.9631016779758098E-2</c:v>
                </c:pt>
                <c:pt idx="8">
                  <c:v>0.102152144349442</c:v>
                </c:pt>
                <c:pt idx="9">
                  <c:v>0.37883498507369701</c:v>
                </c:pt>
                <c:pt idx="10">
                  <c:v>0.17329305665351502</c:v>
                </c:pt>
                <c:pt idx="11">
                  <c:v>0.36623319428279599</c:v>
                </c:pt>
                <c:pt idx="12">
                  <c:v>0.167671178737582</c:v>
                </c:pt>
                <c:pt idx="13">
                  <c:v>0.45625967794779304</c:v>
                </c:pt>
                <c:pt idx="14">
                  <c:v>0.19442477662521901</c:v>
                </c:pt>
                <c:pt idx="15">
                  <c:v>0.37079378889122599</c:v>
                </c:pt>
                <c:pt idx="16">
                  <c:v>0.21737011441599199</c:v>
                </c:pt>
                <c:pt idx="17">
                  <c:v>0.24010636623901102</c:v>
                </c:pt>
                <c:pt idx="18">
                  <c:v>0.34496510773367001</c:v>
                </c:pt>
                <c:pt idx="19">
                  <c:v>0.25473995149161899</c:v>
                </c:pt>
                <c:pt idx="20">
                  <c:v>0.16138814260926501</c:v>
                </c:pt>
                <c:pt idx="21">
                  <c:v>0.55423502122565194</c:v>
                </c:pt>
                <c:pt idx="22">
                  <c:v>0.28694246162158205</c:v>
                </c:pt>
                <c:pt idx="23">
                  <c:v>0.36028469449916201</c:v>
                </c:pt>
                <c:pt idx="24">
                  <c:v>0.12168541208162099</c:v>
                </c:pt>
                <c:pt idx="25">
                  <c:v>0.29737755128882704</c:v>
                </c:pt>
                <c:pt idx="26">
                  <c:v>0.154295329528676</c:v>
                </c:pt>
                <c:pt idx="27">
                  <c:v>0.15802487161550802</c:v>
                </c:pt>
                <c:pt idx="28">
                  <c:v>5.5499389238652101E-2</c:v>
                </c:pt>
                <c:pt idx="29">
                  <c:v>0.17838748742716998</c:v>
                </c:pt>
                <c:pt idx="30">
                  <c:v>8.78135577577141E-2</c:v>
                </c:pt>
                <c:pt idx="31">
                  <c:v>8.2461268240187291E-2</c:v>
                </c:pt>
                <c:pt idx="32">
                  <c:v>1.4617249746065999E-2</c:v>
                </c:pt>
                <c:pt idx="33">
                  <c:v>3.1546308857857697E-2</c:v>
                </c:pt>
                <c:pt idx="34">
                  <c:v>1.7736173946911401E-2</c:v>
                </c:pt>
                <c:pt idx="35">
                  <c:v>0</c:v>
                </c:pt>
                <c:pt idx="36">
                  <c:v>0</c:v>
                </c:pt>
                <c:pt idx="37">
                  <c:v>0</c:v>
                </c:pt>
                <c:pt idx="38">
                  <c:v>0</c:v>
                </c:pt>
                <c:pt idx="39">
                  <c:v>0</c:v>
                </c:pt>
              </c:numCache>
            </c:numRef>
          </c:val>
          <c:extLst>
            <c:ext xmlns:c16="http://schemas.microsoft.com/office/drawing/2014/chart" uri="{C3380CC4-5D6E-409C-BE32-E72D297353CC}">
              <c16:uniqueId val="{00000012-5BEA-48D3-A3D3-D8B808B005DA}"/>
            </c:ext>
          </c:extLst>
        </c:ser>
        <c:ser>
          <c:idx val="19"/>
          <c:order val="19"/>
          <c:tx>
            <c:strRef>
              <c:f>Milch!$W$2</c:f>
              <c:strCache>
                <c:ptCount val="1"/>
                <c:pt idx="0">
                  <c:v>n-PFDoDS </c:v>
                </c:pt>
              </c:strCache>
            </c:strRef>
          </c:tx>
          <c:spPr>
            <a:solidFill>
              <a:schemeClr val="accent2">
                <a:lumMod val="80000"/>
              </a:schemeClr>
            </a:solidFill>
            <a:ln>
              <a:noFill/>
            </a:ln>
            <a:effectLst/>
          </c:spPr>
          <c:invertIfNegative val="0"/>
          <c:cat>
            <c:multiLvlStrRef>
              <c:extLst>
                <c:ext xmlns:c15="http://schemas.microsoft.com/office/drawing/2012/chart" uri="{02D57815-91ED-43cb-92C2-25804820EDAC}">
                  <c15:fullRef>
                    <c15:sqref>Milch!$A$3:$C$46</c15:sqref>
                  </c15:fullRef>
                </c:ext>
              </c:extLst>
              <c:f>Milch!$A$3:$C$42</c:f>
              <c:multiLvlStrCache>
                <c:ptCount val="40"/>
                <c:lvl>
                  <c:pt idx="0">
                    <c:v>ER</c:v>
                  </c:pt>
                  <c:pt idx="1">
                    <c:v>E2</c:v>
                  </c:pt>
                  <c:pt idx="2">
                    <c:v>E3</c:v>
                  </c:pt>
                  <c:pt idx="3">
                    <c:v>E4</c:v>
                  </c:pt>
                  <c:pt idx="4">
                    <c:v>ER</c:v>
                  </c:pt>
                  <c:pt idx="5">
                    <c:v>E2</c:v>
                  </c:pt>
                  <c:pt idx="6">
                    <c:v>E3</c:v>
                  </c:pt>
                  <c:pt idx="7">
                    <c:v>E4</c:v>
                  </c:pt>
                  <c:pt idx="8">
                    <c:v>ER</c:v>
                  </c:pt>
                  <c:pt idx="9">
                    <c:v>E2</c:v>
                  </c:pt>
                  <c:pt idx="10">
                    <c:v>E3</c:v>
                  </c:pt>
                  <c:pt idx="11">
                    <c:v>E4</c:v>
                  </c:pt>
                  <c:pt idx="12">
                    <c:v>ER</c:v>
                  </c:pt>
                  <c:pt idx="13">
                    <c:v>E2</c:v>
                  </c:pt>
                  <c:pt idx="14">
                    <c:v>E3</c:v>
                  </c:pt>
                  <c:pt idx="15">
                    <c:v>E4</c:v>
                  </c:pt>
                  <c:pt idx="16">
                    <c:v>ER</c:v>
                  </c:pt>
                  <c:pt idx="17">
                    <c:v>E2</c:v>
                  </c:pt>
                  <c:pt idx="18">
                    <c:v>E3</c:v>
                  </c:pt>
                  <c:pt idx="19">
                    <c:v>E4</c:v>
                  </c:pt>
                  <c:pt idx="20">
                    <c:v>ER</c:v>
                  </c:pt>
                  <c:pt idx="21">
                    <c:v>E2</c:v>
                  </c:pt>
                  <c:pt idx="22">
                    <c:v>E3</c:v>
                  </c:pt>
                  <c:pt idx="23">
                    <c:v>E4</c:v>
                  </c:pt>
                  <c:pt idx="24">
                    <c:v>ER</c:v>
                  </c:pt>
                  <c:pt idx="25">
                    <c:v>E2</c:v>
                  </c:pt>
                  <c:pt idx="26">
                    <c:v>E3</c:v>
                  </c:pt>
                  <c:pt idx="27">
                    <c:v>E4</c:v>
                  </c:pt>
                  <c:pt idx="28">
                    <c:v>ER</c:v>
                  </c:pt>
                  <c:pt idx="29">
                    <c:v>E2</c:v>
                  </c:pt>
                  <c:pt idx="30">
                    <c:v>E3</c:v>
                  </c:pt>
                  <c:pt idx="31">
                    <c:v>E4</c:v>
                  </c:pt>
                  <c:pt idx="32">
                    <c:v>ER</c:v>
                  </c:pt>
                  <c:pt idx="33">
                    <c:v>E2</c:v>
                  </c:pt>
                  <c:pt idx="34">
                    <c:v>E3</c:v>
                  </c:pt>
                  <c:pt idx="35">
                    <c:v>E4</c:v>
                  </c:pt>
                  <c:pt idx="36">
                    <c:v>ER</c:v>
                  </c:pt>
                  <c:pt idx="37">
                    <c:v>E2</c:v>
                  </c:pt>
                  <c:pt idx="38">
                    <c:v>E3</c:v>
                  </c:pt>
                  <c:pt idx="39">
                    <c:v>E4</c:v>
                  </c:pt>
                </c:lvl>
                <c:lvl>
                  <c:pt idx="0">
                    <c:v>22.05.2023</c:v>
                  </c:pt>
                  <c:pt idx="4">
                    <c:v>26.05.2023</c:v>
                  </c:pt>
                  <c:pt idx="8">
                    <c:v>07.06.2023</c:v>
                  </c:pt>
                  <c:pt idx="12">
                    <c:v>28.06.2023</c:v>
                  </c:pt>
                  <c:pt idx="16">
                    <c:v>14.07.2023</c:v>
                  </c:pt>
                  <c:pt idx="20">
                    <c:v>17.07.2023</c:v>
                  </c:pt>
                  <c:pt idx="24">
                    <c:v>21.07.2023</c:v>
                  </c:pt>
                  <c:pt idx="28">
                    <c:v>02.08.2023</c:v>
                  </c:pt>
                  <c:pt idx="32">
                    <c:v>30.08.2023</c:v>
                  </c:pt>
                  <c:pt idx="36">
                    <c:v>04.10.2023</c:v>
                  </c:pt>
                </c:lvl>
                <c:lvl>
                  <c:pt idx="0">
                    <c:v>1</c:v>
                  </c:pt>
                  <c:pt idx="4">
                    <c:v>5</c:v>
                  </c:pt>
                  <c:pt idx="8">
                    <c:v>17</c:v>
                  </c:pt>
                  <c:pt idx="12">
                    <c:v>38</c:v>
                  </c:pt>
                  <c:pt idx="16">
                    <c:v>54</c:v>
                  </c:pt>
                  <c:pt idx="20">
                    <c:v>57</c:v>
                  </c:pt>
                  <c:pt idx="24">
                    <c:v>61</c:v>
                  </c:pt>
                  <c:pt idx="28">
                    <c:v>73</c:v>
                  </c:pt>
                  <c:pt idx="32">
                    <c:v>101</c:v>
                  </c:pt>
                  <c:pt idx="36">
                    <c:v>136</c:v>
                  </c:pt>
                </c:lvl>
              </c:multiLvlStrCache>
            </c:multiLvlStrRef>
          </c:cat>
          <c:val>
            <c:numRef>
              <c:extLst>
                <c:ext xmlns:c15="http://schemas.microsoft.com/office/drawing/2012/chart" uri="{02D57815-91ED-43cb-92C2-25804820EDAC}">
                  <c15:fullRef>
                    <c15:sqref>Milch!$W$3:$W$46</c15:sqref>
                  </c15:fullRef>
                </c:ext>
              </c:extLst>
              <c:f>Milch!$W$3:$W$42</c:f>
              <c:numCache>
                <c:formatCode>0.00</c:formatCode>
                <c:ptCount val="40"/>
                <c:pt idx="0">
                  <c:v>0</c:v>
                </c:pt>
                <c:pt idx="1">
                  <c:v>0</c:v>
                </c:pt>
                <c:pt idx="2">
                  <c:v>0</c:v>
                </c:pt>
                <c:pt idx="3">
                  <c:v>0</c:v>
                </c:pt>
                <c:pt idx="4">
                  <c:v>1.2965405021472E-3</c:v>
                </c:pt>
                <c:pt idx="5">
                  <c:v>2.0764918452111397E-2</c:v>
                </c:pt>
                <c:pt idx="6">
                  <c:v>1.18975483383991E-2</c:v>
                </c:pt>
                <c:pt idx="7">
                  <c:v>1.2468631218282299E-2</c:v>
                </c:pt>
                <c:pt idx="8">
                  <c:v>8.5388713982052E-2</c:v>
                </c:pt>
                <c:pt idx="9">
                  <c:v>0.17813655823584698</c:v>
                </c:pt>
                <c:pt idx="10">
                  <c:v>8.3583860428090101E-2</c:v>
                </c:pt>
                <c:pt idx="11">
                  <c:v>0.17022264270950799</c:v>
                </c:pt>
                <c:pt idx="12">
                  <c:v>9.5478274008794703E-2</c:v>
                </c:pt>
                <c:pt idx="13">
                  <c:v>0.19855296137720099</c:v>
                </c:pt>
                <c:pt idx="14">
                  <c:v>8.2360791857298193E-2</c:v>
                </c:pt>
                <c:pt idx="15">
                  <c:v>0.16554012338117</c:v>
                </c:pt>
                <c:pt idx="16">
                  <c:v>0.147857920300968</c:v>
                </c:pt>
                <c:pt idx="17">
                  <c:v>0.107009556215841</c:v>
                </c:pt>
                <c:pt idx="18">
                  <c:v>0.120551304480173</c:v>
                </c:pt>
                <c:pt idx="19">
                  <c:v>0.11729913113347</c:v>
                </c:pt>
                <c:pt idx="20">
                  <c:v>0.11722411297259999</c:v>
                </c:pt>
                <c:pt idx="21">
                  <c:v>0.24664696213113099</c:v>
                </c:pt>
                <c:pt idx="22">
                  <c:v>0.126709780752263</c:v>
                </c:pt>
                <c:pt idx="23">
                  <c:v>0.164807409900561</c:v>
                </c:pt>
                <c:pt idx="24">
                  <c:v>6.77959396565848E-2</c:v>
                </c:pt>
                <c:pt idx="25">
                  <c:v>0.161957310661902</c:v>
                </c:pt>
                <c:pt idx="26">
                  <c:v>7.0184972204941506E-2</c:v>
                </c:pt>
                <c:pt idx="27">
                  <c:v>7.1795904193045504E-2</c:v>
                </c:pt>
                <c:pt idx="28">
                  <c:v>3.7092893656351801E-2</c:v>
                </c:pt>
                <c:pt idx="29">
                  <c:v>5.4575426166608799E-2</c:v>
                </c:pt>
                <c:pt idx="30">
                  <c:v>2.90435153304805E-2</c:v>
                </c:pt>
                <c:pt idx="31">
                  <c:v>3.0392222700314497E-2</c:v>
                </c:pt>
                <c:pt idx="32">
                  <c:v>5.46694193144622E-3</c:v>
                </c:pt>
                <c:pt idx="33">
                  <c:v>7.2663555228737299E-3</c:v>
                </c:pt>
                <c:pt idx="34">
                  <c:v>5.3325294544205697E-3</c:v>
                </c:pt>
                <c:pt idx="35">
                  <c:v>4.0316654603942898E-3</c:v>
                </c:pt>
                <c:pt idx="36">
                  <c:v>0</c:v>
                </c:pt>
                <c:pt idx="37">
                  <c:v>0</c:v>
                </c:pt>
                <c:pt idx="38">
                  <c:v>0</c:v>
                </c:pt>
                <c:pt idx="39">
                  <c:v>0</c:v>
                </c:pt>
              </c:numCache>
            </c:numRef>
          </c:val>
          <c:extLst>
            <c:ext xmlns:c16="http://schemas.microsoft.com/office/drawing/2014/chart" uri="{C3380CC4-5D6E-409C-BE32-E72D297353CC}">
              <c16:uniqueId val="{00000013-5BEA-48D3-A3D3-D8B808B005DA}"/>
            </c:ext>
          </c:extLst>
        </c:ser>
        <c:ser>
          <c:idx val="20"/>
          <c:order val="20"/>
          <c:tx>
            <c:strRef>
              <c:f>Milch!$X$2</c:f>
              <c:strCache>
                <c:ptCount val="1"/>
                <c:pt idx="0">
                  <c:v>n-PFTrDS </c:v>
                </c:pt>
              </c:strCache>
            </c:strRef>
          </c:tx>
          <c:spPr>
            <a:solidFill>
              <a:schemeClr val="accent3">
                <a:lumMod val="80000"/>
              </a:schemeClr>
            </a:solidFill>
            <a:ln>
              <a:noFill/>
            </a:ln>
            <a:effectLst/>
          </c:spPr>
          <c:invertIfNegative val="0"/>
          <c:cat>
            <c:multiLvlStrRef>
              <c:extLst>
                <c:ext xmlns:c15="http://schemas.microsoft.com/office/drawing/2012/chart" uri="{02D57815-91ED-43cb-92C2-25804820EDAC}">
                  <c15:fullRef>
                    <c15:sqref>Milch!$A$3:$C$46</c15:sqref>
                  </c15:fullRef>
                </c:ext>
              </c:extLst>
              <c:f>Milch!$A$3:$C$42</c:f>
              <c:multiLvlStrCache>
                <c:ptCount val="40"/>
                <c:lvl>
                  <c:pt idx="0">
                    <c:v>ER</c:v>
                  </c:pt>
                  <c:pt idx="1">
                    <c:v>E2</c:v>
                  </c:pt>
                  <c:pt idx="2">
                    <c:v>E3</c:v>
                  </c:pt>
                  <c:pt idx="3">
                    <c:v>E4</c:v>
                  </c:pt>
                  <c:pt idx="4">
                    <c:v>ER</c:v>
                  </c:pt>
                  <c:pt idx="5">
                    <c:v>E2</c:v>
                  </c:pt>
                  <c:pt idx="6">
                    <c:v>E3</c:v>
                  </c:pt>
                  <c:pt idx="7">
                    <c:v>E4</c:v>
                  </c:pt>
                  <c:pt idx="8">
                    <c:v>ER</c:v>
                  </c:pt>
                  <c:pt idx="9">
                    <c:v>E2</c:v>
                  </c:pt>
                  <c:pt idx="10">
                    <c:v>E3</c:v>
                  </c:pt>
                  <c:pt idx="11">
                    <c:v>E4</c:v>
                  </c:pt>
                  <c:pt idx="12">
                    <c:v>ER</c:v>
                  </c:pt>
                  <c:pt idx="13">
                    <c:v>E2</c:v>
                  </c:pt>
                  <c:pt idx="14">
                    <c:v>E3</c:v>
                  </c:pt>
                  <c:pt idx="15">
                    <c:v>E4</c:v>
                  </c:pt>
                  <c:pt idx="16">
                    <c:v>ER</c:v>
                  </c:pt>
                  <c:pt idx="17">
                    <c:v>E2</c:v>
                  </c:pt>
                  <c:pt idx="18">
                    <c:v>E3</c:v>
                  </c:pt>
                  <c:pt idx="19">
                    <c:v>E4</c:v>
                  </c:pt>
                  <c:pt idx="20">
                    <c:v>ER</c:v>
                  </c:pt>
                  <c:pt idx="21">
                    <c:v>E2</c:v>
                  </c:pt>
                  <c:pt idx="22">
                    <c:v>E3</c:v>
                  </c:pt>
                  <c:pt idx="23">
                    <c:v>E4</c:v>
                  </c:pt>
                  <c:pt idx="24">
                    <c:v>ER</c:v>
                  </c:pt>
                  <c:pt idx="25">
                    <c:v>E2</c:v>
                  </c:pt>
                  <c:pt idx="26">
                    <c:v>E3</c:v>
                  </c:pt>
                  <c:pt idx="27">
                    <c:v>E4</c:v>
                  </c:pt>
                  <c:pt idx="28">
                    <c:v>ER</c:v>
                  </c:pt>
                  <c:pt idx="29">
                    <c:v>E2</c:v>
                  </c:pt>
                  <c:pt idx="30">
                    <c:v>E3</c:v>
                  </c:pt>
                  <c:pt idx="31">
                    <c:v>E4</c:v>
                  </c:pt>
                  <c:pt idx="32">
                    <c:v>ER</c:v>
                  </c:pt>
                  <c:pt idx="33">
                    <c:v>E2</c:v>
                  </c:pt>
                  <c:pt idx="34">
                    <c:v>E3</c:v>
                  </c:pt>
                  <c:pt idx="35">
                    <c:v>E4</c:v>
                  </c:pt>
                  <c:pt idx="36">
                    <c:v>ER</c:v>
                  </c:pt>
                  <c:pt idx="37">
                    <c:v>E2</c:v>
                  </c:pt>
                  <c:pt idx="38">
                    <c:v>E3</c:v>
                  </c:pt>
                  <c:pt idx="39">
                    <c:v>E4</c:v>
                  </c:pt>
                </c:lvl>
                <c:lvl>
                  <c:pt idx="0">
                    <c:v>22.05.2023</c:v>
                  </c:pt>
                  <c:pt idx="4">
                    <c:v>26.05.2023</c:v>
                  </c:pt>
                  <c:pt idx="8">
                    <c:v>07.06.2023</c:v>
                  </c:pt>
                  <c:pt idx="12">
                    <c:v>28.06.2023</c:v>
                  </c:pt>
                  <c:pt idx="16">
                    <c:v>14.07.2023</c:v>
                  </c:pt>
                  <c:pt idx="20">
                    <c:v>17.07.2023</c:v>
                  </c:pt>
                  <c:pt idx="24">
                    <c:v>21.07.2023</c:v>
                  </c:pt>
                  <c:pt idx="28">
                    <c:v>02.08.2023</c:v>
                  </c:pt>
                  <c:pt idx="32">
                    <c:v>30.08.2023</c:v>
                  </c:pt>
                  <c:pt idx="36">
                    <c:v>04.10.2023</c:v>
                  </c:pt>
                </c:lvl>
                <c:lvl>
                  <c:pt idx="0">
                    <c:v>1</c:v>
                  </c:pt>
                  <c:pt idx="4">
                    <c:v>5</c:v>
                  </c:pt>
                  <c:pt idx="8">
                    <c:v>17</c:v>
                  </c:pt>
                  <c:pt idx="12">
                    <c:v>38</c:v>
                  </c:pt>
                  <c:pt idx="16">
                    <c:v>54</c:v>
                  </c:pt>
                  <c:pt idx="20">
                    <c:v>57</c:v>
                  </c:pt>
                  <c:pt idx="24">
                    <c:v>61</c:v>
                  </c:pt>
                  <c:pt idx="28">
                    <c:v>73</c:v>
                  </c:pt>
                  <c:pt idx="32">
                    <c:v>101</c:v>
                  </c:pt>
                  <c:pt idx="36">
                    <c:v>136</c:v>
                  </c:pt>
                </c:lvl>
              </c:multiLvlStrCache>
            </c:multiLvlStrRef>
          </c:cat>
          <c:val>
            <c:numRef>
              <c:extLst>
                <c:ext xmlns:c15="http://schemas.microsoft.com/office/drawing/2012/chart" uri="{02D57815-91ED-43cb-92C2-25804820EDAC}">
                  <c15:fullRef>
                    <c15:sqref>Milch!$X$3:$X$46</c15:sqref>
                  </c15:fullRef>
                </c:ext>
              </c:extLst>
              <c:f>Milch!$X$3:$X$42</c:f>
              <c:numCache>
                <c:formatCode>0.00</c:formatCode>
                <c:ptCount val="40"/>
                <c:pt idx="0">
                  <c:v>0</c:v>
                </c:pt>
                <c:pt idx="1">
                  <c:v>0</c:v>
                </c:pt>
                <c:pt idx="2">
                  <c:v>0</c:v>
                </c:pt>
                <c:pt idx="3">
                  <c:v>0</c:v>
                </c:pt>
                <c:pt idx="4">
                  <c:v>0</c:v>
                </c:pt>
                <c:pt idx="5">
                  <c:v>0</c:v>
                </c:pt>
                <c:pt idx="6">
                  <c:v>0</c:v>
                </c:pt>
                <c:pt idx="7">
                  <c:v>0</c:v>
                </c:pt>
                <c:pt idx="8">
                  <c:v>1.14400408441735E-2</c:v>
                </c:pt>
                <c:pt idx="9">
                  <c:v>2.12743835140164E-2</c:v>
                </c:pt>
                <c:pt idx="10">
                  <c:v>1.0792537855158199E-2</c:v>
                </c:pt>
                <c:pt idx="11">
                  <c:v>1.68274816537143E-2</c:v>
                </c:pt>
                <c:pt idx="12">
                  <c:v>1.49404777523991E-2</c:v>
                </c:pt>
                <c:pt idx="13">
                  <c:v>3.23563367144315E-2</c:v>
                </c:pt>
                <c:pt idx="14">
                  <c:v>1.5973331800111099E-2</c:v>
                </c:pt>
                <c:pt idx="15">
                  <c:v>2.49589603238329E-2</c:v>
                </c:pt>
                <c:pt idx="16">
                  <c:v>2.2925943642312402E-2</c:v>
                </c:pt>
                <c:pt idx="17">
                  <c:v>0</c:v>
                </c:pt>
                <c:pt idx="18">
                  <c:v>1.9196026540313001E-2</c:v>
                </c:pt>
                <c:pt idx="19">
                  <c:v>2.2630244202460299E-2</c:v>
                </c:pt>
                <c:pt idx="20">
                  <c:v>1.7540271303837698E-2</c:v>
                </c:pt>
                <c:pt idx="21">
                  <c:v>4.2757357829126E-2</c:v>
                </c:pt>
                <c:pt idx="22">
                  <c:v>2.1558482227100398E-2</c:v>
                </c:pt>
                <c:pt idx="23">
                  <c:v>2.4908600108026799E-2</c:v>
                </c:pt>
                <c:pt idx="24">
                  <c:v>1.18088536838999E-2</c:v>
                </c:pt>
                <c:pt idx="25">
                  <c:v>2.48710807927062E-2</c:v>
                </c:pt>
                <c:pt idx="26">
                  <c:v>1.3484687541245799E-2</c:v>
                </c:pt>
                <c:pt idx="27">
                  <c:v>1.3432876879483101E-2</c:v>
                </c:pt>
                <c:pt idx="28">
                  <c:v>5.3450667576929699E-3</c:v>
                </c:pt>
                <c:pt idx="29">
                  <c:v>8.6578799598658693E-3</c:v>
                </c:pt>
                <c:pt idx="30">
                  <c:v>5.9349920310782199E-3</c:v>
                </c:pt>
                <c:pt idx="31">
                  <c:v>7.2117459713292795E-3</c:v>
                </c:pt>
                <c:pt idx="32">
                  <c:v>2.0313275294693203E-3</c:v>
                </c:pt>
                <c:pt idx="33">
                  <c:v>0</c:v>
                </c:pt>
                <c:pt idx="34">
                  <c:v>0</c:v>
                </c:pt>
                <c:pt idx="35">
                  <c:v>0</c:v>
                </c:pt>
                <c:pt idx="36">
                  <c:v>0</c:v>
                </c:pt>
                <c:pt idx="37">
                  <c:v>0</c:v>
                </c:pt>
                <c:pt idx="38">
                  <c:v>0</c:v>
                </c:pt>
                <c:pt idx="39">
                  <c:v>0</c:v>
                </c:pt>
              </c:numCache>
            </c:numRef>
          </c:val>
          <c:extLst>
            <c:ext xmlns:c16="http://schemas.microsoft.com/office/drawing/2014/chart" uri="{C3380CC4-5D6E-409C-BE32-E72D297353CC}">
              <c16:uniqueId val="{00000014-5BEA-48D3-A3D3-D8B808B005DA}"/>
            </c:ext>
          </c:extLst>
        </c:ser>
        <c:ser>
          <c:idx val="21"/>
          <c:order val="21"/>
          <c:tx>
            <c:strRef>
              <c:f>Milch!$Y$2</c:f>
              <c:strCache>
                <c:ptCount val="1"/>
                <c:pt idx="0">
                  <c:v>br-PFHxA</c:v>
                </c:pt>
              </c:strCache>
            </c:strRef>
          </c:tx>
          <c:spPr>
            <a:solidFill>
              <a:schemeClr val="accent4">
                <a:lumMod val="80000"/>
              </a:schemeClr>
            </a:solidFill>
            <a:ln>
              <a:noFill/>
            </a:ln>
            <a:effectLst/>
          </c:spPr>
          <c:invertIfNegative val="0"/>
          <c:cat>
            <c:multiLvlStrRef>
              <c:extLst>
                <c:ext xmlns:c15="http://schemas.microsoft.com/office/drawing/2012/chart" uri="{02D57815-91ED-43cb-92C2-25804820EDAC}">
                  <c15:fullRef>
                    <c15:sqref>Milch!$A$3:$C$46</c15:sqref>
                  </c15:fullRef>
                </c:ext>
              </c:extLst>
              <c:f>Milch!$A$3:$C$42</c:f>
              <c:multiLvlStrCache>
                <c:ptCount val="40"/>
                <c:lvl>
                  <c:pt idx="0">
                    <c:v>ER</c:v>
                  </c:pt>
                  <c:pt idx="1">
                    <c:v>E2</c:v>
                  </c:pt>
                  <c:pt idx="2">
                    <c:v>E3</c:v>
                  </c:pt>
                  <c:pt idx="3">
                    <c:v>E4</c:v>
                  </c:pt>
                  <c:pt idx="4">
                    <c:v>ER</c:v>
                  </c:pt>
                  <c:pt idx="5">
                    <c:v>E2</c:v>
                  </c:pt>
                  <c:pt idx="6">
                    <c:v>E3</c:v>
                  </c:pt>
                  <c:pt idx="7">
                    <c:v>E4</c:v>
                  </c:pt>
                  <c:pt idx="8">
                    <c:v>ER</c:v>
                  </c:pt>
                  <c:pt idx="9">
                    <c:v>E2</c:v>
                  </c:pt>
                  <c:pt idx="10">
                    <c:v>E3</c:v>
                  </c:pt>
                  <c:pt idx="11">
                    <c:v>E4</c:v>
                  </c:pt>
                  <c:pt idx="12">
                    <c:v>ER</c:v>
                  </c:pt>
                  <c:pt idx="13">
                    <c:v>E2</c:v>
                  </c:pt>
                  <c:pt idx="14">
                    <c:v>E3</c:v>
                  </c:pt>
                  <c:pt idx="15">
                    <c:v>E4</c:v>
                  </c:pt>
                  <c:pt idx="16">
                    <c:v>ER</c:v>
                  </c:pt>
                  <c:pt idx="17">
                    <c:v>E2</c:v>
                  </c:pt>
                  <c:pt idx="18">
                    <c:v>E3</c:v>
                  </c:pt>
                  <c:pt idx="19">
                    <c:v>E4</c:v>
                  </c:pt>
                  <c:pt idx="20">
                    <c:v>ER</c:v>
                  </c:pt>
                  <c:pt idx="21">
                    <c:v>E2</c:v>
                  </c:pt>
                  <c:pt idx="22">
                    <c:v>E3</c:v>
                  </c:pt>
                  <c:pt idx="23">
                    <c:v>E4</c:v>
                  </c:pt>
                  <c:pt idx="24">
                    <c:v>ER</c:v>
                  </c:pt>
                  <c:pt idx="25">
                    <c:v>E2</c:v>
                  </c:pt>
                  <c:pt idx="26">
                    <c:v>E3</c:v>
                  </c:pt>
                  <c:pt idx="27">
                    <c:v>E4</c:v>
                  </c:pt>
                  <c:pt idx="28">
                    <c:v>ER</c:v>
                  </c:pt>
                  <c:pt idx="29">
                    <c:v>E2</c:v>
                  </c:pt>
                  <c:pt idx="30">
                    <c:v>E3</c:v>
                  </c:pt>
                  <c:pt idx="31">
                    <c:v>E4</c:v>
                  </c:pt>
                  <c:pt idx="32">
                    <c:v>ER</c:v>
                  </c:pt>
                  <c:pt idx="33">
                    <c:v>E2</c:v>
                  </c:pt>
                  <c:pt idx="34">
                    <c:v>E3</c:v>
                  </c:pt>
                  <c:pt idx="35">
                    <c:v>E4</c:v>
                  </c:pt>
                  <c:pt idx="36">
                    <c:v>ER</c:v>
                  </c:pt>
                  <c:pt idx="37">
                    <c:v>E2</c:v>
                  </c:pt>
                  <c:pt idx="38">
                    <c:v>E3</c:v>
                  </c:pt>
                  <c:pt idx="39">
                    <c:v>E4</c:v>
                  </c:pt>
                </c:lvl>
                <c:lvl>
                  <c:pt idx="0">
                    <c:v>22.05.2023</c:v>
                  </c:pt>
                  <c:pt idx="4">
                    <c:v>26.05.2023</c:v>
                  </c:pt>
                  <c:pt idx="8">
                    <c:v>07.06.2023</c:v>
                  </c:pt>
                  <c:pt idx="12">
                    <c:v>28.06.2023</c:v>
                  </c:pt>
                  <c:pt idx="16">
                    <c:v>14.07.2023</c:v>
                  </c:pt>
                  <c:pt idx="20">
                    <c:v>17.07.2023</c:v>
                  </c:pt>
                  <c:pt idx="24">
                    <c:v>21.07.2023</c:v>
                  </c:pt>
                  <c:pt idx="28">
                    <c:v>02.08.2023</c:v>
                  </c:pt>
                  <c:pt idx="32">
                    <c:v>30.08.2023</c:v>
                  </c:pt>
                  <c:pt idx="36">
                    <c:v>04.10.2023</c:v>
                  </c:pt>
                </c:lvl>
                <c:lvl>
                  <c:pt idx="0">
                    <c:v>1</c:v>
                  </c:pt>
                  <c:pt idx="4">
                    <c:v>5</c:v>
                  </c:pt>
                  <c:pt idx="8">
                    <c:v>17</c:v>
                  </c:pt>
                  <c:pt idx="12">
                    <c:v>38</c:v>
                  </c:pt>
                  <c:pt idx="16">
                    <c:v>54</c:v>
                  </c:pt>
                  <c:pt idx="20">
                    <c:v>57</c:v>
                  </c:pt>
                  <c:pt idx="24">
                    <c:v>61</c:v>
                  </c:pt>
                  <c:pt idx="28">
                    <c:v>73</c:v>
                  </c:pt>
                  <c:pt idx="32">
                    <c:v>101</c:v>
                  </c:pt>
                  <c:pt idx="36">
                    <c:v>136</c:v>
                  </c:pt>
                </c:lvl>
              </c:multiLvlStrCache>
            </c:multiLvlStrRef>
          </c:cat>
          <c:val>
            <c:numRef>
              <c:extLst>
                <c:ext xmlns:c15="http://schemas.microsoft.com/office/drawing/2012/chart" uri="{02D57815-91ED-43cb-92C2-25804820EDAC}">
                  <c15:fullRef>
                    <c15:sqref>Milch!$Y$3:$Y$46</c15:sqref>
                  </c15:fullRef>
                </c:ext>
              </c:extLst>
              <c:f>Milch!$Y$3:$Y$42</c:f>
              <c:numCache>
                <c:formatCode>0.00</c:formatCode>
                <c:ptCount val="40"/>
                <c:pt idx="0">
                  <c:v>0</c:v>
                </c:pt>
                <c:pt idx="4">
                  <c:v>0</c:v>
                </c:pt>
                <c:pt idx="8">
                  <c:v>0</c:v>
                </c:pt>
                <c:pt idx="12">
                  <c:v>0</c:v>
                </c:pt>
                <c:pt idx="16">
                  <c:v>0</c:v>
                </c:pt>
                <c:pt idx="20">
                  <c:v>0</c:v>
                </c:pt>
                <c:pt idx="24">
                  <c:v>0</c:v>
                </c:pt>
                <c:pt idx="28">
                  <c:v>0</c:v>
                </c:pt>
                <c:pt idx="32">
                  <c:v>0</c:v>
                </c:pt>
                <c:pt idx="36">
                  <c:v>0</c:v>
                </c:pt>
              </c:numCache>
            </c:numRef>
          </c:val>
          <c:extLst>
            <c:ext xmlns:c16="http://schemas.microsoft.com/office/drawing/2014/chart" uri="{C3380CC4-5D6E-409C-BE32-E72D297353CC}">
              <c16:uniqueId val="{00000015-5BEA-48D3-A3D3-D8B808B005DA}"/>
            </c:ext>
          </c:extLst>
        </c:ser>
        <c:ser>
          <c:idx val="22"/>
          <c:order val="22"/>
          <c:tx>
            <c:strRef>
              <c:f>Milch!$Z$2</c:f>
              <c:strCache>
                <c:ptCount val="1"/>
                <c:pt idx="0">
                  <c:v>br-PFHpA </c:v>
                </c:pt>
              </c:strCache>
            </c:strRef>
          </c:tx>
          <c:spPr>
            <a:solidFill>
              <a:schemeClr val="accent5">
                <a:lumMod val="80000"/>
              </a:schemeClr>
            </a:solidFill>
            <a:ln>
              <a:noFill/>
            </a:ln>
            <a:effectLst/>
          </c:spPr>
          <c:invertIfNegative val="0"/>
          <c:cat>
            <c:multiLvlStrRef>
              <c:extLst>
                <c:ext xmlns:c15="http://schemas.microsoft.com/office/drawing/2012/chart" uri="{02D57815-91ED-43cb-92C2-25804820EDAC}">
                  <c15:fullRef>
                    <c15:sqref>Milch!$A$3:$C$46</c15:sqref>
                  </c15:fullRef>
                </c:ext>
              </c:extLst>
              <c:f>Milch!$A$3:$C$42</c:f>
              <c:multiLvlStrCache>
                <c:ptCount val="40"/>
                <c:lvl>
                  <c:pt idx="0">
                    <c:v>ER</c:v>
                  </c:pt>
                  <c:pt idx="1">
                    <c:v>E2</c:v>
                  </c:pt>
                  <c:pt idx="2">
                    <c:v>E3</c:v>
                  </c:pt>
                  <c:pt idx="3">
                    <c:v>E4</c:v>
                  </c:pt>
                  <c:pt idx="4">
                    <c:v>ER</c:v>
                  </c:pt>
                  <c:pt idx="5">
                    <c:v>E2</c:v>
                  </c:pt>
                  <c:pt idx="6">
                    <c:v>E3</c:v>
                  </c:pt>
                  <c:pt idx="7">
                    <c:v>E4</c:v>
                  </c:pt>
                  <c:pt idx="8">
                    <c:v>ER</c:v>
                  </c:pt>
                  <c:pt idx="9">
                    <c:v>E2</c:v>
                  </c:pt>
                  <c:pt idx="10">
                    <c:v>E3</c:v>
                  </c:pt>
                  <c:pt idx="11">
                    <c:v>E4</c:v>
                  </c:pt>
                  <c:pt idx="12">
                    <c:v>ER</c:v>
                  </c:pt>
                  <c:pt idx="13">
                    <c:v>E2</c:v>
                  </c:pt>
                  <c:pt idx="14">
                    <c:v>E3</c:v>
                  </c:pt>
                  <c:pt idx="15">
                    <c:v>E4</c:v>
                  </c:pt>
                  <c:pt idx="16">
                    <c:v>ER</c:v>
                  </c:pt>
                  <c:pt idx="17">
                    <c:v>E2</c:v>
                  </c:pt>
                  <c:pt idx="18">
                    <c:v>E3</c:v>
                  </c:pt>
                  <c:pt idx="19">
                    <c:v>E4</c:v>
                  </c:pt>
                  <c:pt idx="20">
                    <c:v>ER</c:v>
                  </c:pt>
                  <c:pt idx="21">
                    <c:v>E2</c:v>
                  </c:pt>
                  <c:pt idx="22">
                    <c:v>E3</c:v>
                  </c:pt>
                  <c:pt idx="23">
                    <c:v>E4</c:v>
                  </c:pt>
                  <c:pt idx="24">
                    <c:v>ER</c:v>
                  </c:pt>
                  <c:pt idx="25">
                    <c:v>E2</c:v>
                  </c:pt>
                  <c:pt idx="26">
                    <c:v>E3</c:v>
                  </c:pt>
                  <c:pt idx="27">
                    <c:v>E4</c:v>
                  </c:pt>
                  <c:pt idx="28">
                    <c:v>ER</c:v>
                  </c:pt>
                  <c:pt idx="29">
                    <c:v>E2</c:v>
                  </c:pt>
                  <c:pt idx="30">
                    <c:v>E3</c:v>
                  </c:pt>
                  <c:pt idx="31">
                    <c:v>E4</c:v>
                  </c:pt>
                  <c:pt idx="32">
                    <c:v>ER</c:v>
                  </c:pt>
                  <c:pt idx="33">
                    <c:v>E2</c:v>
                  </c:pt>
                  <c:pt idx="34">
                    <c:v>E3</c:v>
                  </c:pt>
                  <c:pt idx="35">
                    <c:v>E4</c:v>
                  </c:pt>
                  <c:pt idx="36">
                    <c:v>ER</c:v>
                  </c:pt>
                  <c:pt idx="37">
                    <c:v>E2</c:v>
                  </c:pt>
                  <c:pt idx="38">
                    <c:v>E3</c:v>
                  </c:pt>
                  <c:pt idx="39">
                    <c:v>E4</c:v>
                  </c:pt>
                </c:lvl>
                <c:lvl>
                  <c:pt idx="0">
                    <c:v>22.05.2023</c:v>
                  </c:pt>
                  <c:pt idx="4">
                    <c:v>26.05.2023</c:v>
                  </c:pt>
                  <c:pt idx="8">
                    <c:v>07.06.2023</c:v>
                  </c:pt>
                  <c:pt idx="12">
                    <c:v>28.06.2023</c:v>
                  </c:pt>
                  <c:pt idx="16">
                    <c:v>14.07.2023</c:v>
                  </c:pt>
                  <c:pt idx="20">
                    <c:v>17.07.2023</c:v>
                  </c:pt>
                  <c:pt idx="24">
                    <c:v>21.07.2023</c:v>
                  </c:pt>
                  <c:pt idx="28">
                    <c:v>02.08.2023</c:v>
                  </c:pt>
                  <c:pt idx="32">
                    <c:v>30.08.2023</c:v>
                  </c:pt>
                  <c:pt idx="36">
                    <c:v>04.10.2023</c:v>
                  </c:pt>
                </c:lvl>
                <c:lvl>
                  <c:pt idx="0">
                    <c:v>1</c:v>
                  </c:pt>
                  <c:pt idx="4">
                    <c:v>5</c:v>
                  </c:pt>
                  <c:pt idx="8">
                    <c:v>17</c:v>
                  </c:pt>
                  <c:pt idx="12">
                    <c:v>38</c:v>
                  </c:pt>
                  <c:pt idx="16">
                    <c:v>54</c:v>
                  </c:pt>
                  <c:pt idx="20">
                    <c:v>57</c:v>
                  </c:pt>
                  <c:pt idx="24">
                    <c:v>61</c:v>
                  </c:pt>
                  <c:pt idx="28">
                    <c:v>73</c:v>
                  </c:pt>
                  <c:pt idx="32">
                    <c:v>101</c:v>
                  </c:pt>
                  <c:pt idx="36">
                    <c:v>136</c:v>
                  </c:pt>
                </c:lvl>
              </c:multiLvlStrCache>
            </c:multiLvlStrRef>
          </c:cat>
          <c:val>
            <c:numRef>
              <c:extLst>
                <c:ext xmlns:c15="http://schemas.microsoft.com/office/drawing/2012/chart" uri="{02D57815-91ED-43cb-92C2-25804820EDAC}">
                  <c15:fullRef>
                    <c15:sqref>Milch!$Z$3:$Z$46</c15:sqref>
                  </c15:fullRef>
                </c:ext>
              </c:extLst>
              <c:f>Milch!$Z$3:$Z$42</c:f>
              <c:numCache>
                <c:formatCode>0.00</c:formatCode>
                <c:ptCount val="40"/>
                <c:pt idx="0">
                  <c:v>0</c:v>
                </c:pt>
                <c:pt idx="4">
                  <c:v>0</c:v>
                </c:pt>
                <c:pt idx="8">
                  <c:v>0</c:v>
                </c:pt>
                <c:pt idx="12">
                  <c:v>0</c:v>
                </c:pt>
                <c:pt idx="16">
                  <c:v>0</c:v>
                </c:pt>
                <c:pt idx="20">
                  <c:v>0</c:v>
                </c:pt>
                <c:pt idx="24">
                  <c:v>0</c:v>
                </c:pt>
                <c:pt idx="28">
                  <c:v>0</c:v>
                </c:pt>
                <c:pt idx="32">
                  <c:v>0</c:v>
                </c:pt>
                <c:pt idx="36">
                  <c:v>0</c:v>
                </c:pt>
              </c:numCache>
            </c:numRef>
          </c:val>
          <c:extLst>
            <c:ext xmlns:c16="http://schemas.microsoft.com/office/drawing/2014/chart" uri="{C3380CC4-5D6E-409C-BE32-E72D297353CC}">
              <c16:uniqueId val="{00000016-5BEA-48D3-A3D3-D8B808B005DA}"/>
            </c:ext>
          </c:extLst>
        </c:ser>
        <c:ser>
          <c:idx val="23"/>
          <c:order val="23"/>
          <c:tx>
            <c:strRef>
              <c:f>Milch!$AA$2</c:f>
              <c:strCache>
                <c:ptCount val="1"/>
                <c:pt idx="0">
                  <c:v>br-PFOA </c:v>
                </c:pt>
              </c:strCache>
            </c:strRef>
          </c:tx>
          <c:spPr>
            <a:solidFill>
              <a:schemeClr val="accent6">
                <a:lumMod val="80000"/>
              </a:schemeClr>
            </a:solidFill>
            <a:ln>
              <a:noFill/>
            </a:ln>
            <a:effectLst/>
          </c:spPr>
          <c:invertIfNegative val="0"/>
          <c:cat>
            <c:multiLvlStrRef>
              <c:extLst>
                <c:ext xmlns:c15="http://schemas.microsoft.com/office/drawing/2012/chart" uri="{02D57815-91ED-43cb-92C2-25804820EDAC}">
                  <c15:fullRef>
                    <c15:sqref>Milch!$A$3:$C$46</c15:sqref>
                  </c15:fullRef>
                </c:ext>
              </c:extLst>
              <c:f>Milch!$A$3:$C$42</c:f>
              <c:multiLvlStrCache>
                <c:ptCount val="40"/>
                <c:lvl>
                  <c:pt idx="0">
                    <c:v>ER</c:v>
                  </c:pt>
                  <c:pt idx="1">
                    <c:v>E2</c:v>
                  </c:pt>
                  <c:pt idx="2">
                    <c:v>E3</c:v>
                  </c:pt>
                  <c:pt idx="3">
                    <c:v>E4</c:v>
                  </c:pt>
                  <c:pt idx="4">
                    <c:v>ER</c:v>
                  </c:pt>
                  <c:pt idx="5">
                    <c:v>E2</c:v>
                  </c:pt>
                  <c:pt idx="6">
                    <c:v>E3</c:v>
                  </c:pt>
                  <c:pt idx="7">
                    <c:v>E4</c:v>
                  </c:pt>
                  <c:pt idx="8">
                    <c:v>ER</c:v>
                  </c:pt>
                  <c:pt idx="9">
                    <c:v>E2</c:v>
                  </c:pt>
                  <c:pt idx="10">
                    <c:v>E3</c:v>
                  </c:pt>
                  <c:pt idx="11">
                    <c:v>E4</c:v>
                  </c:pt>
                  <c:pt idx="12">
                    <c:v>ER</c:v>
                  </c:pt>
                  <c:pt idx="13">
                    <c:v>E2</c:v>
                  </c:pt>
                  <c:pt idx="14">
                    <c:v>E3</c:v>
                  </c:pt>
                  <c:pt idx="15">
                    <c:v>E4</c:v>
                  </c:pt>
                  <c:pt idx="16">
                    <c:v>ER</c:v>
                  </c:pt>
                  <c:pt idx="17">
                    <c:v>E2</c:v>
                  </c:pt>
                  <c:pt idx="18">
                    <c:v>E3</c:v>
                  </c:pt>
                  <c:pt idx="19">
                    <c:v>E4</c:v>
                  </c:pt>
                  <c:pt idx="20">
                    <c:v>ER</c:v>
                  </c:pt>
                  <c:pt idx="21">
                    <c:v>E2</c:v>
                  </c:pt>
                  <c:pt idx="22">
                    <c:v>E3</c:v>
                  </c:pt>
                  <c:pt idx="23">
                    <c:v>E4</c:v>
                  </c:pt>
                  <c:pt idx="24">
                    <c:v>ER</c:v>
                  </c:pt>
                  <c:pt idx="25">
                    <c:v>E2</c:v>
                  </c:pt>
                  <c:pt idx="26">
                    <c:v>E3</c:v>
                  </c:pt>
                  <c:pt idx="27">
                    <c:v>E4</c:v>
                  </c:pt>
                  <c:pt idx="28">
                    <c:v>ER</c:v>
                  </c:pt>
                  <c:pt idx="29">
                    <c:v>E2</c:v>
                  </c:pt>
                  <c:pt idx="30">
                    <c:v>E3</c:v>
                  </c:pt>
                  <c:pt idx="31">
                    <c:v>E4</c:v>
                  </c:pt>
                  <c:pt idx="32">
                    <c:v>ER</c:v>
                  </c:pt>
                  <c:pt idx="33">
                    <c:v>E2</c:v>
                  </c:pt>
                  <c:pt idx="34">
                    <c:v>E3</c:v>
                  </c:pt>
                  <c:pt idx="35">
                    <c:v>E4</c:v>
                  </c:pt>
                  <c:pt idx="36">
                    <c:v>ER</c:v>
                  </c:pt>
                  <c:pt idx="37">
                    <c:v>E2</c:v>
                  </c:pt>
                  <c:pt idx="38">
                    <c:v>E3</c:v>
                  </c:pt>
                  <c:pt idx="39">
                    <c:v>E4</c:v>
                  </c:pt>
                </c:lvl>
                <c:lvl>
                  <c:pt idx="0">
                    <c:v>22.05.2023</c:v>
                  </c:pt>
                  <c:pt idx="4">
                    <c:v>26.05.2023</c:v>
                  </c:pt>
                  <c:pt idx="8">
                    <c:v>07.06.2023</c:v>
                  </c:pt>
                  <c:pt idx="12">
                    <c:v>28.06.2023</c:v>
                  </c:pt>
                  <c:pt idx="16">
                    <c:v>14.07.2023</c:v>
                  </c:pt>
                  <c:pt idx="20">
                    <c:v>17.07.2023</c:v>
                  </c:pt>
                  <c:pt idx="24">
                    <c:v>21.07.2023</c:v>
                  </c:pt>
                  <c:pt idx="28">
                    <c:v>02.08.2023</c:v>
                  </c:pt>
                  <c:pt idx="32">
                    <c:v>30.08.2023</c:v>
                  </c:pt>
                  <c:pt idx="36">
                    <c:v>04.10.2023</c:v>
                  </c:pt>
                </c:lvl>
                <c:lvl>
                  <c:pt idx="0">
                    <c:v>1</c:v>
                  </c:pt>
                  <c:pt idx="4">
                    <c:v>5</c:v>
                  </c:pt>
                  <c:pt idx="8">
                    <c:v>17</c:v>
                  </c:pt>
                  <c:pt idx="12">
                    <c:v>38</c:v>
                  </c:pt>
                  <c:pt idx="16">
                    <c:v>54</c:v>
                  </c:pt>
                  <c:pt idx="20">
                    <c:v>57</c:v>
                  </c:pt>
                  <c:pt idx="24">
                    <c:v>61</c:v>
                  </c:pt>
                  <c:pt idx="28">
                    <c:v>73</c:v>
                  </c:pt>
                  <c:pt idx="32">
                    <c:v>101</c:v>
                  </c:pt>
                  <c:pt idx="36">
                    <c:v>136</c:v>
                  </c:pt>
                </c:lvl>
              </c:multiLvlStrCache>
            </c:multiLvlStrRef>
          </c:cat>
          <c:val>
            <c:numRef>
              <c:extLst>
                <c:ext xmlns:c15="http://schemas.microsoft.com/office/drawing/2012/chart" uri="{02D57815-91ED-43cb-92C2-25804820EDAC}">
                  <c15:fullRef>
                    <c15:sqref>Milch!$AA$3:$AA$46</c15:sqref>
                  </c15:fullRef>
                </c:ext>
              </c:extLst>
              <c:f>Milch!$AA$3:$AA$42</c:f>
              <c:numCache>
                <c:formatCode>0.00</c:formatCode>
                <c:ptCount val="40"/>
                <c:pt idx="0">
                  <c:v>5.292122140140798E-5</c:v>
                </c:pt>
                <c:pt idx="1">
                  <c:v>0</c:v>
                </c:pt>
                <c:pt idx="2">
                  <c:v>0</c:v>
                </c:pt>
                <c:pt idx="3">
                  <c:v>0</c:v>
                </c:pt>
                <c:pt idx="4">
                  <c:v>4.3670303934443644E-4</c:v>
                </c:pt>
                <c:pt idx="5">
                  <c:v>1.9610061907035702E-2</c:v>
                </c:pt>
                <c:pt idx="6">
                  <c:v>3.84639919889388E-3</c:v>
                </c:pt>
                <c:pt idx="7">
                  <c:v>2.769374528613595E-3</c:v>
                </c:pt>
                <c:pt idx="8">
                  <c:v>4.8111453669411712E-3</c:v>
                </c:pt>
                <c:pt idx="9">
                  <c:v>2.7330063803399352E-2</c:v>
                </c:pt>
                <c:pt idx="10">
                  <c:v>2.1480765512347504E-2</c:v>
                </c:pt>
                <c:pt idx="11">
                  <c:v>1.2645314073531651E-2</c:v>
                </c:pt>
                <c:pt idx="12">
                  <c:v>1.9444675982843908E-3</c:v>
                </c:pt>
                <c:pt idx="13">
                  <c:v>3.4993840018234202E-3</c:v>
                </c:pt>
                <c:pt idx="14">
                  <c:v>4.9968066699074103E-3</c:v>
                </c:pt>
                <c:pt idx="15">
                  <c:v>3.1139371853736854E-3</c:v>
                </c:pt>
                <c:pt idx="16">
                  <c:v>2.7150332767940611E-3</c:v>
                </c:pt>
                <c:pt idx="17">
                  <c:v>6.3635057737545502E-3</c:v>
                </c:pt>
                <c:pt idx="18">
                  <c:v>5.3916440441543548E-3</c:v>
                </c:pt>
                <c:pt idx="19">
                  <c:v>3.2268491710953306E-3</c:v>
                </c:pt>
                <c:pt idx="20">
                  <c:v>7.2035827867841351E-4</c:v>
                </c:pt>
                <c:pt idx="21">
                  <c:v>3.72570804732199E-3</c:v>
                </c:pt>
                <c:pt idx="22">
                  <c:v>0</c:v>
                </c:pt>
                <c:pt idx="23">
                  <c:v>0</c:v>
                </c:pt>
                <c:pt idx="24">
                  <c:v>1.2771371875721849E-4</c:v>
                </c:pt>
                <c:pt idx="25">
                  <c:v>0</c:v>
                </c:pt>
                <c:pt idx="26">
                  <c:v>0</c:v>
                </c:pt>
                <c:pt idx="27">
                  <c:v>0</c:v>
                </c:pt>
                <c:pt idx="28">
                  <c:v>4.0316426740471978E-5</c:v>
                </c:pt>
                <c:pt idx="29">
                  <c:v>0</c:v>
                </c:pt>
                <c:pt idx="30">
                  <c:v>0</c:v>
                </c:pt>
                <c:pt idx="31">
                  <c:v>0</c:v>
                </c:pt>
                <c:pt idx="32">
                  <c:v>1.0652279559042199E-4</c:v>
                </c:pt>
                <c:pt idx="33">
                  <c:v>0</c:v>
                </c:pt>
                <c:pt idx="34">
                  <c:v>0</c:v>
                </c:pt>
                <c:pt idx="35">
                  <c:v>0</c:v>
                </c:pt>
                <c:pt idx="36">
                  <c:v>7.8592119132280479E-5</c:v>
                </c:pt>
                <c:pt idx="37">
                  <c:v>0</c:v>
                </c:pt>
                <c:pt idx="38">
                  <c:v>0</c:v>
                </c:pt>
                <c:pt idx="39">
                  <c:v>0</c:v>
                </c:pt>
              </c:numCache>
            </c:numRef>
          </c:val>
          <c:extLst>
            <c:ext xmlns:c16="http://schemas.microsoft.com/office/drawing/2014/chart" uri="{C3380CC4-5D6E-409C-BE32-E72D297353CC}">
              <c16:uniqueId val="{00000017-5BEA-48D3-A3D3-D8B808B005DA}"/>
            </c:ext>
          </c:extLst>
        </c:ser>
        <c:ser>
          <c:idx val="24"/>
          <c:order val="24"/>
          <c:tx>
            <c:strRef>
              <c:f>Milch!$AB$2</c:f>
              <c:strCache>
                <c:ptCount val="1"/>
                <c:pt idx="0">
                  <c:v>br-PFNA </c:v>
                </c:pt>
              </c:strCache>
            </c:strRef>
          </c:tx>
          <c:spPr>
            <a:solidFill>
              <a:schemeClr val="accent1">
                <a:lumMod val="60000"/>
                <a:lumOff val="40000"/>
              </a:schemeClr>
            </a:solidFill>
            <a:ln>
              <a:noFill/>
            </a:ln>
            <a:effectLst/>
          </c:spPr>
          <c:invertIfNegative val="0"/>
          <c:cat>
            <c:multiLvlStrRef>
              <c:extLst>
                <c:ext xmlns:c15="http://schemas.microsoft.com/office/drawing/2012/chart" uri="{02D57815-91ED-43cb-92C2-25804820EDAC}">
                  <c15:fullRef>
                    <c15:sqref>Milch!$A$3:$C$46</c15:sqref>
                  </c15:fullRef>
                </c:ext>
              </c:extLst>
              <c:f>Milch!$A$3:$C$42</c:f>
              <c:multiLvlStrCache>
                <c:ptCount val="40"/>
                <c:lvl>
                  <c:pt idx="0">
                    <c:v>ER</c:v>
                  </c:pt>
                  <c:pt idx="1">
                    <c:v>E2</c:v>
                  </c:pt>
                  <c:pt idx="2">
                    <c:v>E3</c:v>
                  </c:pt>
                  <c:pt idx="3">
                    <c:v>E4</c:v>
                  </c:pt>
                  <c:pt idx="4">
                    <c:v>ER</c:v>
                  </c:pt>
                  <c:pt idx="5">
                    <c:v>E2</c:v>
                  </c:pt>
                  <c:pt idx="6">
                    <c:v>E3</c:v>
                  </c:pt>
                  <c:pt idx="7">
                    <c:v>E4</c:v>
                  </c:pt>
                  <c:pt idx="8">
                    <c:v>ER</c:v>
                  </c:pt>
                  <c:pt idx="9">
                    <c:v>E2</c:v>
                  </c:pt>
                  <c:pt idx="10">
                    <c:v>E3</c:v>
                  </c:pt>
                  <c:pt idx="11">
                    <c:v>E4</c:v>
                  </c:pt>
                  <c:pt idx="12">
                    <c:v>ER</c:v>
                  </c:pt>
                  <c:pt idx="13">
                    <c:v>E2</c:v>
                  </c:pt>
                  <c:pt idx="14">
                    <c:v>E3</c:v>
                  </c:pt>
                  <c:pt idx="15">
                    <c:v>E4</c:v>
                  </c:pt>
                  <c:pt idx="16">
                    <c:v>ER</c:v>
                  </c:pt>
                  <c:pt idx="17">
                    <c:v>E2</c:v>
                  </c:pt>
                  <c:pt idx="18">
                    <c:v>E3</c:v>
                  </c:pt>
                  <c:pt idx="19">
                    <c:v>E4</c:v>
                  </c:pt>
                  <c:pt idx="20">
                    <c:v>ER</c:v>
                  </c:pt>
                  <c:pt idx="21">
                    <c:v>E2</c:v>
                  </c:pt>
                  <c:pt idx="22">
                    <c:v>E3</c:v>
                  </c:pt>
                  <c:pt idx="23">
                    <c:v>E4</c:v>
                  </c:pt>
                  <c:pt idx="24">
                    <c:v>ER</c:v>
                  </c:pt>
                  <c:pt idx="25">
                    <c:v>E2</c:v>
                  </c:pt>
                  <c:pt idx="26">
                    <c:v>E3</c:v>
                  </c:pt>
                  <c:pt idx="27">
                    <c:v>E4</c:v>
                  </c:pt>
                  <c:pt idx="28">
                    <c:v>ER</c:v>
                  </c:pt>
                  <c:pt idx="29">
                    <c:v>E2</c:v>
                  </c:pt>
                  <c:pt idx="30">
                    <c:v>E3</c:v>
                  </c:pt>
                  <c:pt idx="31">
                    <c:v>E4</c:v>
                  </c:pt>
                  <c:pt idx="32">
                    <c:v>ER</c:v>
                  </c:pt>
                  <c:pt idx="33">
                    <c:v>E2</c:v>
                  </c:pt>
                  <c:pt idx="34">
                    <c:v>E3</c:v>
                  </c:pt>
                  <c:pt idx="35">
                    <c:v>E4</c:v>
                  </c:pt>
                  <c:pt idx="36">
                    <c:v>ER</c:v>
                  </c:pt>
                  <c:pt idx="37">
                    <c:v>E2</c:v>
                  </c:pt>
                  <c:pt idx="38">
                    <c:v>E3</c:v>
                  </c:pt>
                  <c:pt idx="39">
                    <c:v>E4</c:v>
                  </c:pt>
                </c:lvl>
                <c:lvl>
                  <c:pt idx="0">
                    <c:v>22.05.2023</c:v>
                  </c:pt>
                  <c:pt idx="4">
                    <c:v>26.05.2023</c:v>
                  </c:pt>
                  <c:pt idx="8">
                    <c:v>07.06.2023</c:v>
                  </c:pt>
                  <c:pt idx="12">
                    <c:v>28.06.2023</c:v>
                  </c:pt>
                  <c:pt idx="16">
                    <c:v>14.07.2023</c:v>
                  </c:pt>
                  <c:pt idx="20">
                    <c:v>17.07.2023</c:v>
                  </c:pt>
                  <c:pt idx="24">
                    <c:v>21.07.2023</c:v>
                  </c:pt>
                  <c:pt idx="28">
                    <c:v>02.08.2023</c:v>
                  </c:pt>
                  <c:pt idx="32">
                    <c:v>30.08.2023</c:v>
                  </c:pt>
                  <c:pt idx="36">
                    <c:v>04.10.2023</c:v>
                  </c:pt>
                </c:lvl>
                <c:lvl>
                  <c:pt idx="0">
                    <c:v>1</c:v>
                  </c:pt>
                  <c:pt idx="4">
                    <c:v>5</c:v>
                  </c:pt>
                  <c:pt idx="8">
                    <c:v>17</c:v>
                  </c:pt>
                  <c:pt idx="12">
                    <c:v>38</c:v>
                  </c:pt>
                  <c:pt idx="16">
                    <c:v>54</c:v>
                  </c:pt>
                  <c:pt idx="20">
                    <c:v>57</c:v>
                  </c:pt>
                  <c:pt idx="24">
                    <c:v>61</c:v>
                  </c:pt>
                  <c:pt idx="28">
                    <c:v>73</c:v>
                  </c:pt>
                  <c:pt idx="32">
                    <c:v>101</c:v>
                  </c:pt>
                  <c:pt idx="36">
                    <c:v>136</c:v>
                  </c:pt>
                </c:lvl>
              </c:multiLvlStrCache>
            </c:multiLvlStrRef>
          </c:cat>
          <c:val>
            <c:numRef>
              <c:extLst>
                <c:ext xmlns:c15="http://schemas.microsoft.com/office/drawing/2012/chart" uri="{02D57815-91ED-43cb-92C2-25804820EDAC}">
                  <c15:fullRef>
                    <c15:sqref>Milch!$AB$3:$AB$46</c15:sqref>
                  </c15:fullRef>
                </c:ext>
              </c:extLst>
              <c:f>Milch!$AB$3:$AB$42</c:f>
              <c:numCache>
                <c:formatCode>0.00</c:formatCode>
                <c:ptCount val="40"/>
                <c:pt idx="0">
                  <c:v>0</c:v>
                </c:pt>
                <c:pt idx="1">
                  <c:v>0</c:v>
                </c:pt>
                <c:pt idx="2">
                  <c:v>0</c:v>
                </c:pt>
                <c:pt idx="3">
                  <c:v>0</c:v>
                </c:pt>
                <c:pt idx="4">
                  <c:v>0</c:v>
                </c:pt>
                <c:pt idx="5">
                  <c:v>1.64689399004667E-3</c:v>
                </c:pt>
                <c:pt idx="6">
                  <c:v>0</c:v>
                </c:pt>
                <c:pt idx="7">
                  <c:v>0</c:v>
                </c:pt>
                <c:pt idx="8">
                  <c:v>5.5744863885341352E-4</c:v>
                </c:pt>
                <c:pt idx="9">
                  <c:v>2.46629679871813E-3</c:v>
                </c:pt>
                <c:pt idx="10">
                  <c:v>1.3376403419051231E-3</c:v>
                </c:pt>
                <c:pt idx="11">
                  <c:v>1.3444266951945485E-3</c:v>
                </c:pt>
                <c:pt idx="12">
                  <c:v>2.6362252126458849E-4</c:v>
                </c:pt>
                <c:pt idx="13">
                  <c:v>0</c:v>
                </c:pt>
                <c:pt idx="14">
                  <c:v>0</c:v>
                </c:pt>
                <c:pt idx="15">
                  <c:v>0</c:v>
                </c:pt>
                <c:pt idx="16">
                  <c:v>2.7104309312193654E-4</c:v>
                </c:pt>
                <c:pt idx="17">
                  <c:v>0</c:v>
                </c:pt>
                <c:pt idx="18">
                  <c:v>0</c:v>
                </c:pt>
                <c:pt idx="19">
                  <c:v>0</c:v>
                </c:pt>
                <c:pt idx="20">
                  <c:v>1.0954216237367245E-4</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numCache>
            </c:numRef>
          </c:val>
          <c:extLst>
            <c:ext xmlns:c16="http://schemas.microsoft.com/office/drawing/2014/chart" uri="{C3380CC4-5D6E-409C-BE32-E72D297353CC}">
              <c16:uniqueId val="{00000018-5BEA-48D3-A3D3-D8B808B005DA}"/>
            </c:ext>
          </c:extLst>
        </c:ser>
        <c:ser>
          <c:idx val="25"/>
          <c:order val="25"/>
          <c:tx>
            <c:strRef>
              <c:f>Milch!$AC$2</c:f>
              <c:strCache>
                <c:ptCount val="1"/>
                <c:pt idx="0">
                  <c:v>br-PFDA </c:v>
                </c:pt>
              </c:strCache>
            </c:strRef>
          </c:tx>
          <c:spPr>
            <a:solidFill>
              <a:schemeClr val="accent2">
                <a:lumMod val="60000"/>
                <a:lumOff val="40000"/>
              </a:schemeClr>
            </a:solidFill>
            <a:ln>
              <a:noFill/>
            </a:ln>
            <a:effectLst/>
          </c:spPr>
          <c:invertIfNegative val="0"/>
          <c:cat>
            <c:multiLvlStrRef>
              <c:extLst>
                <c:ext xmlns:c15="http://schemas.microsoft.com/office/drawing/2012/chart" uri="{02D57815-91ED-43cb-92C2-25804820EDAC}">
                  <c15:fullRef>
                    <c15:sqref>Milch!$A$3:$C$46</c15:sqref>
                  </c15:fullRef>
                </c:ext>
              </c:extLst>
              <c:f>Milch!$A$3:$C$42</c:f>
              <c:multiLvlStrCache>
                <c:ptCount val="40"/>
                <c:lvl>
                  <c:pt idx="0">
                    <c:v>ER</c:v>
                  </c:pt>
                  <c:pt idx="1">
                    <c:v>E2</c:v>
                  </c:pt>
                  <c:pt idx="2">
                    <c:v>E3</c:v>
                  </c:pt>
                  <c:pt idx="3">
                    <c:v>E4</c:v>
                  </c:pt>
                  <c:pt idx="4">
                    <c:v>ER</c:v>
                  </c:pt>
                  <c:pt idx="5">
                    <c:v>E2</c:v>
                  </c:pt>
                  <c:pt idx="6">
                    <c:v>E3</c:v>
                  </c:pt>
                  <c:pt idx="7">
                    <c:v>E4</c:v>
                  </c:pt>
                  <c:pt idx="8">
                    <c:v>ER</c:v>
                  </c:pt>
                  <c:pt idx="9">
                    <c:v>E2</c:v>
                  </c:pt>
                  <c:pt idx="10">
                    <c:v>E3</c:v>
                  </c:pt>
                  <c:pt idx="11">
                    <c:v>E4</c:v>
                  </c:pt>
                  <c:pt idx="12">
                    <c:v>ER</c:v>
                  </c:pt>
                  <c:pt idx="13">
                    <c:v>E2</c:v>
                  </c:pt>
                  <c:pt idx="14">
                    <c:v>E3</c:v>
                  </c:pt>
                  <c:pt idx="15">
                    <c:v>E4</c:v>
                  </c:pt>
                  <c:pt idx="16">
                    <c:v>ER</c:v>
                  </c:pt>
                  <c:pt idx="17">
                    <c:v>E2</c:v>
                  </c:pt>
                  <c:pt idx="18">
                    <c:v>E3</c:v>
                  </c:pt>
                  <c:pt idx="19">
                    <c:v>E4</c:v>
                  </c:pt>
                  <c:pt idx="20">
                    <c:v>ER</c:v>
                  </c:pt>
                  <c:pt idx="21">
                    <c:v>E2</c:v>
                  </c:pt>
                  <c:pt idx="22">
                    <c:v>E3</c:v>
                  </c:pt>
                  <c:pt idx="23">
                    <c:v>E4</c:v>
                  </c:pt>
                  <c:pt idx="24">
                    <c:v>ER</c:v>
                  </c:pt>
                  <c:pt idx="25">
                    <c:v>E2</c:v>
                  </c:pt>
                  <c:pt idx="26">
                    <c:v>E3</c:v>
                  </c:pt>
                  <c:pt idx="27">
                    <c:v>E4</c:v>
                  </c:pt>
                  <c:pt idx="28">
                    <c:v>ER</c:v>
                  </c:pt>
                  <c:pt idx="29">
                    <c:v>E2</c:v>
                  </c:pt>
                  <c:pt idx="30">
                    <c:v>E3</c:v>
                  </c:pt>
                  <c:pt idx="31">
                    <c:v>E4</c:v>
                  </c:pt>
                  <c:pt idx="32">
                    <c:v>ER</c:v>
                  </c:pt>
                  <c:pt idx="33">
                    <c:v>E2</c:v>
                  </c:pt>
                  <c:pt idx="34">
                    <c:v>E3</c:v>
                  </c:pt>
                  <c:pt idx="35">
                    <c:v>E4</c:v>
                  </c:pt>
                  <c:pt idx="36">
                    <c:v>ER</c:v>
                  </c:pt>
                  <c:pt idx="37">
                    <c:v>E2</c:v>
                  </c:pt>
                  <c:pt idx="38">
                    <c:v>E3</c:v>
                  </c:pt>
                  <c:pt idx="39">
                    <c:v>E4</c:v>
                  </c:pt>
                </c:lvl>
                <c:lvl>
                  <c:pt idx="0">
                    <c:v>22.05.2023</c:v>
                  </c:pt>
                  <c:pt idx="4">
                    <c:v>26.05.2023</c:v>
                  </c:pt>
                  <c:pt idx="8">
                    <c:v>07.06.2023</c:v>
                  </c:pt>
                  <c:pt idx="12">
                    <c:v>28.06.2023</c:v>
                  </c:pt>
                  <c:pt idx="16">
                    <c:v>14.07.2023</c:v>
                  </c:pt>
                  <c:pt idx="20">
                    <c:v>17.07.2023</c:v>
                  </c:pt>
                  <c:pt idx="24">
                    <c:v>21.07.2023</c:v>
                  </c:pt>
                  <c:pt idx="28">
                    <c:v>02.08.2023</c:v>
                  </c:pt>
                  <c:pt idx="32">
                    <c:v>30.08.2023</c:v>
                  </c:pt>
                  <c:pt idx="36">
                    <c:v>04.10.2023</c:v>
                  </c:pt>
                </c:lvl>
                <c:lvl>
                  <c:pt idx="0">
                    <c:v>1</c:v>
                  </c:pt>
                  <c:pt idx="4">
                    <c:v>5</c:v>
                  </c:pt>
                  <c:pt idx="8">
                    <c:v>17</c:v>
                  </c:pt>
                  <c:pt idx="12">
                    <c:v>38</c:v>
                  </c:pt>
                  <c:pt idx="16">
                    <c:v>54</c:v>
                  </c:pt>
                  <c:pt idx="20">
                    <c:v>57</c:v>
                  </c:pt>
                  <c:pt idx="24">
                    <c:v>61</c:v>
                  </c:pt>
                  <c:pt idx="28">
                    <c:v>73</c:v>
                  </c:pt>
                  <c:pt idx="32">
                    <c:v>101</c:v>
                  </c:pt>
                  <c:pt idx="36">
                    <c:v>136</c:v>
                  </c:pt>
                </c:lvl>
              </c:multiLvlStrCache>
            </c:multiLvlStrRef>
          </c:cat>
          <c:val>
            <c:numRef>
              <c:extLst>
                <c:ext xmlns:c15="http://schemas.microsoft.com/office/drawing/2012/chart" uri="{02D57815-91ED-43cb-92C2-25804820EDAC}">
                  <c15:fullRef>
                    <c15:sqref>Milch!$AC$3:$AC$46</c15:sqref>
                  </c15:fullRef>
                </c:ext>
              </c:extLst>
              <c:f>Milch!$AC$3:$AC$42</c:f>
              <c:numCache>
                <c:formatCode>0.00</c:formatCode>
                <c:ptCount val="40"/>
                <c:pt idx="0">
                  <c:v>0</c:v>
                </c:pt>
                <c:pt idx="1">
                  <c:v>0</c:v>
                </c:pt>
                <c:pt idx="2">
                  <c:v>0</c:v>
                </c:pt>
                <c:pt idx="3">
                  <c:v>0</c:v>
                </c:pt>
                <c:pt idx="4">
                  <c:v>0</c:v>
                </c:pt>
                <c:pt idx="5">
                  <c:v>0</c:v>
                </c:pt>
                <c:pt idx="6">
                  <c:v>0</c:v>
                </c:pt>
                <c:pt idx="7">
                  <c:v>0</c:v>
                </c:pt>
                <c:pt idx="8">
                  <c:v>2.8382231967330998E-3</c:v>
                </c:pt>
                <c:pt idx="9">
                  <c:v>0</c:v>
                </c:pt>
                <c:pt idx="10">
                  <c:v>0</c:v>
                </c:pt>
                <c:pt idx="11">
                  <c:v>0</c:v>
                </c:pt>
                <c:pt idx="12">
                  <c:v>3.8529898544175599E-3</c:v>
                </c:pt>
                <c:pt idx="13">
                  <c:v>1.0119185709119639E-2</c:v>
                </c:pt>
                <c:pt idx="14">
                  <c:v>0</c:v>
                </c:pt>
                <c:pt idx="15">
                  <c:v>0</c:v>
                </c:pt>
                <c:pt idx="16">
                  <c:v>3.3980153780899755E-3</c:v>
                </c:pt>
                <c:pt idx="17">
                  <c:v>0</c:v>
                </c:pt>
                <c:pt idx="18">
                  <c:v>0</c:v>
                </c:pt>
                <c:pt idx="19">
                  <c:v>0</c:v>
                </c:pt>
                <c:pt idx="20">
                  <c:v>3.6656457441379049E-3</c:v>
                </c:pt>
                <c:pt idx="21">
                  <c:v>0</c:v>
                </c:pt>
                <c:pt idx="22">
                  <c:v>0</c:v>
                </c:pt>
                <c:pt idx="23">
                  <c:v>0</c:v>
                </c:pt>
                <c:pt idx="24">
                  <c:v>2.4755531433027153E-3</c:v>
                </c:pt>
                <c:pt idx="25">
                  <c:v>0</c:v>
                </c:pt>
                <c:pt idx="26">
                  <c:v>0</c:v>
                </c:pt>
                <c:pt idx="27">
                  <c:v>0</c:v>
                </c:pt>
                <c:pt idx="28">
                  <c:v>2.0207142997115102E-3</c:v>
                </c:pt>
                <c:pt idx="29">
                  <c:v>0</c:v>
                </c:pt>
                <c:pt idx="30">
                  <c:v>0</c:v>
                </c:pt>
                <c:pt idx="31">
                  <c:v>0</c:v>
                </c:pt>
                <c:pt idx="32">
                  <c:v>8.8089676549773198E-4</c:v>
                </c:pt>
                <c:pt idx="33">
                  <c:v>0</c:v>
                </c:pt>
                <c:pt idx="34">
                  <c:v>0</c:v>
                </c:pt>
                <c:pt idx="35">
                  <c:v>0</c:v>
                </c:pt>
                <c:pt idx="36">
                  <c:v>2.9461757607157104E-4</c:v>
                </c:pt>
                <c:pt idx="37">
                  <c:v>0</c:v>
                </c:pt>
                <c:pt idx="38">
                  <c:v>0</c:v>
                </c:pt>
                <c:pt idx="39">
                  <c:v>0</c:v>
                </c:pt>
              </c:numCache>
            </c:numRef>
          </c:val>
          <c:extLst>
            <c:ext xmlns:c16="http://schemas.microsoft.com/office/drawing/2014/chart" uri="{C3380CC4-5D6E-409C-BE32-E72D297353CC}">
              <c16:uniqueId val="{00000019-5BEA-48D3-A3D3-D8B808B005DA}"/>
            </c:ext>
          </c:extLst>
        </c:ser>
        <c:ser>
          <c:idx val="26"/>
          <c:order val="26"/>
          <c:tx>
            <c:strRef>
              <c:f>Milch!$AD$2</c:f>
              <c:strCache>
                <c:ptCount val="1"/>
                <c:pt idx="0">
                  <c:v>br-PFUnDA </c:v>
                </c:pt>
              </c:strCache>
            </c:strRef>
          </c:tx>
          <c:spPr>
            <a:solidFill>
              <a:schemeClr val="accent3">
                <a:lumMod val="60000"/>
                <a:lumOff val="40000"/>
              </a:schemeClr>
            </a:solidFill>
            <a:ln>
              <a:noFill/>
            </a:ln>
            <a:effectLst/>
          </c:spPr>
          <c:invertIfNegative val="0"/>
          <c:cat>
            <c:multiLvlStrRef>
              <c:extLst>
                <c:ext xmlns:c15="http://schemas.microsoft.com/office/drawing/2012/chart" uri="{02D57815-91ED-43cb-92C2-25804820EDAC}">
                  <c15:fullRef>
                    <c15:sqref>Milch!$A$3:$C$46</c15:sqref>
                  </c15:fullRef>
                </c:ext>
              </c:extLst>
              <c:f>Milch!$A$3:$C$42</c:f>
              <c:multiLvlStrCache>
                <c:ptCount val="40"/>
                <c:lvl>
                  <c:pt idx="0">
                    <c:v>ER</c:v>
                  </c:pt>
                  <c:pt idx="1">
                    <c:v>E2</c:v>
                  </c:pt>
                  <c:pt idx="2">
                    <c:v>E3</c:v>
                  </c:pt>
                  <c:pt idx="3">
                    <c:v>E4</c:v>
                  </c:pt>
                  <c:pt idx="4">
                    <c:v>ER</c:v>
                  </c:pt>
                  <c:pt idx="5">
                    <c:v>E2</c:v>
                  </c:pt>
                  <c:pt idx="6">
                    <c:v>E3</c:v>
                  </c:pt>
                  <c:pt idx="7">
                    <c:v>E4</c:v>
                  </c:pt>
                  <c:pt idx="8">
                    <c:v>ER</c:v>
                  </c:pt>
                  <c:pt idx="9">
                    <c:v>E2</c:v>
                  </c:pt>
                  <c:pt idx="10">
                    <c:v>E3</c:v>
                  </c:pt>
                  <c:pt idx="11">
                    <c:v>E4</c:v>
                  </c:pt>
                  <c:pt idx="12">
                    <c:v>ER</c:v>
                  </c:pt>
                  <c:pt idx="13">
                    <c:v>E2</c:v>
                  </c:pt>
                  <c:pt idx="14">
                    <c:v>E3</c:v>
                  </c:pt>
                  <c:pt idx="15">
                    <c:v>E4</c:v>
                  </c:pt>
                  <c:pt idx="16">
                    <c:v>ER</c:v>
                  </c:pt>
                  <c:pt idx="17">
                    <c:v>E2</c:v>
                  </c:pt>
                  <c:pt idx="18">
                    <c:v>E3</c:v>
                  </c:pt>
                  <c:pt idx="19">
                    <c:v>E4</c:v>
                  </c:pt>
                  <c:pt idx="20">
                    <c:v>ER</c:v>
                  </c:pt>
                  <c:pt idx="21">
                    <c:v>E2</c:v>
                  </c:pt>
                  <c:pt idx="22">
                    <c:v>E3</c:v>
                  </c:pt>
                  <c:pt idx="23">
                    <c:v>E4</c:v>
                  </c:pt>
                  <c:pt idx="24">
                    <c:v>ER</c:v>
                  </c:pt>
                  <c:pt idx="25">
                    <c:v>E2</c:v>
                  </c:pt>
                  <c:pt idx="26">
                    <c:v>E3</c:v>
                  </c:pt>
                  <c:pt idx="27">
                    <c:v>E4</c:v>
                  </c:pt>
                  <c:pt idx="28">
                    <c:v>ER</c:v>
                  </c:pt>
                  <c:pt idx="29">
                    <c:v>E2</c:v>
                  </c:pt>
                  <c:pt idx="30">
                    <c:v>E3</c:v>
                  </c:pt>
                  <c:pt idx="31">
                    <c:v>E4</c:v>
                  </c:pt>
                  <c:pt idx="32">
                    <c:v>ER</c:v>
                  </c:pt>
                  <c:pt idx="33">
                    <c:v>E2</c:v>
                  </c:pt>
                  <c:pt idx="34">
                    <c:v>E3</c:v>
                  </c:pt>
                  <c:pt idx="35">
                    <c:v>E4</c:v>
                  </c:pt>
                  <c:pt idx="36">
                    <c:v>ER</c:v>
                  </c:pt>
                  <c:pt idx="37">
                    <c:v>E2</c:v>
                  </c:pt>
                  <c:pt idx="38">
                    <c:v>E3</c:v>
                  </c:pt>
                  <c:pt idx="39">
                    <c:v>E4</c:v>
                  </c:pt>
                </c:lvl>
                <c:lvl>
                  <c:pt idx="0">
                    <c:v>22.05.2023</c:v>
                  </c:pt>
                  <c:pt idx="4">
                    <c:v>26.05.2023</c:v>
                  </c:pt>
                  <c:pt idx="8">
                    <c:v>07.06.2023</c:v>
                  </c:pt>
                  <c:pt idx="12">
                    <c:v>28.06.2023</c:v>
                  </c:pt>
                  <c:pt idx="16">
                    <c:v>14.07.2023</c:v>
                  </c:pt>
                  <c:pt idx="20">
                    <c:v>17.07.2023</c:v>
                  </c:pt>
                  <c:pt idx="24">
                    <c:v>21.07.2023</c:v>
                  </c:pt>
                  <c:pt idx="28">
                    <c:v>02.08.2023</c:v>
                  </c:pt>
                  <c:pt idx="32">
                    <c:v>30.08.2023</c:v>
                  </c:pt>
                  <c:pt idx="36">
                    <c:v>04.10.2023</c:v>
                  </c:pt>
                </c:lvl>
                <c:lvl>
                  <c:pt idx="0">
                    <c:v>1</c:v>
                  </c:pt>
                  <c:pt idx="4">
                    <c:v>5</c:v>
                  </c:pt>
                  <c:pt idx="8">
                    <c:v>17</c:v>
                  </c:pt>
                  <c:pt idx="12">
                    <c:v>38</c:v>
                  </c:pt>
                  <c:pt idx="16">
                    <c:v>54</c:v>
                  </c:pt>
                  <c:pt idx="20">
                    <c:v>57</c:v>
                  </c:pt>
                  <c:pt idx="24">
                    <c:v>61</c:v>
                  </c:pt>
                  <c:pt idx="28">
                    <c:v>73</c:v>
                  </c:pt>
                  <c:pt idx="32">
                    <c:v>101</c:v>
                  </c:pt>
                  <c:pt idx="36">
                    <c:v>136</c:v>
                  </c:pt>
                </c:lvl>
              </c:multiLvlStrCache>
            </c:multiLvlStrRef>
          </c:cat>
          <c:val>
            <c:numRef>
              <c:extLst>
                <c:ext xmlns:c15="http://schemas.microsoft.com/office/drawing/2012/chart" uri="{02D57815-91ED-43cb-92C2-25804820EDAC}">
                  <c15:fullRef>
                    <c15:sqref>Milch!$AD$3:$AD$46</c15:sqref>
                  </c15:fullRef>
                </c:ext>
              </c:extLst>
              <c:f>Milch!$AD$3:$AD$42</c:f>
              <c:numCache>
                <c:formatCode>0.00</c:formatCode>
                <c:ptCount val="40"/>
                <c:pt idx="0">
                  <c:v>0</c:v>
                </c:pt>
                <c:pt idx="1">
                  <c:v>0</c:v>
                </c:pt>
                <c:pt idx="2">
                  <c:v>0</c:v>
                </c:pt>
                <c:pt idx="3">
                  <c:v>0</c:v>
                </c:pt>
                <c:pt idx="4">
                  <c:v>0</c:v>
                </c:pt>
                <c:pt idx="5">
                  <c:v>0</c:v>
                </c:pt>
                <c:pt idx="6">
                  <c:v>0</c:v>
                </c:pt>
                <c:pt idx="7">
                  <c:v>0</c:v>
                </c:pt>
                <c:pt idx="8">
                  <c:v>7.6697844121633206E-3</c:v>
                </c:pt>
                <c:pt idx="9">
                  <c:v>1.1024792686562189E-2</c:v>
                </c:pt>
                <c:pt idx="10">
                  <c:v>5.6344680479036759E-3</c:v>
                </c:pt>
                <c:pt idx="11">
                  <c:v>1.3881859657493304E-2</c:v>
                </c:pt>
                <c:pt idx="12">
                  <c:v>1.2955858635025266E-2</c:v>
                </c:pt>
                <c:pt idx="13">
                  <c:v>2.077109261870725E-2</c:v>
                </c:pt>
                <c:pt idx="14">
                  <c:v>8.5650542022637846E-3</c:v>
                </c:pt>
                <c:pt idx="15">
                  <c:v>1.8398940793751897E-2</c:v>
                </c:pt>
                <c:pt idx="16">
                  <c:v>1.4262070259876575E-2</c:v>
                </c:pt>
                <c:pt idx="17">
                  <c:v>1.6808987002905389E-2</c:v>
                </c:pt>
                <c:pt idx="18">
                  <c:v>1.188788830452929E-2</c:v>
                </c:pt>
                <c:pt idx="19">
                  <c:v>1.6604947909307666E-2</c:v>
                </c:pt>
                <c:pt idx="20">
                  <c:v>1.3110013403611899E-2</c:v>
                </c:pt>
                <c:pt idx="21">
                  <c:v>1.85355360499827E-2</c:v>
                </c:pt>
                <c:pt idx="22">
                  <c:v>1.0970707498737393E-2</c:v>
                </c:pt>
                <c:pt idx="23">
                  <c:v>2.3872895740790802E-2</c:v>
                </c:pt>
                <c:pt idx="24">
                  <c:v>1.0176367292812415E-2</c:v>
                </c:pt>
                <c:pt idx="25">
                  <c:v>1.3714112240122801E-2</c:v>
                </c:pt>
                <c:pt idx="26">
                  <c:v>8.7620541005839214E-3</c:v>
                </c:pt>
                <c:pt idx="27">
                  <c:v>1.80116830014228E-2</c:v>
                </c:pt>
                <c:pt idx="28">
                  <c:v>1.0235049802784701E-2</c:v>
                </c:pt>
                <c:pt idx="29">
                  <c:v>1.8980020406677827E-2</c:v>
                </c:pt>
                <c:pt idx="30">
                  <c:v>1.3336568755428897E-2</c:v>
                </c:pt>
                <c:pt idx="31">
                  <c:v>1.9690297518087256E-2</c:v>
                </c:pt>
                <c:pt idx="32">
                  <c:v>8.8680248247691145E-3</c:v>
                </c:pt>
                <c:pt idx="33">
                  <c:v>1.2989334278621995E-2</c:v>
                </c:pt>
                <c:pt idx="34">
                  <c:v>7.7135765407100902E-3</c:v>
                </c:pt>
                <c:pt idx="35">
                  <c:v>1.111819438717355E-2</c:v>
                </c:pt>
                <c:pt idx="36">
                  <c:v>5.2684563517063857E-3</c:v>
                </c:pt>
                <c:pt idx="37">
                  <c:v>0</c:v>
                </c:pt>
                <c:pt idx="38">
                  <c:v>0</c:v>
                </c:pt>
                <c:pt idx="39">
                  <c:v>0</c:v>
                </c:pt>
              </c:numCache>
            </c:numRef>
          </c:val>
          <c:extLst>
            <c:ext xmlns:c16="http://schemas.microsoft.com/office/drawing/2014/chart" uri="{C3380CC4-5D6E-409C-BE32-E72D297353CC}">
              <c16:uniqueId val="{0000001A-5BEA-48D3-A3D3-D8B808B005DA}"/>
            </c:ext>
          </c:extLst>
        </c:ser>
        <c:ser>
          <c:idx val="27"/>
          <c:order val="27"/>
          <c:tx>
            <c:strRef>
              <c:f>Milch!$AE$2</c:f>
              <c:strCache>
                <c:ptCount val="1"/>
                <c:pt idx="0">
                  <c:v>br-PFDoDA </c:v>
                </c:pt>
              </c:strCache>
            </c:strRef>
          </c:tx>
          <c:spPr>
            <a:solidFill>
              <a:schemeClr val="accent4">
                <a:lumMod val="60000"/>
                <a:lumOff val="40000"/>
              </a:schemeClr>
            </a:solidFill>
            <a:ln>
              <a:noFill/>
            </a:ln>
            <a:effectLst/>
          </c:spPr>
          <c:invertIfNegative val="0"/>
          <c:cat>
            <c:multiLvlStrRef>
              <c:extLst>
                <c:ext xmlns:c15="http://schemas.microsoft.com/office/drawing/2012/chart" uri="{02D57815-91ED-43cb-92C2-25804820EDAC}">
                  <c15:fullRef>
                    <c15:sqref>Milch!$A$3:$C$46</c15:sqref>
                  </c15:fullRef>
                </c:ext>
              </c:extLst>
              <c:f>Milch!$A$3:$C$42</c:f>
              <c:multiLvlStrCache>
                <c:ptCount val="40"/>
                <c:lvl>
                  <c:pt idx="0">
                    <c:v>ER</c:v>
                  </c:pt>
                  <c:pt idx="1">
                    <c:v>E2</c:v>
                  </c:pt>
                  <c:pt idx="2">
                    <c:v>E3</c:v>
                  </c:pt>
                  <c:pt idx="3">
                    <c:v>E4</c:v>
                  </c:pt>
                  <c:pt idx="4">
                    <c:v>ER</c:v>
                  </c:pt>
                  <c:pt idx="5">
                    <c:v>E2</c:v>
                  </c:pt>
                  <c:pt idx="6">
                    <c:v>E3</c:v>
                  </c:pt>
                  <c:pt idx="7">
                    <c:v>E4</c:v>
                  </c:pt>
                  <c:pt idx="8">
                    <c:v>ER</c:v>
                  </c:pt>
                  <c:pt idx="9">
                    <c:v>E2</c:v>
                  </c:pt>
                  <c:pt idx="10">
                    <c:v>E3</c:v>
                  </c:pt>
                  <c:pt idx="11">
                    <c:v>E4</c:v>
                  </c:pt>
                  <c:pt idx="12">
                    <c:v>ER</c:v>
                  </c:pt>
                  <c:pt idx="13">
                    <c:v>E2</c:v>
                  </c:pt>
                  <c:pt idx="14">
                    <c:v>E3</c:v>
                  </c:pt>
                  <c:pt idx="15">
                    <c:v>E4</c:v>
                  </c:pt>
                  <c:pt idx="16">
                    <c:v>ER</c:v>
                  </c:pt>
                  <c:pt idx="17">
                    <c:v>E2</c:v>
                  </c:pt>
                  <c:pt idx="18">
                    <c:v>E3</c:v>
                  </c:pt>
                  <c:pt idx="19">
                    <c:v>E4</c:v>
                  </c:pt>
                  <c:pt idx="20">
                    <c:v>ER</c:v>
                  </c:pt>
                  <c:pt idx="21">
                    <c:v>E2</c:v>
                  </c:pt>
                  <c:pt idx="22">
                    <c:v>E3</c:v>
                  </c:pt>
                  <c:pt idx="23">
                    <c:v>E4</c:v>
                  </c:pt>
                  <c:pt idx="24">
                    <c:v>ER</c:v>
                  </c:pt>
                  <c:pt idx="25">
                    <c:v>E2</c:v>
                  </c:pt>
                  <c:pt idx="26">
                    <c:v>E3</c:v>
                  </c:pt>
                  <c:pt idx="27">
                    <c:v>E4</c:v>
                  </c:pt>
                  <c:pt idx="28">
                    <c:v>ER</c:v>
                  </c:pt>
                  <c:pt idx="29">
                    <c:v>E2</c:v>
                  </c:pt>
                  <c:pt idx="30">
                    <c:v>E3</c:v>
                  </c:pt>
                  <c:pt idx="31">
                    <c:v>E4</c:v>
                  </c:pt>
                  <c:pt idx="32">
                    <c:v>ER</c:v>
                  </c:pt>
                  <c:pt idx="33">
                    <c:v>E2</c:v>
                  </c:pt>
                  <c:pt idx="34">
                    <c:v>E3</c:v>
                  </c:pt>
                  <c:pt idx="35">
                    <c:v>E4</c:v>
                  </c:pt>
                  <c:pt idx="36">
                    <c:v>ER</c:v>
                  </c:pt>
                  <c:pt idx="37">
                    <c:v>E2</c:v>
                  </c:pt>
                  <c:pt idx="38">
                    <c:v>E3</c:v>
                  </c:pt>
                  <c:pt idx="39">
                    <c:v>E4</c:v>
                  </c:pt>
                </c:lvl>
                <c:lvl>
                  <c:pt idx="0">
                    <c:v>22.05.2023</c:v>
                  </c:pt>
                  <c:pt idx="4">
                    <c:v>26.05.2023</c:v>
                  </c:pt>
                  <c:pt idx="8">
                    <c:v>07.06.2023</c:v>
                  </c:pt>
                  <c:pt idx="12">
                    <c:v>28.06.2023</c:v>
                  </c:pt>
                  <c:pt idx="16">
                    <c:v>14.07.2023</c:v>
                  </c:pt>
                  <c:pt idx="20">
                    <c:v>17.07.2023</c:v>
                  </c:pt>
                  <c:pt idx="24">
                    <c:v>21.07.2023</c:v>
                  </c:pt>
                  <c:pt idx="28">
                    <c:v>02.08.2023</c:v>
                  </c:pt>
                  <c:pt idx="32">
                    <c:v>30.08.2023</c:v>
                  </c:pt>
                  <c:pt idx="36">
                    <c:v>04.10.2023</c:v>
                  </c:pt>
                </c:lvl>
                <c:lvl>
                  <c:pt idx="0">
                    <c:v>1</c:v>
                  </c:pt>
                  <c:pt idx="4">
                    <c:v>5</c:v>
                  </c:pt>
                  <c:pt idx="8">
                    <c:v>17</c:v>
                  </c:pt>
                  <c:pt idx="12">
                    <c:v>38</c:v>
                  </c:pt>
                  <c:pt idx="16">
                    <c:v>54</c:v>
                  </c:pt>
                  <c:pt idx="20">
                    <c:v>57</c:v>
                  </c:pt>
                  <c:pt idx="24">
                    <c:v>61</c:v>
                  </c:pt>
                  <c:pt idx="28">
                    <c:v>73</c:v>
                  </c:pt>
                  <c:pt idx="32">
                    <c:v>101</c:v>
                  </c:pt>
                  <c:pt idx="36">
                    <c:v>136</c:v>
                  </c:pt>
                </c:lvl>
              </c:multiLvlStrCache>
            </c:multiLvlStrRef>
          </c:cat>
          <c:val>
            <c:numRef>
              <c:extLst>
                <c:ext xmlns:c15="http://schemas.microsoft.com/office/drawing/2012/chart" uri="{02D57815-91ED-43cb-92C2-25804820EDAC}">
                  <c15:fullRef>
                    <c15:sqref>Milch!$AE$3:$AE$46</c15:sqref>
                  </c15:fullRef>
                </c:ext>
              </c:extLst>
              <c:f>Milch!$AE$3:$AE$42</c:f>
              <c:numCache>
                <c:formatCode>0.00</c:formatCode>
                <c:ptCount val="40"/>
                <c:pt idx="0">
                  <c:v>0</c:v>
                </c:pt>
                <c:pt idx="1">
                  <c:v>0</c:v>
                </c:pt>
                <c:pt idx="2">
                  <c:v>0</c:v>
                </c:pt>
                <c:pt idx="3">
                  <c:v>0</c:v>
                </c:pt>
                <c:pt idx="4">
                  <c:v>2.8082242722292073E-3</c:v>
                </c:pt>
                <c:pt idx="5">
                  <c:v>0</c:v>
                </c:pt>
                <c:pt idx="6">
                  <c:v>0</c:v>
                </c:pt>
                <c:pt idx="7">
                  <c:v>0</c:v>
                </c:pt>
                <c:pt idx="8">
                  <c:v>2.1140420501981765E-2</c:v>
                </c:pt>
                <c:pt idx="9">
                  <c:v>4.4394956552049752E-2</c:v>
                </c:pt>
                <c:pt idx="10">
                  <c:v>2.0486206072156985E-2</c:v>
                </c:pt>
                <c:pt idx="11">
                  <c:v>5.62097632959392E-2</c:v>
                </c:pt>
                <c:pt idx="12">
                  <c:v>3.0480475490152172E-2</c:v>
                </c:pt>
                <c:pt idx="13">
                  <c:v>7.8280441633385392E-2</c:v>
                </c:pt>
                <c:pt idx="14">
                  <c:v>2.9762818022795796E-2</c:v>
                </c:pt>
                <c:pt idx="15">
                  <c:v>6.0657717322553907E-2</c:v>
                </c:pt>
                <c:pt idx="16">
                  <c:v>3.171293734856525E-2</c:v>
                </c:pt>
                <c:pt idx="17">
                  <c:v>4.8048498183923552E-2</c:v>
                </c:pt>
                <c:pt idx="18">
                  <c:v>3.2905107853339902E-2</c:v>
                </c:pt>
                <c:pt idx="19">
                  <c:v>4.2978367761761456E-2</c:v>
                </c:pt>
                <c:pt idx="20">
                  <c:v>3.2628323477382842E-2</c:v>
                </c:pt>
                <c:pt idx="21">
                  <c:v>6.3965205536623992E-2</c:v>
                </c:pt>
                <c:pt idx="22">
                  <c:v>2.9470184345915845E-2</c:v>
                </c:pt>
                <c:pt idx="23">
                  <c:v>6.0963392010367747E-2</c:v>
                </c:pt>
                <c:pt idx="24">
                  <c:v>3.0534996219135642E-2</c:v>
                </c:pt>
                <c:pt idx="25">
                  <c:v>4.2309672619393703E-2</c:v>
                </c:pt>
                <c:pt idx="26">
                  <c:v>2.2574046419860216E-2</c:v>
                </c:pt>
                <c:pt idx="27">
                  <c:v>4.0926052900627494E-2</c:v>
                </c:pt>
                <c:pt idx="28">
                  <c:v>2.00852299787018E-2</c:v>
                </c:pt>
                <c:pt idx="29">
                  <c:v>3.4168803401325831E-2</c:v>
                </c:pt>
                <c:pt idx="30">
                  <c:v>2.3100763824638954E-2</c:v>
                </c:pt>
                <c:pt idx="31">
                  <c:v>2.8171901006845943E-2</c:v>
                </c:pt>
                <c:pt idx="32">
                  <c:v>9.9628730728473103E-3</c:v>
                </c:pt>
                <c:pt idx="33">
                  <c:v>1.5671652595739435E-2</c:v>
                </c:pt>
                <c:pt idx="34">
                  <c:v>7.3490415822283148E-3</c:v>
                </c:pt>
                <c:pt idx="35">
                  <c:v>1.1214216416007951E-2</c:v>
                </c:pt>
                <c:pt idx="36">
                  <c:v>3.9144587444281329E-3</c:v>
                </c:pt>
                <c:pt idx="37">
                  <c:v>0</c:v>
                </c:pt>
                <c:pt idx="38">
                  <c:v>0</c:v>
                </c:pt>
                <c:pt idx="39">
                  <c:v>0</c:v>
                </c:pt>
              </c:numCache>
            </c:numRef>
          </c:val>
          <c:extLst>
            <c:ext xmlns:c16="http://schemas.microsoft.com/office/drawing/2014/chart" uri="{C3380CC4-5D6E-409C-BE32-E72D297353CC}">
              <c16:uniqueId val="{0000001B-5BEA-48D3-A3D3-D8B808B005DA}"/>
            </c:ext>
          </c:extLst>
        </c:ser>
        <c:ser>
          <c:idx val="28"/>
          <c:order val="28"/>
          <c:tx>
            <c:strRef>
              <c:f>Milch!$AF$2</c:f>
              <c:strCache>
                <c:ptCount val="1"/>
                <c:pt idx="0">
                  <c:v>br-PFTrDA </c:v>
                </c:pt>
              </c:strCache>
            </c:strRef>
          </c:tx>
          <c:spPr>
            <a:solidFill>
              <a:schemeClr val="accent5">
                <a:lumMod val="60000"/>
                <a:lumOff val="40000"/>
              </a:schemeClr>
            </a:solidFill>
            <a:ln>
              <a:noFill/>
            </a:ln>
            <a:effectLst/>
          </c:spPr>
          <c:invertIfNegative val="0"/>
          <c:cat>
            <c:multiLvlStrRef>
              <c:extLst>
                <c:ext xmlns:c15="http://schemas.microsoft.com/office/drawing/2012/chart" uri="{02D57815-91ED-43cb-92C2-25804820EDAC}">
                  <c15:fullRef>
                    <c15:sqref>Milch!$A$3:$C$46</c15:sqref>
                  </c15:fullRef>
                </c:ext>
              </c:extLst>
              <c:f>Milch!$A$3:$C$42</c:f>
              <c:multiLvlStrCache>
                <c:ptCount val="40"/>
                <c:lvl>
                  <c:pt idx="0">
                    <c:v>ER</c:v>
                  </c:pt>
                  <c:pt idx="1">
                    <c:v>E2</c:v>
                  </c:pt>
                  <c:pt idx="2">
                    <c:v>E3</c:v>
                  </c:pt>
                  <c:pt idx="3">
                    <c:v>E4</c:v>
                  </c:pt>
                  <c:pt idx="4">
                    <c:v>ER</c:v>
                  </c:pt>
                  <c:pt idx="5">
                    <c:v>E2</c:v>
                  </c:pt>
                  <c:pt idx="6">
                    <c:v>E3</c:v>
                  </c:pt>
                  <c:pt idx="7">
                    <c:v>E4</c:v>
                  </c:pt>
                  <c:pt idx="8">
                    <c:v>ER</c:v>
                  </c:pt>
                  <c:pt idx="9">
                    <c:v>E2</c:v>
                  </c:pt>
                  <c:pt idx="10">
                    <c:v>E3</c:v>
                  </c:pt>
                  <c:pt idx="11">
                    <c:v>E4</c:v>
                  </c:pt>
                  <c:pt idx="12">
                    <c:v>ER</c:v>
                  </c:pt>
                  <c:pt idx="13">
                    <c:v>E2</c:v>
                  </c:pt>
                  <c:pt idx="14">
                    <c:v>E3</c:v>
                  </c:pt>
                  <c:pt idx="15">
                    <c:v>E4</c:v>
                  </c:pt>
                  <c:pt idx="16">
                    <c:v>ER</c:v>
                  </c:pt>
                  <c:pt idx="17">
                    <c:v>E2</c:v>
                  </c:pt>
                  <c:pt idx="18">
                    <c:v>E3</c:v>
                  </c:pt>
                  <c:pt idx="19">
                    <c:v>E4</c:v>
                  </c:pt>
                  <c:pt idx="20">
                    <c:v>ER</c:v>
                  </c:pt>
                  <c:pt idx="21">
                    <c:v>E2</c:v>
                  </c:pt>
                  <c:pt idx="22">
                    <c:v>E3</c:v>
                  </c:pt>
                  <c:pt idx="23">
                    <c:v>E4</c:v>
                  </c:pt>
                  <c:pt idx="24">
                    <c:v>ER</c:v>
                  </c:pt>
                  <c:pt idx="25">
                    <c:v>E2</c:v>
                  </c:pt>
                  <c:pt idx="26">
                    <c:v>E3</c:v>
                  </c:pt>
                  <c:pt idx="27">
                    <c:v>E4</c:v>
                  </c:pt>
                  <c:pt idx="28">
                    <c:v>ER</c:v>
                  </c:pt>
                  <c:pt idx="29">
                    <c:v>E2</c:v>
                  </c:pt>
                  <c:pt idx="30">
                    <c:v>E3</c:v>
                  </c:pt>
                  <c:pt idx="31">
                    <c:v>E4</c:v>
                  </c:pt>
                  <c:pt idx="32">
                    <c:v>ER</c:v>
                  </c:pt>
                  <c:pt idx="33">
                    <c:v>E2</c:v>
                  </c:pt>
                  <c:pt idx="34">
                    <c:v>E3</c:v>
                  </c:pt>
                  <c:pt idx="35">
                    <c:v>E4</c:v>
                  </c:pt>
                  <c:pt idx="36">
                    <c:v>ER</c:v>
                  </c:pt>
                  <c:pt idx="37">
                    <c:v>E2</c:v>
                  </c:pt>
                  <c:pt idx="38">
                    <c:v>E3</c:v>
                  </c:pt>
                  <c:pt idx="39">
                    <c:v>E4</c:v>
                  </c:pt>
                </c:lvl>
                <c:lvl>
                  <c:pt idx="0">
                    <c:v>22.05.2023</c:v>
                  </c:pt>
                  <c:pt idx="4">
                    <c:v>26.05.2023</c:v>
                  </c:pt>
                  <c:pt idx="8">
                    <c:v>07.06.2023</c:v>
                  </c:pt>
                  <c:pt idx="12">
                    <c:v>28.06.2023</c:v>
                  </c:pt>
                  <c:pt idx="16">
                    <c:v>14.07.2023</c:v>
                  </c:pt>
                  <c:pt idx="20">
                    <c:v>17.07.2023</c:v>
                  </c:pt>
                  <c:pt idx="24">
                    <c:v>21.07.2023</c:v>
                  </c:pt>
                  <c:pt idx="28">
                    <c:v>02.08.2023</c:v>
                  </c:pt>
                  <c:pt idx="32">
                    <c:v>30.08.2023</c:v>
                  </c:pt>
                  <c:pt idx="36">
                    <c:v>04.10.2023</c:v>
                  </c:pt>
                </c:lvl>
                <c:lvl>
                  <c:pt idx="0">
                    <c:v>1</c:v>
                  </c:pt>
                  <c:pt idx="4">
                    <c:v>5</c:v>
                  </c:pt>
                  <c:pt idx="8">
                    <c:v>17</c:v>
                  </c:pt>
                  <c:pt idx="12">
                    <c:v>38</c:v>
                  </c:pt>
                  <c:pt idx="16">
                    <c:v>54</c:v>
                  </c:pt>
                  <c:pt idx="20">
                    <c:v>57</c:v>
                  </c:pt>
                  <c:pt idx="24">
                    <c:v>61</c:v>
                  </c:pt>
                  <c:pt idx="28">
                    <c:v>73</c:v>
                  </c:pt>
                  <c:pt idx="32">
                    <c:v>101</c:v>
                  </c:pt>
                  <c:pt idx="36">
                    <c:v>136</c:v>
                  </c:pt>
                </c:lvl>
              </c:multiLvlStrCache>
            </c:multiLvlStrRef>
          </c:cat>
          <c:val>
            <c:numRef>
              <c:extLst>
                <c:ext xmlns:c15="http://schemas.microsoft.com/office/drawing/2012/chart" uri="{02D57815-91ED-43cb-92C2-25804820EDAC}">
                  <c15:fullRef>
                    <c15:sqref>Milch!$AF$3:$AF$46</c15:sqref>
                  </c15:fullRef>
                </c:ext>
              </c:extLst>
              <c:f>Milch!$AF$3:$AF$42</c:f>
              <c:numCache>
                <c:formatCode>0.00</c:formatCode>
                <c:ptCount val="40"/>
                <c:pt idx="0">
                  <c:v>0</c:v>
                </c:pt>
                <c:pt idx="1">
                  <c:v>0</c:v>
                </c:pt>
                <c:pt idx="2">
                  <c:v>0</c:v>
                </c:pt>
                <c:pt idx="3">
                  <c:v>0</c:v>
                </c:pt>
                <c:pt idx="4">
                  <c:v>2.5424562337542854E-4</c:v>
                </c:pt>
                <c:pt idx="5">
                  <c:v>6.8514143292240648E-3</c:v>
                </c:pt>
                <c:pt idx="6">
                  <c:v>0</c:v>
                </c:pt>
                <c:pt idx="7">
                  <c:v>2.9476215648256447E-3</c:v>
                </c:pt>
                <c:pt idx="8">
                  <c:v>1.0455106475929874E-2</c:v>
                </c:pt>
                <c:pt idx="9">
                  <c:v>3.0188292932294948E-2</c:v>
                </c:pt>
                <c:pt idx="10">
                  <c:v>1.0451948290635031E-2</c:v>
                </c:pt>
                <c:pt idx="11">
                  <c:v>3.011836119085385E-2</c:v>
                </c:pt>
                <c:pt idx="12">
                  <c:v>9.5318486183135383E-3</c:v>
                </c:pt>
                <c:pt idx="13">
                  <c:v>2.2599241329179898E-2</c:v>
                </c:pt>
                <c:pt idx="14">
                  <c:v>1.163996512011818E-2</c:v>
                </c:pt>
                <c:pt idx="15">
                  <c:v>2.1205425999709652E-2</c:v>
                </c:pt>
                <c:pt idx="16">
                  <c:v>9.637453491599739E-3</c:v>
                </c:pt>
                <c:pt idx="17">
                  <c:v>1.6925491721549675E-2</c:v>
                </c:pt>
                <c:pt idx="18">
                  <c:v>1.0674010282829655E-2</c:v>
                </c:pt>
                <c:pt idx="19">
                  <c:v>1.4417047706331381E-2</c:v>
                </c:pt>
                <c:pt idx="20">
                  <c:v>8.1874305871640699E-3</c:v>
                </c:pt>
                <c:pt idx="21">
                  <c:v>2.1858796372347448E-2</c:v>
                </c:pt>
                <c:pt idx="22">
                  <c:v>9.910801450857409E-3</c:v>
                </c:pt>
                <c:pt idx="23">
                  <c:v>2.0305624975952001E-2</c:v>
                </c:pt>
                <c:pt idx="24">
                  <c:v>3.2359550513144952E-3</c:v>
                </c:pt>
                <c:pt idx="25">
                  <c:v>1.170114715736352E-2</c:v>
                </c:pt>
                <c:pt idx="26">
                  <c:v>6.4122437866597406E-3</c:v>
                </c:pt>
                <c:pt idx="27">
                  <c:v>7.6042614953733953E-3</c:v>
                </c:pt>
                <c:pt idx="28">
                  <c:v>1.5892414200802598E-3</c:v>
                </c:pt>
                <c:pt idx="29">
                  <c:v>4.9140024029005348E-3</c:v>
                </c:pt>
                <c:pt idx="30">
                  <c:v>3.6553588331824801E-3</c:v>
                </c:pt>
                <c:pt idx="31">
                  <c:v>0</c:v>
                </c:pt>
                <c:pt idx="32">
                  <c:v>3.3718007489997806E-4</c:v>
                </c:pt>
                <c:pt idx="33">
                  <c:v>0</c:v>
                </c:pt>
                <c:pt idx="34">
                  <c:v>0</c:v>
                </c:pt>
                <c:pt idx="35">
                  <c:v>0</c:v>
                </c:pt>
                <c:pt idx="36">
                  <c:v>0</c:v>
                </c:pt>
                <c:pt idx="37">
                  <c:v>0</c:v>
                </c:pt>
                <c:pt idx="38">
                  <c:v>0</c:v>
                </c:pt>
                <c:pt idx="39">
                  <c:v>0</c:v>
                </c:pt>
              </c:numCache>
            </c:numRef>
          </c:val>
          <c:extLst>
            <c:ext xmlns:c16="http://schemas.microsoft.com/office/drawing/2014/chart" uri="{C3380CC4-5D6E-409C-BE32-E72D297353CC}">
              <c16:uniqueId val="{0000001C-5BEA-48D3-A3D3-D8B808B005DA}"/>
            </c:ext>
          </c:extLst>
        </c:ser>
        <c:ser>
          <c:idx val="29"/>
          <c:order val="29"/>
          <c:tx>
            <c:strRef>
              <c:f>Milch!$AG$2</c:f>
              <c:strCache>
                <c:ptCount val="1"/>
                <c:pt idx="0">
                  <c:v>br-PFTeDA </c:v>
                </c:pt>
              </c:strCache>
            </c:strRef>
          </c:tx>
          <c:spPr>
            <a:solidFill>
              <a:schemeClr val="accent6">
                <a:lumMod val="60000"/>
                <a:lumOff val="40000"/>
              </a:schemeClr>
            </a:solidFill>
            <a:ln>
              <a:noFill/>
            </a:ln>
            <a:effectLst/>
          </c:spPr>
          <c:invertIfNegative val="0"/>
          <c:cat>
            <c:multiLvlStrRef>
              <c:extLst>
                <c:ext xmlns:c15="http://schemas.microsoft.com/office/drawing/2012/chart" uri="{02D57815-91ED-43cb-92C2-25804820EDAC}">
                  <c15:fullRef>
                    <c15:sqref>Milch!$A$3:$C$46</c15:sqref>
                  </c15:fullRef>
                </c:ext>
              </c:extLst>
              <c:f>Milch!$A$3:$C$42</c:f>
              <c:multiLvlStrCache>
                <c:ptCount val="40"/>
                <c:lvl>
                  <c:pt idx="0">
                    <c:v>ER</c:v>
                  </c:pt>
                  <c:pt idx="1">
                    <c:v>E2</c:v>
                  </c:pt>
                  <c:pt idx="2">
                    <c:v>E3</c:v>
                  </c:pt>
                  <c:pt idx="3">
                    <c:v>E4</c:v>
                  </c:pt>
                  <c:pt idx="4">
                    <c:v>ER</c:v>
                  </c:pt>
                  <c:pt idx="5">
                    <c:v>E2</c:v>
                  </c:pt>
                  <c:pt idx="6">
                    <c:v>E3</c:v>
                  </c:pt>
                  <c:pt idx="7">
                    <c:v>E4</c:v>
                  </c:pt>
                  <c:pt idx="8">
                    <c:v>ER</c:v>
                  </c:pt>
                  <c:pt idx="9">
                    <c:v>E2</c:v>
                  </c:pt>
                  <c:pt idx="10">
                    <c:v>E3</c:v>
                  </c:pt>
                  <c:pt idx="11">
                    <c:v>E4</c:v>
                  </c:pt>
                  <c:pt idx="12">
                    <c:v>ER</c:v>
                  </c:pt>
                  <c:pt idx="13">
                    <c:v>E2</c:v>
                  </c:pt>
                  <c:pt idx="14">
                    <c:v>E3</c:v>
                  </c:pt>
                  <c:pt idx="15">
                    <c:v>E4</c:v>
                  </c:pt>
                  <c:pt idx="16">
                    <c:v>ER</c:v>
                  </c:pt>
                  <c:pt idx="17">
                    <c:v>E2</c:v>
                  </c:pt>
                  <c:pt idx="18">
                    <c:v>E3</c:v>
                  </c:pt>
                  <c:pt idx="19">
                    <c:v>E4</c:v>
                  </c:pt>
                  <c:pt idx="20">
                    <c:v>ER</c:v>
                  </c:pt>
                  <c:pt idx="21">
                    <c:v>E2</c:v>
                  </c:pt>
                  <c:pt idx="22">
                    <c:v>E3</c:v>
                  </c:pt>
                  <c:pt idx="23">
                    <c:v>E4</c:v>
                  </c:pt>
                  <c:pt idx="24">
                    <c:v>ER</c:v>
                  </c:pt>
                  <c:pt idx="25">
                    <c:v>E2</c:v>
                  </c:pt>
                  <c:pt idx="26">
                    <c:v>E3</c:v>
                  </c:pt>
                  <c:pt idx="27">
                    <c:v>E4</c:v>
                  </c:pt>
                  <c:pt idx="28">
                    <c:v>ER</c:v>
                  </c:pt>
                  <c:pt idx="29">
                    <c:v>E2</c:v>
                  </c:pt>
                  <c:pt idx="30">
                    <c:v>E3</c:v>
                  </c:pt>
                  <c:pt idx="31">
                    <c:v>E4</c:v>
                  </c:pt>
                  <c:pt idx="32">
                    <c:v>ER</c:v>
                  </c:pt>
                  <c:pt idx="33">
                    <c:v>E2</c:v>
                  </c:pt>
                  <c:pt idx="34">
                    <c:v>E3</c:v>
                  </c:pt>
                  <c:pt idx="35">
                    <c:v>E4</c:v>
                  </c:pt>
                  <c:pt idx="36">
                    <c:v>ER</c:v>
                  </c:pt>
                  <c:pt idx="37">
                    <c:v>E2</c:v>
                  </c:pt>
                  <c:pt idx="38">
                    <c:v>E3</c:v>
                  </c:pt>
                  <c:pt idx="39">
                    <c:v>E4</c:v>
                  </c:pt>
                </c:lvl>
                <c:lvl>
                  <c:pt idx="0">
                    <c:v>22.05.2023</c:v>
                  </c:pt>
                  <c:pt idx="4">
                    <c:v>26.05.2023</c:v>
                  </c:pt>
                  <c:pt idx="8">
                    <c:v>07.06.2023</c:v>
                  </c:pt>
                  <c:pt idx="12">
                    <c:v>28.06.2023</c:v>
                  </c:pt>
                  <c:pt idx="16">
                    <c:v>14.07.2023</c:v>
                  </c:pt>
                  <c:pt idx="20">
                    <c:v>17.07.2023</c:v>
                  </c:pt>
                  <c:pt idx="24">
                    <c:v>21.07.2023</c:v>
                  </c:pt>
                  <c:pt idx="28">
                    <c:v>02.08.2023</c:v>
                  </c:pt>
                  <c:pt idx="32">
                    <c:v>30.08.2023</c:v>
                  </c:pt>
                  <c:pt idx="36">
                    <c:v>04.10.2023</c:v>
                  </c:pt>
                </c:lvl>
                <c:lvl>
                  <c:pt idx="0">
                    <c:v>1</c:v>
                  </c:pt>
                  <c:pt idx="4">
                    <c:v>5</c:v>
                  </c:pt>
                  <c:pt idx="8">
                    <c:v>17</c:v>
                  </c:pt>
                  <c:pt idx="12">
                    <c:v>38</c:v>
                  </c:pt>
                  <c:pt idx="16">
                    <c:v>54</c:v>
                  </c:pt>
                  <c:pt idx="20">
                    <c:v>57</c:v>
                  </c:pt>
                  <c:pt idx="24">
                    <c:v>61</c:v>
                  </c:pt>
                  <c:pt idx="28">
                    <c:v>73</c:v>
                  </c:pt>
                  <c:pt idx="32">
                    <c:v>101</c:v>
                  </c:pt>
                  <c:pt idx="36">
                    <c:v>136</c:v>
                  </c:pt>
                </c:lvl>
              </c:multiLvlStrCache>
            </c:multiLvlStrRef>
          </c:cat>
          <c:val>
            <c:numRef>
              <c:extLst>
                <c:ext xmlns:c15="http://schemas.microsoft.com/office/drawing/2012/chart" uri="{02D57815-91ED-43cb-92C2-25804820EDAC}">
                  <c15:fullRef>
                    <c15:sqref>Milch!$AG$3:$AG$46</c15:sqref>
                  </c15:fullRef>
                </c:ext>
              </c:extLst>
              <c:f>Milch!$AG$3:$AG$42</c:f>
              <c:numCache>
                <c:formatCode>0.00</c:formatCode>
                <c:ptCount val="40"/>
                <c:pt idx="0">
                  <c:v>0</c:v>
                </c:pt>
                <c:pt idx="1">
                  <c:v>0</c:v>
                </c:pt>
                <c:pt idx="2">
                  <c:v>0</c:v>
                </c:pt>
                <c:pt idx="3">
                  <c:v>0</c:v>
                </c:pt>
                <c:pt idx="4">
                  <c:v>2.5311993405342993E-4</c:v>
                </c:pt>
                <c:pt idx="5">
                  <c:v>7.2705515071929752E-3</c:v>
                </c:pt>
                <c:pt idx="6">
                  <c:v>0</c:v>
                </c:pt>
                <c:pt idx="7">
                  <c:v>3.4423885011957045E-3</c:v>
                </c:pt>
                <c:pt idx="8">
                  <c:v>8.5536131385797205E-3</c:v>
                </c:pt>
                <c:pt idx="9">
                  <c:v>2.1826027513332701E-2</c:v>
                </c:pt>
                <c:pt idx="10">
                  <c:v>8.9858358554183899E-3</c:v>
                </c:pt>
                <c:pt idx="11">
                  <c:v>2.0624772184046E-2</c:v>
                </c:pt>
                <c:pt idx="12">
                  <c:v>4.1061283734182847E-3</c:v>
                </c:pt>
                <c:pt idx="13">
                  <c:v>7.25674669640593E-3</c:v>
                </c:pt>
                <c:pt idx="14">
                  <c:v>3.7563983423557854E-3</c:v>
                </c:pt>
                <c:pt idx="15">
                  <c:v>4.1850793143174197E-3</c:v>
                </c:pt>
                <c:pt idx="16">
                  <c:v>5.4402578086721054E-3</c:v>
                </c:pt>
                <c:pt idx="17">
                  <c:v>5.9538345705168003E-3</c:v>
                </c:pt>
                <c:pt idx="18">
                  <c:v>3.8033230321297099E-3</c:v>
                </c:pt>
                <c:pt idx="19">
                  <c:v>4.0379042680576396E-3</c:v>
                </c:pt>
                <c:pt idx="20">
                  <c:v>3.7385731472161549E-3</c:v>
                </c:pt>
                <c:pt idx="21">
                  <c:v>9.1619929053933548E-3</c:v>
                </c:pt>
                <c:pt idx="22">
                  <c:v>5.54031582668074E-3</c:v>
                </c:pt>
                <c:pt idx="23">
                  <c:v>5.1691841125675354E-3</c:v>
                </c:pt>
                <c:pt idx="24">
                  <c:v>2.4860203734637801E-3</c:v>
                </c:pt>
                <c:pt idx="25">
                  <c:v>0</c:v>
                </c:pt>
                <c:pt idx="26">
                  <c:v>0</c:v>
                </c:pt>
                <c:pt idx="27">
                  <c:v>0</c:v>
                </c:pt>
                <c:pt idx="28">
                  <c:v>2.7472453724883598E-4</c:v>
                </c:pt>
                <c:pt idx="29">
                  <c:v>0</c:v>
                </c:pt>
                <c:pt idx="30">
                  <c:v>0</c:v>
                </c:pt>
                <c:pt idx="31">
                  <c:v>0</c:v>
                </c:pt>
                <c:pt idx="32">
                  <c:v>0</c:v>
                </c:pt>
                <c:pt idx="33">
                  <c:v>0</c:v>
                </c:pt>
                <c:pt idx="34">
                  <c:v>0</c:v>
                </c:pt>
                <c:pt idx="35">
                  <c:v>0</c:v>
                </c:pt>
                <c:pt idx="36">
                  <c:v>0</c:v>
                </c:pt>
                <c:pt idx="37">
                  <c:v>0</c:v>
                </c:pt>
                <c:pt idx="38">
                  <c:v>0</c:v>
                </c:pt>
                <c:pt idx="39">
                  <c:v>0</c:v>
                </c:pt>
              </c:numCache>
            </c:numRef>
          </c:val>
          <c:extLst>
            <c:ext xmlns:c16="http://schemas.microsoft.com/office/drawing/2014/chart" uri="{C3380CC4-5D6E-409C-BE32-E72D297353CC}">
              <c16:uniqueId val="{0000001D-5BEA-48D3-A3D3-D8B808B005DA}"/>
            </c:ext>
          </c:extLst>
        </c:ser>
        <c:ser>
          <c:idx val="30"/>
          <c:order val="30"/>
          <c:tx>
            <c:strRef>
              <c:f>Milch!$AH$2</c:f>
              <c:strCache>
                <c:ptCount val="1"/>
                <c:pt idx="0">
                  <c:v>br-PFHxS</c:v>
                </c:pt>
              </c:strCache>
            </c:strRef>
          </c:tx>
          <c:spPr>
            <a:solidFill>
              <a:schemeClr val="accent1">
                <a:lumMod val="50000"/>
              </a:schemeClr>
            </a:solidFill>
            <a:ln>
              <a:noFill/>
            </a:ln>
            <a:effectLst/>
          </c:spPr>
          <c:invertIfNegative val="0"/>
          <c:cat>
            <c:multiLvlStrRef>
              <c:extLst>
                <c:ext xmlns:c15="http://schemas.microsoft.com/office/drawing/2012/chart" uri="{02D57815-91ED-43cb-92C2-25804820EDAC}">
                  <c15:fullRef>
                    <c15:sqref>Milch!$A$3:$C$46</c15:sqref>
                  </c15:fullRef>
                </c:ext>
              </c:extLst>
              <c:f>Milch!$A$3:$C$42</c:f>
              <c:multiLvlStrCache>
                <c:ptCount val="40"/>
                <c:lvl>
                  <c:pt idx="0">
                    <c:v>ER</c:v>
                  </c:pt>
                  <c:pt idx="1">
                    <c:v>E2</c:v>
                  </c:pt>
                  <c:pt idx="2">
                    <c:v>E3</c:v>
                  </c:pt>
                  <c:pt idx="3">
                    <c:v>E4</c:v>
                  </c:pt>
                  <c:pt idx="4">
                    <c:v>ER</c:v>
                  </c:pt>
                  <c:pt idx="5">
                    <c:v>E2</c:v>
                  </c:pt>
                  <c:pt idx="6">
                    <c:v>E3</c:v>
                  </c:pt>
                  <c:pt idx="7">
                    <c:v>E4</c:v>
                  </c:pt>
                  <c:pt idx="8">
                    <c:v>ER</c:v>
                  </c:pt>
                  <c:pt idx="9">
                    <c:v>E2</c:v>
                  </c:pt>
                  <c:pt idx="10">
                    <c:v>E3</c:v>
                  </c:pt>
                  <c:pt idx="11">
                    <c:v>E4</c:v>
                  </c:pt>
                  <c:pt idx="12">
                    <c:v>ER</c:v>
                  </c:pt>
                  <c:pt idx="13">
                    <c:v>E2</c:v>
                  </c:pt>
                  <c:pt idx="14">
                    <c:v>E3</c:v>
                  </c:pt>
                  <c:pt idx="15">
                    <c:v>E4</c:v>
                  </c:pt>
                  <c:pt idx="16">
                    <c:v>ER</c:v>
                  </c:pt>
                  <c:pt idx="17">
                    <c:v>E2</c:v>
                  </c:pt>
                  <c:pt idx="18">
                    <c:v>E3</c:v>
                  </c:pt>
                  <c:pt idx="19">
                    <c:v>E4</c:v>
                  </c:pt>
                  <c:pt idx="20">
                    <c:v>ER</c:v>
                  </c:pt>
                  <c:pt idx="21">
                    <c:v>E2</c:v>
                  </c:pt>
                  <c:pt idx="22">
                    <c:v>E3</c:v>
                  </c:pt>
                  <c:pt idx="23">
                    <c:v>E4</c:v>
                  </c:pt>
                  <c:pt idx="24">
                    <c:v>ER</c:v>
                  </c:pt>
                  <c:pt idx="25">
                    <c:v>E2</c:v>
                  </c:pt>
                  <c:pt idx="26">
                    <c:v>E3</c:v>
                  </c:pt>
                  <c:pt idx="27">
                    <c:v>E4</c:v>
                  </c:pt>
                  <c:pt idx="28">
                    <c:v>ER</c:v>
                  </c:pt>
                  <c:pt idx="29">
                    <c:v>E2</c:v>
                  </c:pt>
                  <c:pt idx="30">
                    <c:v>E3</c:v>
                  </c:pt>
                  <c:pt idx="31">
                    <c:v>E4</c:v>
                  </c:pt>
                  <c:pt idx="32">
                    <c:v>ER</c:v>
                  </c:pt>
                  <c:pt idx="33">
                    <c:v>E2</c:v>
                  </c:pt>
                  <c:pt idx="34">
                    <c:v>E3</c:v>
                  </c:pt>
                  <c:pt idx="35">
                    <c:v>E4</c:v>
                  </c:pt>
                  <c:pt idx="36">
                    <c:v>ER</c:v>
                  </c:pt>
                  <c:pt idx="37">
                    <c:v>E2</c:v>
                  </c:pt>
                  <c:pt idx="38">
                    <c:v>E3</c:v>
                  </c:pt>
                  <c:pt idx="39">
                    <c:v>E4</c:v>
                  </c:pt>
                </c:lvl>
                <c:lvl>
                  <c:pt idx="0">
                    <c:v>22.05.2023</c:v>
                  </c:pt>
                  <c:pt idx="4">
                    <c:v>26.05.2023</c:v>
                  </c:pt>
                  <c:pt idx="8">
                    <c:v>07.06.2023</c:v>
                  </c:pt>
                  <c:pt idx="12">
                    <c:v>28.06.2023</c:v>
                  </c:pt>
                  <c:pt idx="16">
                    <c:v>14.07.2023</c:v>
                  </c:pt>
                  <c:pt idx="20">
                    <c:v>17.07.2023</c:v>
                  </c:pt>
                  <c:pt idx="24">
                    <c:v>21.07.2023</c:v>
                  </c:pt>
                  <c:pt idx="28">
                    <c:v>02.08.2023</c:v>
                  </c:pt>
                  <c:pt idx="32">
                    <c:v>30.08.2023</c:v>
                  </c:pt>
                  <c:pt idx="36">
                    <c:v>04.10.2023</c:v>
                  </c:pt>
                </c:lvl>
                <c:lvl>
                  <c:pt idx="0">
                    <c:v>1</c:v>
                  </c:pt>
                  <c:pt idx="4">
                    <c:v>5</c:v>
                  </c:pt>
                  <c:pt idx="8">
                    <c:v>17</c:v>
                  </c:pt>
                  <c:pt idx="12">
                    <c:v>38</c:v>
                  </c:pt>
                  <c:pt idx="16">
                    <c:v>54</c:v>
                  </c:pt>
                  <c:pt idx="20">
                    <c:v>57</c:v>
                  </c:pt>
                  <c:pt idx="24">
                    <c:v>61</c:v>
                  </c:pt>
                  <c:pt idx="28">
                    <c:v>73</c:v>
                  </c:pt>
                  <c:pt idx="32">
                    <c:v>101</c:v>
                  </c:pt>
                  <c:pt idx="36">
                    <c:v>136</c:v>
                  </c:pt>
                </c:lvl>
              </c:multiLvlStrCache>
            </c:multiLvlStrRef>
          </c:cat>
          <c:val>
            <c:numRef>
              <c:extLst>
                <c:ext xmlns:c15="http://schemas.microsoft.com/office/drawing/2012/chart" uri="{02D57815-91ED-43cb-92C2-25804820EDAC}">
                  <c15:fullRef>
                    <c15:sqref>Milch!$AH$3:$AH$46</c15:sqref>
                  </c15:fullRef>
                </c:ext>
              </c:extLst>
              <c:f>Milch!$AH$3:$AH$42</c:f>
              <c:numCache>
                <c:formatCode>0.00</c:formatCode>
                <c:ptCount val="40"/>
                <c:pt idx="0">
                  <c:v>0</c:v>
                </c:pt>
                <c:pt idx="4">
                  <c:v>0</c:v>
                </c:pt>
                <c:pt idx="8">
                  <c:v>0</c:v>
                </c:pt>
                <c:pt idx="12">
                  <c:v>0</c:v>
                </c:pt>
                <c:pt idx="16">
                  <c:v>0</c:v>
                </c:pt>
                <c:pt idx="20">
                  <c:v>0</c:v>
                </c:pt>
                <c:pt idx="24">
                  <c:v>0</c:v>
                </c:pt>
                <c:pt idx="28">
                  <c:v>0</c:v>
                </c:pt>
                <c:pt idx="32">
                  <c:v>0</c:v>
                </c:pt>
                <c:pt idx="36">
                  <c:v>0</c:v>
                </c:pt>
              </c:numCache>
            </c:numRef>
          </c:val>
          <c:extLst>
            <c:ext xmlns:c16="http://schemas.microsoft.com/office/drawing/2014/chart" uri="{C3380CC4-5D6E-409C-BE32-E72D297353CC}">
              <c16:uniqueId val="{0000001E-5BEA-48D3-A3D3-D8B808B005DA}"/>
            </c:ext>
          </c:extLst>
        </c:ser>
        <c:ser>
          <c:idx val="31"/>
          <c:order val="31"/>
          <c:tx>
            <c:strRef>
              <c:f>Milch!$AI$2</c:f>
              <c:strCache>
                <c:ptCount val="1"/>
                <c:pt idx="0">
                  <c:v>br-PFHpS</c:v>
                </c:pt>
              </c:strCache>
            </c:strRef>
          </c:tx>
          <c:spPr>
            <a:solidFill>
              <a:schemeClr val="accent2">
                <a:lumMod val="50000"/>
              </a:schemeClr>
            </a:solidFill>
            <a:ln>
              <a:noFill/>
            </a:ln>
            <a:effectLst/>
          </c:spPr>
          <c:invertIfNegative val="0"/>
          <c:cat>
            <c:multiLvlStrRef>
              <c:extLst>
                <c:ext xmlns:c15="http://schemas.microsoft.com/office/drawing/2012/chart" uri="{02D57815-91ED-43cb-92C2-25804820EDAC}">
                  <c15:fullRef>
                    <c15:sqref>Milch!$A$3:$C$46</c15:sqref>
                  </c15:fullRef>
                </c:ext>
              </c:extLst>
              <c:f>Milch!$A$3:$C$42</c:f>
              <c:multiLvlStrCache>
                <c:ptCount val="40"/>
                <c:lvl>
                  <c:pt idx="0">
                    <c:v>ER</c:v>
                  </c:pt>
                  <c:pt idx="1">
                    <c:v>E2</c:v>
                  </c:pt>
                  <c:pt idx="2">
                    <c:v>E3</c:v>
                  </c:pt>
                  <c:pt idx="3">
                    <c:v>E4</c:v>
                  </c:pt>
                  <c:pt idx="4">
                    <c:v>ER</c:v>
                  </c:pt>
                  <c:pt idx="5">
                    <c:v>E2</c:v>
                  </c:pt>
                  <c:pt idx="6">
                    <c:v>E3</c:v>
                  </c:pt>
                  <c:pt idx="7">
                    <c:v>E4</c:v>
                  </c:pt>
                  <c:pt idx="8">
                    <c:v>ER</c:v>
                  </c:pt>
                  <c:pt idx="9">
                    <c:v>E2</c:v>
                  </c:pt>
                  <c:pt idx="10">
                    <c:v>E3</c:v>
                  </c:pt>
                  <c:pt idx="11">
                    <c:v>E4</c:v>
                  </c:pt>
                  <c:pt idx="12">
                    <c:v>ER</c:v>
                  </c:pt>
                  <c:pt idx="13">
                    <c:v>E2</c:v>
                  </c:pt>
                  <c:pt idx="14">
                    <c:v>E3</c:v>
                  </c:pt>
                  <c:pt idx="15">
                    <c:v>E4</c:v>
                  </c:pt>
                  <c:pt idx="16">
                    <c:v>ER</c:v>
                  </c:pt>
                  <c:pt idx="17">
                    <c:v>E2</c:v>
                  </c:pt>
                  <c:pt idx="18">
                    <c:v>E3</c:v>
                  </c:pt>
                  <c:pt idx="19">
                    <c:v>E4</c:v>
                  </c:pt>
                  <c:pt idx="20">
                    <c:v>ER</c:v>
                  </c:pt>
                  <c:pt idx="21">
                    <c:v>E2</c:v>
                  </c:pt>
                  <c:pt idx="22">
                    <c:v>E3</c:v>
                  </c:pt>
                  <c:pt idx="23">
                    <c:v>E4</c:v>
                  </c:pt>
                  <c:pt idx="24">
                    <c:v>ER</c:v>
                  </c:pt>
                  <c:pt idx="25">
                    <c:v>E2</c:v>
                  </c:pt>
                  <c:pt idx="26">
                    <c:v>E3</c:v>
                  </c:pt>
                  <c:pt idx="27">
                    <c:v>E4</c:v>
                  </c:pt>
                  <c:pt idx="28">
                    <c:v>ER</c:v>
                  </c:pt>
                  <c:pt idx="29">
                    <c:v>E2</c:v>
                  </c:pt>
                  <c:pt idx="30">
                    <c:v>E3</c:v>
                  </c:pt>
                  <c:pt idx="31">
                    <c:v>E4</c:v>
                  </c:pt>
                  <c:pt idx="32">
                    <c:v>ER</c:v>
                  </c:pt>
                  <c:pt idx="33">
                    <c:v>E2</c:v>
                  </c:pt>
                  <c:pt idx="34">
                    <c:v>E3</c:v>
                  </c:pt>
                  <c:pt idx="35">
                    <c:v>E4</c:v>
                  </c:pt>
                  <c:pt idx="36">
                    <c:v>ER</c:v>
                  </c:pt>
                  <c:pt idx="37">
                    <c:v>E2</c:v>
                  </c:pt>
                  <c:pt idx="38">
                    <c:v>E3</c:v>
                  </c:pt>
                  <c:pt idx="39">
                    <c:v>E4</c:v>
                  </c:pt>
                </c:lvl>
                <c:lvl>
                  <c:pt idx="0">
                    <c:v>22.05.2023</c:v>
                  </c:pt>
                  <c:pt idx="4">
                    <c:v>26.05.2023</c:v>
                  </c:pt>
                  <c:pt idx="8">
                    <c:v>07.06.2023</c:v>
                  </c:pt>
                  <c:pt idx="12">
                    <c:v>28.06.2023</c:v>
                  </c:pt>
                  <c:pt idx="16">
                    <c:v>14.07.2023</c:v>
                  </c:pt>
                  <c:pt idx="20">
                    <c:v>17.07.2023</c:v>
                  </c:pt>
                  <c:pt idx="24">
                    <c:v>21.07.2023</c:v>
                  </c:pt>
                  <c:pt idx="28">
                    <c:v>02.08.2023</c:v>
                  </c:pt>
                  <c:pt idx="32">
                    <c:v>30.08.2023</c:v>
                  </c:pt>
                  <c:pt idx="36">
                    <c:v>04.10.2023</c:v>
                  </c:pt>
                </c:lvl>
                <c:lvl>
                  <c:pt idx="0">
                    <c:v>1</c:v>
                  </c:pt>
                  <c:pt idx="4">
                    <c:v>5</c:v>
                  </c:pt>
                  <c:pt idx="8">
                    <c:v>17</c:v>
                  </c:pt>
                  <c:pt idx="12">
                    <c:v>38</c:v>
                  </c:pt>
                  <c:pt idx="16">
                    <c:v>54</c:v>
                  </c:pt>
                  <c:pt idx="20">
                    <c:v>57</c:v>
                  </c:pt>
                  <c:pt idx="24">
                    <c:v>61</c:v>
                  </c:pt>
                  <c:pt idx="28">
                    <c:v>73</c:v>
                  </c:pt>
                  <c:pt idx="32">
                    <c:v>101</c:v>
                  </c:pt>
                  <c:pt idx="36">
                    <c:v>136</c:v>
                  </c:pt>
                </c:lvl>
              </c:multiLvlStrCache>
            </c:multiLvlStrRef>
          </c:cat>
          <c:val>
            <c:numRef>
              <c:extLst>
                <c:ext xmlns:c15="http://schemas.microsoft.com/office/drawing/2012/chart" uri="{02D57815-91ED-43cb-92C2-25804820EDAC}">
                  <c15:fullRef>
                    <c15:sqref>Milch!$AI$3:$AI$46</c15:sqref>
                  </c15:fullRef>
                </c:ext>
              </c:extLst>
              <c:f>Milch!$AI$3:$AI$42</c:f>
              <c:numCache>
                <c:formatCode>0.00</c:formatCode>
                <c:ptCount val="40"/>
                <c:pt idx="0">
                  <c:v>0</c:v>
                </c:pt>
                <c:pt idx="4">
                  <c:v>0</c:v>
                </c:pt>
                <c:pt idx="8">
                  <c:v>0</c:v>
                </c:pt>
                <c:pt idx="12">
                  <c:v>0</c:v>
                </c:pt>
                <c:pt idx="16">
                  <c:v>0</c:v>
                </c:pt>
                <c:pt idx="20">
                  <c:v>0</c:v>
                </c:pt>
                <c:pt idx="24">
                  <c:v>0</c:v>
                </c:pt>
                <c:pt idx="28">
                  <c:v>0</c:v>
                </c:pt>
                <c:pt idx="32">
                  <c:v>0</c:v>
                </c:pt>
                <c:pt idx="36">
                  <c:v>0</c:v>
                </c:pt>
              </c:numCache>
            </c:numRef>
          </c:val>
          <c:extLst>
            <c:ext xmlns:c16="http://schemas.microsoft.com/office/drawing/2014/chart" uri="{C3380CC4-5D6E-409C-BE32-E72D297353CC}">
              <c16:uniqueId val="{0000001F-5BEA-48D3-A3D3-D8B808B005DA}"/>
            </c:ext>
          </c:extLst>
        </c:ser>
        <c:ser>
          <c:idx val="32"/>
          <c:order val="32"/>
          <c:tx>
            <c:strRef>
              <c:f>Milch!$AJ$2</c:f>
              <c:strCache>
                <c:ptCount val="1"/>
                <c:pt idx="0">
                  <c:v>br-PFOS </c:v>
                </c:pt>
              </c:strCache>
            </c:strRef>
          </c:tx>
          <c:spPr>
            <a:solidFill>
              <a:schemeClr val="accent3">
                <a:lumMod val="50000"/>
              </a:schemeClr>
            </a:solidFill>
            <a:ln>
              <a:noFill/>
            </a:ln>
            <a:effectLst/>
          </c:spPr>
          <c:invertIfNegative val="0"/>
          <c:cat>
            <c:multiLvlStrRef>
              <c:extLst>
                <c:ext xmlns:c15="http://schemas.microsoft.com/office/drawing/2012/chart" uri="{02D57815-91ED-43cb-92C2-25804820EDAC}">
                  <c15:fullRef>
                    <c15:sqref>Milch!$A$3:$C$46</c15:sqref>
                  </c15:fullRef>
                </c:ext>
              </c:extLst>
              <c:f>Milch!$A$3:$C$42</c:f>
              <c:multiLvlStrCache>
                <c:ptCount val="40"/>
                <c:lvl>
                  <c:pt idx="0">
                    <c:v>ER</c:v>
                  </c:pt>
                  <c:pt idx="1">
                    <c:v>E2</c:v>
                  </c:pt>
                  <c:pt idx="2">
                    <c:v>E3</c:v>
                  </c:pt>
                  <c:pt idx="3">
                    <c:v>E4</c:v>
                  </c:pt>
                  <c:pt idx="4">
                    <c:v>ER</c:v>
                  </c:pt>
                  <c:pt idx="5">
                    <c:v>E2</c:v>
                  </c:pt>
                  <c:pt idx="6">
                    <c:v>E3</c:v>
                  </c:pt>
                  <c:pt idx="7">
                    <c:v>E4</c:v>
                  </c:pt>
                  <c:pt idx="8">
                    <c:v>ER</c:v>
                  </c:pt>
                  <c:pt idx="9">
                    <c:v>E2</c:v>
                  </c:pt>
                  <c:pt idx="10">
                    <c:v>E3</c:v>
                  </c:pt>
                  <c:pt idx="11">
                    <c:v>E4</c:v>
                  </c:pt>
                  <c:pt idx="12">
                    <c:v>ER</c:v>
                  </c:pt>
                  <c:pt idx="13">
                    <c:v>E2</c:v>
                  </c:pt>
                  <c:pt idx="14">
                    <c:v>E3</c:v>
                  </c:pt>
                  <c:pt idx="15">
                    <c:v>E4</c:v>
                  </c:pt>
                  <c:pt idx="16">
                    <c:v>ER</c:v>
                  </c:pt>
                  <c:pt idx="17">
                    <c:v>E2</c:v>
                  </c:pt>
                  <c:pt idx="18">
                    <c:v>E3</c:v>
                  </c:pt>
                  <c:pt idx="19">
                    <c:v>E4</c:v>
                  </c:pt>
                  <c:pt idx="20">
                    <c:v>ER</c:v>
                  </c:pt>
                  <c:pt idx="21">
                    <c:v>E2</c:v>
                  </c:pt>
                  <c:pt idx="22">
                    <c:v>E3</c:v>
                  </c:pt>
                  <c:pt idx="23">
                    <c:v>E4</c:v>
                  </c:pt>
                  <c:pt idx="24">
                    <c:v>ER</c:v>
                  </c:pt>
                  <c:pt idx="25">
                    <c:v>E2</c:v>
                  </c:pt>
                  <c:pt idx="26">
                    <c:v>E3</c:v>
                  </c:pt>
                  <c:pt idx="27">
                    <c:v>E4</c:v>
                  </c:pt>
                  <c:pt idx="28">
                    <c:v>ER</c:v>
                  </c:pt>
                  <c:pt idx="29">
                    <c:v>E2</c:v>
                  </c:pt>
                  <c:pt idx="30">
                    <c:v>E3</c:v>
                  </c:pt>
                  <c:pt idx="31">
                    <c:v>E4</c:v>
                  </c:pt>
                  <c:pt idx="32">
                    <c:v>ER</c:v>
                  </c:pt>
                  <c:pt idx="33">
                    <c:v>E2</c:v>
                  </c:pt>
                  <c:pt idx="34">
                    <c:v>E3</c:v>
                  </c:pt>
                  <c:pt idx="35">
                    <c:v>E4</c:v>
                  </c:pt>
                  <c:pt idx="36">
                    <c:v>ER</c:v>
                  </c:pt>
                  <c:pt idx="37">
                    <c:v>E2</c:v>
                  </c:pt>
                  <c:pt idx="38">
                    <c:v>E3</c:v>
                  </c:pt>
                  <c:pt idx="39">
                    <c:v>E4</c:v>
                  </c:pt>
                </c:lvl>
                <c:lvl>
                  <c:pt idx="0">
                    <c:v>22.05.2023</c:v>
                  </c:pt>
                  <c:pt idx="4">
                    <c:v>26.05.2023</c:v>
                  </c:pt>
                  <c:pt idx="8">
                    <c:v>07.06.2023</c:v>
                  </c:pt>
                  <c:pt idx="12">
                    <c:v>28.06.2023</c:v>
                  </c:pt>
                  <c:pt idx="16">
                    <c:v>14.07.2023</c:v>
                  </c:pt>
                  <c:pt idx="20">
                    <c:v>17.07.2023</c:v>
                  </c:pt>
                  <c:pt idx="24">
                    <c:v>21.07.2023</c:v>
                  </c:pt>
                  <c:pt idx="28">
                    <c:v>02.08.2023</c:v>
                  </c:pt>
                  <c:pt idx="32">
                    <c:v>30.08.2023</c:v>
                  </c:pt>
                  <c:pt idx="36">
                    <c:v>04.10.2023</c:v>
                  </c:pt>
                </c:lvl>
                <c:lvl>
                  <c:pt idx="0">
                    <c:v>1</c:v>
                  </c:pt>
                  <c:pt idx="4">
                    <c:v>5</c:v>
                  </c:pt>
                  <c:pt idx="8">
                    <c:v>17</c:v>
                  </c:pt>
                  <c:pt idx="12">
                    <c:v>38</c:v>
                  </c:pt>
                  <c:pt idx="16">
                    <c:v>54</c:v>
                  </c:pt>
                  <c:pt idx="20">
                    <c:v>57</c:v>
                  </c:pt>
                  <c:pt idx="24">
                    <c:v>61</c:v>
                  </c:pt>
                  <c:pt idx="28">
                    <c:v>73</c:v>
                  </c:pt>
                  <c:pt idx="32">
                    <c:v>101</c:v>
                  </c:pt>
                  <c:pt idx="36">
                    <c:v>136</c:v>
                  </c:pt>
                </c:lvl>
              </c:multiLvlStrCache>
            </c:multiLvlStrRef>
          </c:cat>
          <c:val>
            <c:numRef>
              <c:extLst>
                <c:ext xmlns:c15="http://schemas.microsoft.com/office/drawing/2012/chart" uri="{02D57815-91ED-43cb-92C2-25804820EDAC}">
                  <c15:fullRef>
                    <c15:sqref>Milch!$AJ$3:$AJ$46</c15:sqref>
                  </c15:fullRef>
                </c:ext>
              </c:extLst>
              <c:f>Milch!$AJ$3:$AJ$42</c:f>
              <c:numCache>
                <c:formatCode>0.00</c:formatCode>
                <c:ptCount val="40"/>
                <c:pt idx="0">
                  <c:v>0</c:v>
                </c:pt>
                <c:pt idx="1">
                  <c:v>0</c:v>
                </c:pt>
                <c:pt idx="2">
                  <c:v>0</c:v>
                </c:pt>
                <c:pt idx="3">
                  <c:v>0</c:v>
                </c:pt>
                <c:pt idx="4">
                  <c:v>7.5652293876605353E-2</c:v>
                </c:pt>
                <c:pt idx="5">
                  <c:v>0.29225129548985251</c:v>
                </c:pt>
                <c:pt idx="6">
                  <c:v>9.6911218567987956E-2</c:v>
                </c:pt>
                <c:pt idx="7">
                  <c:v>0.1020955943800058</c:v>
                </c:pt>
                <c:pt idx="8">
                  <c:v>0.5271159560327765</c:v>
                </c:pt>
                <c:pt idx="9">
                  <c:v>1.5371696030902051</c:v>
                </c:pt>
                <c:pt idx="10">
                  <c:v>0.56839127645739351</c:v>
                </c:pt>
                <c:pt idx="11">
                  <c:v>1.352204809328623</c:v>
                </c:pt>
                <c:pt idx="12">
                  <c:v>1.2012360518197391</c:v>
                </c:pt>
                <c:pt idx="13">
                  <c:v>3.6083164488543149</c:v>
                </c:pt>
                <c:pt idx="14">
                  <c:v>1.1008016120363979</c:v>
                </c:pt>
                <c:pt idx="15">
                  <c:v>2.5499455529131549</c:v>
                </c:pt>
                <c:pt idx="16">
                  <c:v>1.679655877338335</c:v>
                </c:pt>
                <c:pt idx="17">
                  <c:v>3.0735573316915996</c:v>
                </c:pt>
                <c:pt idx="18">
                  <c:v>2.1194320797102799</c:v>
                </c:pt>
                <c:pt idx="19">
                  <c:v>2.6612097195616151</c:v>
                </c:pt>
                <c:pt idx="20">
                  <c:v>1.8231924434099951</c:v>
                </c:pt>
                <c:pt idx="21">
                  <c:v>2.9442522834545</c:v>
                </c:pt>
                <c:pt idx="22">
                  <c:v>1.65836114027338</c:v>
                </c:pt>
                <c:pt idx="23">
                  <c:v>3.1979796473763047</c:v>
                </c:pt>
                <c:pt idx="24">
                  <c:v>1.0538351666258445</c:v>
                </c:pt>
                <c:pt idx="25">
                  <c:v>1.7231841699515049</c:v>
                </c:pt>
                <c:pt idx="26">
                  <c:v>0.95341610203079863</c:v>
                </c:pt>
                <c:pt idx="27">
                  <c:v>2.2680279850904399</c:v>
                </c:pt>
                <c:pt idx="28">
                  <c:v>1.171686828231733</c:v>
                </c:pt>
                <c:pt idx="29">
                  <c:v>2.3881332068912449</c:v>
                </c:pt>
                <c:pt idx="30">
                  <c:v>1.4073035400056957</c:v>
                </c:pt>
                <c:pt idx="31">
                  <c:v>2.0896429665309353</c:v>
                </c:pt>
                <c:pt idx="32">
                  <c:v>0.69042389068732601</c:v>
                </c:pt>
                <c:pt idx="33">
                  <c:v>1.2976625875356427</c:v>
                </c:pt>
                <c:pt idx="34">
                  <c:v>0.78769269937306508</c:v>
                </c:pt>
                <c:pt idx="35">
                  <c:v>0.88592468420688097</c:v>
                </c:pt>
                <c:pt idx="36">
                  <c:v>0.4142904208661955</c:v>
                </c:pt>
                <c:pt idx="37">
                  <c:v>0.32932262975871651</c:v>
                </c:pt>
                <c:pt idx="38">
                  <c:v>0.19610509704915949</c:v>
                </c:pt>
                <c:pt idx="39">
                  <c:v>0.28952015306655648</c:v>
                </c:pt>
              </c:numCache>
            </c:numRef>
          </c:val>
          <c:extLst>
            <c:ext xmlns:c16="http://schemas.microsoft.com/office/drawing/2014/chart" uri="{C3380CC4-5D6E-409C-BE32-E72D297353CC}">
              <c16:uniqueId val="{00000020-5BEA-48D3-A3D3-D8B808B005DA}"/>
            </c:ext>
          </c:extLst>
        </c:ser>
        <c:ser>
          <c:idx val="33"/>
          <c:order val="33"/>
          <c:tx>
            <c:strRef>
              <c:f>Milch!$AK$2</c:f>
              <c:strCache>
                <c:ptCount val="1"/>
                <c:pt idx="0">
                  <c:v>br-PFNS </c:v>
                </c:pt>
              </c:strCache>
            </c:strRef>
          </c:tx>
          <c:spPr>
            <a:solidFill>
              <a:schemeClr val="accent4">
                <a:lumMod val="50000"/>
              </a:schemeClr>
            </a:solidFill>
            <a:ln>
              <a:noFill/>
            </a:ln>
            <a:effectLst/>
          </c:spPr>
          <c:invertIfNegative val="0"/>
          <c:cat>
            <c:multiLvlStrRef>
              <c:extLst>
                <c:ext xmlns:c15="http://schemas.microsoft.com/office/drawing/2012/chart" uri="{02D57815-91ED-43cb-92C2-25804820EDAC}">
                  <c15:fullRef>
                    <c15:sqref>Milch!$A$3:$C$46</c15:sqref>
                  </c15:fullRef>
                </c:ext>
              </c:extLst>
              <c:f>Milch!$A$3:$C$42</c:f>
              <c:multiLvlStrCache>
                <c:ptCount val="40"/>
                <c:lvl>
                  <c:pt idx="0">
                    <c:v>ER</c:v>
                  </c:pt>
                  <c:pt idx="1">
                    <c:v>E2</c:v>
                  </c:pt>
                  <c:pt idx="2">
                    <c:v>E3</c:v>
                  </c:pt>
                  <c:pt idx="3">
                    <c:v>E4</c:v>
                  </c:pt>
                  <c:pt idx="4">
                    <c:v>ER</c:v>
                  </c:pt>
                  <c:pt idx="5">
                    <c:v>E2</c:v>
                  </c:pt>
                  <c:pt idx="6">
                    <c:v>E3</c:v>
                  </c:pt>
                  <c:pt idx="7">
                    <c:v>E4</c:v>
                  </c:pt>
                  <c:pt idx="8">
                    <c:v>ER</c:v>
                  </c:pt>
                  <c:pt idx="9">
                    <c:v>E2</c:v>
                  </c:pt>
                  <c:pt idx="10">
                    <c:v>E3</c:v>
                  </c:pt>
                  <c:pt idx="11">
                    <c:v>E4</c:v>
                  </c:pt>
                  <c:pt idx="12">
                    <c:v>ER</c:v>
                  </c:pt>
                  <c:pt idx="13">
                    <c:v>E2</c:v>
                  </c:pt>
                  <c:pt idx="14">
                    <c:v>E3</c:v>
                  </c:pt>
                  <c:pt idx="15">
                    <c:v>E4</c:v>
                  </c:pt>
                  <c:pt idx="16">
                    <c:v>ER</c:v>
                  </c:pt>
                  <c:pt idx="17">
                    <c:v>E2</c:v>
                  </c:pt>
                  <c:pt idx="18">
                    <c:v>E3</c:v>
                  </c:pt>
                  <c:pt idx="19">
                    <c:v>E4</c:v>
                  </c:pt>
                  <c:pt idx="20">
                    <c:v>ER</c:v>
                  </c:pt>
                  <c:pt idx="21">
                    <c:v>E2</c:v>
                  </c:pt>
                  <c:pt idx="22">
                    <c:v>E3</c:v>
                  </c:pt>
                  <c:pt idx="23">
                    <c:v>E4</c:v>
                  </c:pt>
                  <c:pt idx="24">
                    <c:v>ER</c:v>
                  </c:pt>
                  <c:pt idx="25">
                    <c:v>E2</c:v>
                  </c:pt>
                  <c:pt idx="26">
                    <c:v>E3</c:v>
                  </c:pt>
                  <c:pt idx="27">
                    <c:v>E4</c:v>
                  </c:pt>
                  <c:pt idx="28">
                    <c:v>ER</c:v>
                  </c:pt>
                  <c:pt idx="29">
                    <c:v>E2</c:v>
                  </c:pt>
                  <c:pt idx="30">
                    <c:v>E3</c:v>
                  </c:pt>
                  <c:pt idx="31">
                    <c:v>E4</c:v>
                  </c:pt>
                  <c:pt idx="32">
                    <c:v>ER</c:v>
                  </c:pt>
                  <c:pt idx="33">
                    <c:v>E2</c:v>
                  </c:pt>
                  <c:pt idx="34">
                    <c:v>E3</c:v>
                  </c:pt>
                  <c:pt idx="35">
                    <c:v>E4</c:v>
                  </c:pt>
                  <c:pt idx="36">
                    <c:v>ER</c:v>
                  </c:pt>
                  <c:pt idx="37">
                    <c:v>E2</c:v>
                  </c:pt>
                  <c:pt idx="38">
                    <c:v>E3</c:v>
                  </c:pt>
                  <c:pt idx="39">
                    <c:v>E4</c:v>
                  </c:pt>
                </c:lvl>
                <c:lvl>
                  <c:pt idx="0">
                    <c:v>22.05.2023</c:v>
                  </c:pt>
                  <c:pt idx="4">
                    <c:v>26.05.2023</c:v>
                  </c:pt>
                  <c:pt idx="8">
                    <c:v>07.06.2023</c:v>
                  </c:pt>
                  <c:pt idx="12">
                    <c:v>28.06.2023</c:v>
                  </c:pt>
                  <c:pt idx="16">
                    <c:v>14.07.2023</c:v>
                  </c:pt>
                  <c:pt idx="20">
                    <c:v>17.07.2023</c:v>
                  </c:pt>
                  <c:pt idx="24">
                    <c:v>21.07.2023</c:v>
                  </c:pt>
                  <c:pt idx="28">
                    <c:v>02.08.2023</c:v>
                  </c:pt>
                  <c:pt idx="32">
                    <c:v>30.08.2023</c:v>
                  </c:pt>
                  <c:pt idx="36">
                    <c:v>04.10.2023</c:v>
                  </c:pt>
                </c:lvl>
                <c:lvl>
                  <c:pt idx="0">
                    <c:v>1</c:v>
                  </c:pt>
                  <c:pt idx="4">
                    <c:v>5</c:v>
                  </c:pt>
                  <c:pt idx="8">
                    <c:v>17</c:v>
                  </c:pt>
                  <c:pt idx="12">
                    <c:v>38</c:v>
                  </c:pt>
                  <c:pt idx="16">
                    <c:v>54</c:v>
                  </c:pt>
                  <c:pt idx="20">
                    <c:v>57</c:v>
                  </c:pt>
                  <c:pt idx="24">
                    <c:v>61</c:v>
                  </c:pt>
                  <c:pt idx="28">
                    <c:v>73</c:v>
                  </c:pt>
                  <c:pt idx="32">
                    <c:v>101</c:v>
                  </c:pt>
                  <c:pt idx="36">
                    <c:v>136</c:v>
                  </c:pt>
                </c:lvl>
              </c:multiLvlStrCache>
            </c:multiLvlStrRef>
          </c:cat>
          <c:val>
            <c:numRef>
              <c:extLst>
                <c:ext xmlns:c15="http://schemas.microsoft.com/office/drawing/2012/chart" uri="{02D57815-91ED-43cb-92C2-25804820EDAC}">
                  <c15:fullRef>
                    <c15:sqref>Milch!$AK$3:$AK$46</c15:sqref>
                  </c15:fullRef>
                </c:ext>
              </c:extLst>
              <c:f>Milch!$AK$3:$AK$42</c:f>
              <c:numCache>
                <c:formatCode>0.00</c:formatCode>
                <c:ptCount val="40"/>
                <c:pt idx="0">
                  <c:v>0</c:v>
                </c:pt>
                <c:pt idx="1">
                  <c:v>0</c:v>
                </c:pt>
                <c:pt idx="2">
                  <c:v>0</c:v>
                </c:pt>
                <c:pt idx="3">
                  <c:v>0</c:v>
                </c:pt>
                <c:pt idx="4">
                  <c:v>5.4933853295788447E-2</c:v>
                </c:pt>
                <c:pt idx="5">
                  <c:v>1.9363650390547249</c:v>
                </c:pt>
                <c:pt idx="6">
                  <c:v>0.51672229362191902</c:v>
                </c:pt>
                <c:pt idx="7">
                  <c:v>0.7176094132707479</c:v>
                </c:pt>
                <c:pt idx="8">
                  <c:v>5.4549801313517747</c:v>
                </c:pt>
                <c:pt idx="9">
                  <c:v>15.305735766819165</c:v>
                </c:pt>
                <c:pt idx="10">
                  <c:v>5.5625440524280751</c:v>
                </c:pt>
                <c:pt idx="11">
                  <c:v>14.213042037467297</c:v>
                </c:pt>
                <c:pt idx="12">
                  <c:v>11.345965384444105</c:v>
                </c:pt>
                <c:pt idx="13">
                  <c:v>33.651710510482957</c:v>
                </c:pt>
                <c:pt idx="14">
                  <c:v>9.5342121756762701</c:v>
                </c:pt>
                <c:pt idx="15">
                  <c:v>22.284176851409452</c:v>
                </c:pt>
                <c:pt idx="16">
                  <c:v>16.490106032230401</c:v>
                </c:pt>
                <c:pt idx="17">
                  <c:v>23.785474489897851</c:v>
                </c:pt>
                <c:pt idx="18">
                  <c:v>16.62543272970435</c:v>
                </c:pt>
                <c:pt idx="19">
                  <c:v>20.253202493795552</c:v>
                </c:pt>
                <c:pt idx="20">
                  <c:v>19.9097810804552</c:v>
                </c:pt>
                <c:pt idx="21">
                  <c:v>27.188591933462348</c:v>
                </c:pt>
                <c:pt idx="22">
                  <c:v>16.292055578649645</c:v>
                </c:pt>
                <c:pt idx="23">
                  <c:v>29.309853383363198</c:v>
                </c:pt>
                <c:pt idx="24">
                  <c:v>10.61211932864016</c:v>
                </c:pt>
                <c:pt idx="25">
                  <c:v>15.281134002037867</c:v>
                </c:pt>
                <c:pt idx="26">
                  <c:v>7.9153806574561951</c:v>
                </c:pt>
                <c:pt idx="27">
                  <c:v>19.572238609274848</c:v>
                </c:pt>
                <c:pt idx="28">
                  <c:v>11.763948746280946</c:v>
                </c:pt>
                <c:pt idx="29">
                  <c:v>20.158448759353902</c:v>
                </c:pt>
                <c:pt idx="30">
                  <c:v>12.586343440270456</c:v>
                </c:pt>
                <c:pt idx="31">
                  <c:v>16.322715929944025</c:v>
                </c:pt>
                <c:pt idx="32">
                  <c:v>5.8942590030385551</c:v>
                </c:pt>
                <c:pt idx="33">
                  <c:v>8.8558332393421288</c:v>
                </c:pt>
                <c:pt idx="34">
                  <c:v>5.4782715646642597</c:v>
                </c:pt>
                <c:pt idx="35">
                  <c:v>5.6124561946575851</c:v>
                </c:pt>
                <c:pt idx="36">
                  <c:v>2.0490848437615483</c:v>
                </c:pt>
                <c:pt idx="37">
                  <c:v>1.1892258082976046</c:v>
                </c:pt>
                <c:pt idx="38">
                  <c:v>0.69050413101985186</c:v>
                </c:pt>
                <c:pt idx="39">
                  <c:v>1.2477246235215405</c:v>
                </c:pt>
              </c:numCache>
            </c:numRef>
          </c:val>
          <c:extLst>
            <c:ext xmlns:c16="http://schemas.microsoft.com/office/drawing/2014/chart" uri="{C3380CC4-5D6E-409C-BE32-E72D297353CC}">
              <c16:uniqueId val="{00000021-5BEA-48D3-A3D3-D8B808B005DA}"/>
            </c:ext>
          </c:extLst>
        </c:ser>
        <c:ser>
          <c:idx val="34"/>
          <c:order val="34"/>
          <c:tx>
            <c:strRef>
              <c:f>Milch!$AL$2</c:f>
              <c:strCache>
                <c:ptCount val="1"/>
                <c:pt idx="0">
                  <c:v>br-PFDS </c:v>
                </c:pt>
              </c:strCache>
            </c:strRef>
          </c:tx>
          <c:spPr>
            <a:solidFill>
              <a:schemeClr val="accent5">
                <a:lumMod val="50000"/>
              </a:schemeClr>
            </a:solidFill>
            <a:ln>
              <a:noFill/>
            </a:ln>
            <a:effectLst/>
          </c:spPr>
          <c:invertIfNegative val="0"/>
          <c:cat>
            <c:multiLvlStrRef>
              <c:extLst>
                <c:ext xmlns:c15="http://schemas.microsoft.com/office/drawing/2012/chart" uri="{02D57815-91ED-43cb-92C2-25804820EDAC}">
                  <c15:fullRef>
                    <c15:sqref>Milch!$A$3:$C$46</c15:sqref>
                  </c15:fullRef>
                </c:ext>
              </c:extLst>
              <c:f>Milch!$A$3:$C$42</c:f>
              <c:multiLvlStrCache>
                <c:ptCount val="40"/>
                <c:lvl>
                  <c:pt idx="0">
                    <c:v>ER</c:v>
                  </c:pt>
                  <c:pt idx="1">
                    <c:v>E2</c:v>
                  </c:pt>
                  <c:pt idx="2">
                    <c:v>E3</c:v>
                  </c:pt>
                  <c:pt idx="3">
                    <c:v>E4</c:v>
                  </c:pt>
                  <c:pt idx="4">
                    <c:v>ER</c:v>
                  </c:pt>
                  <c:pt idx="5">
                    <c:v>E2</c:v>
                  </c:pt>
                  <c:pt idx="6">
                    <c:v>E3</c:v>
                  </c:pt>
                  <c:pt idx="7">
                    <c:v>E4</c:v>
                  </c:pt>
                  <c:pt idx="8">
                    <c:v>ER</c:v>
                  </c:pt>
                  <c:pt idx="9">
                    <c:v>E2</c:v>
                  </c:pt>
                  <c:pt idx="10">
                    <c:v>E3</c:v>
                  </c:pt>
                  <c:pt idx="11">
                    <c:v>E4</c:v>
                  </c:pt>
                  <c:pt idx="12">
                    <c:v>ER</c:v>
                  </c:pt>
                  <c:pt idx="13">
                    <c:v>E2</c:v>
                  </c:pt>
                  <c:pt idx="14">
                    <c:v>E3</c:v>
                  </c:pt>
                  <c:pt idx="15">
                    <c:v>E4</c:v>
                  </c:pt>
                  <c:pt idx="16">
                    <c:v>ER</c:v>
                  </c:pt>
                  <c:pt idx="17">
                    <c:v>E2</c:v>
                  </c:pt>
                  <c:pt idx="18">
                    <c:v>E3</c:v>
                  </c:pt>
                  <c:pt idx="19">
                    <c:v>E4</c:v>
                  </c:pt>
                  <c:pt idx="20">
                    <c:v>ER</c:v>
                  </c:pt>
                  <c:pt idx="21">
                    <c:v>E2</c:v>
                  </c:pt>
                  <c:pt idx="22">
                    <c:v>E3</c:v>
                  </c:pt>
                  <c:pt idx="23">
                    <c:v>E4</c:v>
                  </c:pt>
                  <c:pt idx="24">
                    <c:v>ER</c:v>
                  </c:pt>
                  <c:pt idx="25">
                    <c:v>E2</c:v>
                  </c:pt>
                  <c:pt idx="26">
                    <c:v>E3</c:v>
                  </c:pt>
                  <c:pt idx="27">
                    <c:v>E4</c:v>
                  </c:pt>
                  <c:pt idx="28">
                    <c:v>ER</c:v>
                  </c:pt>
                  <c:pt idx="29">
                    <c:v>E2</c:v>
                  </c:pt>
                  <c:pt idx="30">
                    <c:v>E3</c:v>
                  </c:pt>
                  <c:pt idx="31">
                    <c:v>E4</c:v>
                  </c:pt>
                  <c:pt idx="32">
                    <c:v>ER</c:v>
                  </c:pt>
                  <c:pt idx="33">
                    <c:v>E2</c:v>
                  </c:pt>
                  <c:pt idx="34">
                    <c:v>E3</c:v>
                  </c:pt>
                  <c:pt idx="35">
                    <c:v>E4</c:v>
                  </c:pt>
                  <c:pt idx="36">
                    <c:v>ER</c:v>
                  </c:pt>
                  <c:pt idx="37">
                    <c:v>E2</c:v>
                  </c:pt>
                  <c:pt idx="38">
                    <c:v>E3</c:v>
                  </c:pt>
                  <c:pt idx="39">
                    <c:v>E4</c:v>
                  </c:pt>
                </c:lvl>
                <c:lvl>
                  <c:pt idx="0">
                    <c:v>22.05.2023</c:v>
                  </c:pt>
                  <c:pt idx="4">
                    <c:v>26.05.2023</c:v>
                  </c:pt>
                  <c:pt idx="8">
                    <c:v>07.06.2023</c:v>
                  </c:pt>
                  <c:pt idx="12">
                    <c:v>28.06.2023</c:v>
                  </c:pt>
                  <c:pt idx="16">
                    <c:v>14.07.2023</c:v>
                  </c:pt>
                  <c:pt idx="20">
                    <c:v>17.07.2023</c:v>
                  </c:pt>
                  <c:pt idx="24">
                    <c:v>21.07.2023</c:v>
                  </c:pt>
                  <c:pt idx="28">
                    <c:v>02.08.2023</c:v>
                  </c:pt>
                  <c:pt idx="32">
                    <c:v>30.08.2023</c:v>
                  </c:pt>
                  <c:pt idx="36">
                    <c:v>04.10.2023</c:v>
                  </c:pt>
                </c:lvl>
                <c:lvl>
                  <c:pt idx="0">
                    <c:v>1</c:v>
                  </c:pt>
                  <c:pt idx="4">
                    <c:v>5</c:v>
                  </c:pt>
                  <c:pt idx="8">
                    <c:v>17</c:v>
                  </c:pt>
                  <c:pt idx="12">
                    <c:v>38</c:v>
                  </c:pt>
                  <c:pt idx="16">
                    <c:v>54</c:v>
                  </c:pt>
                  <c:pt idx="20">
                    <c:v>57</c:v>
                  </c:pt>
                  <c:pt idx="24">
                    <c:v>61</c:v>
                  </c:pt>
                  <c:pt idx="28">
                    <c:v>73</c:v>
                  </c:pt>
                  <c:pt idx="32">
                    <c:v>101</c:v>
                  </c:pt>
                  <c:pt idx="36">
                    <c:v>136</c:v>
                  </c:pt>
                </c:lvl>
              </c:multiLvlStrCache>
            </c:multiLvlStrRef>
          </c:cat>
          <c:val>
            <c:numRef>
              <c:extLst>
                <c:ext xmlns:c15="http://schemas.microsoft.com/office/drawing/2012/chart" uri="{02D57815-91ED-43cb-92C2-25804820EDAC}">
                  <c15:fullRef>
                    <c15:sqref>Milch!$AL$3:$AL$46</c15:sqref>
                  </c15:fullRef>
                </c:ext>
              </c:extLst>
              <c:f>Milch!$AL$3:$AL$42</c:f>
              <c:numCache>
                <c:formatCode>0.00</c:formatCode>
                <c:ptCount val="40"/>
                <c:pt idx="0">
                  <c:v>0</c:v>
                </c:pt>
                <c:pt idx="1">
                  <c:v>0</c:v>
                </c:pt>
                <c:pt idx="2">
                  <c:v>0</c:v>
                </c:pt>
                <c:pt idx="3">
                  <c:v>0</c:v>
                </c:pt>
                <c:pt idx="4">
                  <c:v>1.7359270346077812E-2</c:v>
                </c:pt>
                <c:pt idx="5">
                  <c:v>0.42756712867803598</c:v>
                </c:pt>
                <c:pt idx="6">
                  <c:v>0.17091438572765072</c:v>
                </c:pt>
                <c:pt idx="7">
                  <c:v>0.21949159979208849</c:v>
                </c:pt>
                <c:pt idx="8">
                  <c:v>1.3477171716721805</c:v>
                </c:pt>
                <c:pt idx="9">
                  <c:v>2.9501752224288449</c:v>
                </c:pt>
                <c:pt idx="10">
                  <c:v>1.2518256102986691</c:v>
                </c:pt>
                <c:pt idx="11">
                  <c:v>2.6810979497808405</c:v>
                </c:pt>
                <c:pt idx="12">
                  <c:v>2.3280778310498</c:v>
                </c:pt>
                <c:pt idx="13">
                  <c:v>4.1098330811812147</c:v>
                </c:pt>
                <c:pt idx="14">
                  <c:v>1.5028775703246815</c:v>
                </c:pt>
                <c:pt idx="15">
                  <c:v>2.8042007651053149</c:v>
                </c:pt>
                <c:pt idx="16">
                  <c:v>2.3725220150491402</c:v>
                </c:pt>
                <c:pt idx="17">
                  <c:v>3.83122922248663</c:v>
                </c:pt>
                <c:pt idx="18">
                  <c:v>2.9323626571220904</c:v>
                </c:pt>
                <c:pt idx="19">
                  <c:v>2.9393730411851449</c:v>
                </c:pt>
                <c:pt idx="20">
                  <c:v>2.1808957414782459</c:v>
                </c:pt>
                <c:pt idx="21">
                  <c:v>3.8886065348204348</c:v>
                </c:pt>
                <c:pt idx="22">
                  <c:v>2.5323243029888456</c:v>
                </c:pt>
                <c:pt idx="23">
                  <c:v>2.7438752843255245</c:v>
                </c:pt>
                <c:pt idx="24">
                  <c:v>1.2892741510676204</c:v>
                </c:pt>
                <c:pt idx="25">
                  <c:v>1.889375948214445</c:v>
                </c:pt>
                <c:pt idx="26">
                  <c:v>1.0196944359322275</c:v>
                </c:pt>
                <c:pt idx="27">
                  <c:v>1.3708262337325601</c:v>
                </c:pt>
                <c:pt idx="28">
                  <c:v>0.81455143310895695</c:v>
                </c:pt>
                <c:pt idx="29">
                  <c:v>1.2771242351418706</c:v>
                </c:pt>
                <c:pt idx="30">
                  <c:v>0.81935146542081749</c:v>
                </c:pt>
                <c:pt idx="31">
                  <c:v>0.69898739872279247</c:v>
                </c:pt>
                <c:pt idx="32">
                  <c:v>0.20284225472533199</c:v>
                </c:pt>
                <c:pt idx="33">
                  <c:v>0.27746634518883601</c:v>
                </c:pt>
                <c:pt idx="34">
                  <c:v>0.17095847370559239</c:v>
                </c:pt>
                <c:pt idx="35">
                  <c:v>0.15203778024515363</c:v>
                </c:pt>
                <c:pt idx="36">
                  <c:v>7.3422315165843105E-2</c:v>
                </c:pt>
                <c:pt idx="37">
                  <c:v>3.1462617962832902E-2</c:v>
                </c:pt>
                <c:pt idx="38">
                  <c:v>2.2356650950075399E-2</c:v>
                </c:pt>
                <c:pt idx="39">
                  <c:v>2.5558129126068353E-2</c:v>
                </c:pt>
              </c:numCache>
            </c:numRef>
          </c:val>
          <c:extLst>
            <c:ext xmlns:c16="http://schemas.microsoft.com/office/drawing/2014/chart" uri="{C3380CC4-5D6E-409C-BE32-E72D297353CC}">
              <c16:uniqueId val="{00000022-5BEA-48D3-A3D3-D8B808B005DA}"/>
            </c:ext>
          </c:extLst>
        </c:ser>
        <c:ser>
          <c:idx val="35"/>
          <c:order val="35"/>
          <c:tx>
            <c:strRef>
              <c:f>Milch!$AM$2</c:f>
              <c:strCache>
                <c:ptCount val="1"/>
                <c:pt idx="0">
                  <c:v>br-PFUnDS </c:v>
                </c:pt>
              </c:strCache>
            </c:strRef>
          </c:tx>
          <c:spPr>
            <a:solidFill>
              <a:schemeClr val="accent6">
                <a:lumMod val="50000"/>
              </a:schemeClr>
            </a:solidFill>
            <a:ln>
              <a:noFill/>
            </a:ln>
            <a:effectLst/>
          </c:spPr>
          <c:invertIfNegative val="0"/>
          <c:cat>
            <c:multiLvlStrRef>
              <c:extLst>
                <c:ext xmlns:c15="http://schemas.microsoft.com/office/drawing/2012/chart" uri="{02D57815-91ED-43cb-92C2-25804820EDAC}">
                  <c15:fullRef>
                    <c15:sqref>Milch!$A$3:$C$46</c15:sqref>
                  </c15:fullRef>
                </c:ext>
              </c:extLst>
              <c:f>Milch!$A$3:$C$42</c:f>
              <c:multiLvlStrCache>
                <c:ptCount val="40"/>
                <c:lvl>
                  <c:pt idx="0">
                    <c:v>ER</c:v>
                  </c:pt>
                  <c:pt idx="1">
                    <c:v>E2</c:v>
                  </c:pt>
                  <c:pt idx="2">
                    <c:v>E3</c:v>
                  </c:pt>
                  <c:pt idx="3">
                    <c:v>E4</c:v>
                  </c:pt>
                  <c:pt idx="4">
                    <c:v>ER</c:v>
                  </c:pt>
                  <c:pt idx="5">
                    <c:v>E2</c:v>
                  </c:pt>
                  <c:pt idx="6">
                    <c:v>E3</c:v>
                  </c:pt>
                  <c:pt idx="7">
                    <c:v>E4</c:v>
                  </c:pt>
                  <c:pt idx="8">
                    <c:v>ER</c:v>
                  </c:pt>
                  <c:pt idx="9">
                    <c:v>E2</c:v>
                  </c:pt>
                  <c:pt idx="10">
                    <c:v>E3</c:v>
                  </c:pt>
                  <c:pt idx="11">
                    <c:v>E4</c:v>
                  </c:pt>
                  <c:pt idx="12">
                    <c:v>ER</c:v>
                  </c:pt>
                  <c:pt idx="13">
                    <c:v>E2</c:v>
                  </c:pt>
                  <c:pt idx="14">
                    <c:v>E3</c:v>
                  </c:pt>
                  <c:pt idx="15">
                    <c:v>E4</c:v>
                  </c:pt>
                  <c:pt idx="16">
                    <c:v>ER</c:v>
                  </c:pt>
                  <c:pt idx="17">
                    <c:v>E2</c:v>
                  </c:pt>
                  <c:pt idx="18">
                    <c:v>E3</c:v>
                  </c:pt>
                  <c:pt idx="19">
                    <c:v>E4</c:v>
                  </c:pt>
                  <c:pt idx="20">
                    <c:v>ER</c:v>
                  </c:pt>
                  <c:pt idx="21">
                    <c:v>E2</c:v>
                  </c:pt>
                  <c:pt idx="22">
                    <c:v>E3</c:v>
                  </c:pt>
                  <c:pt idx="23">
                    <c:v>E4</c:v>
                  </c:pt>
                  <c:pt idx="24">
                    <c:v>ER</c:v>
                  </c:pt>
                  <c:pt idx="25">
                    <c:v>E2</c:v>
                  </c:pt>
                  <c:pt idx="26">
                    <c:v>E3</c:v>
                  </c:pt>
                  <c:pt idx="27">
                    <c:v>E4</c:v>
                  </c:pt>
                  <c:pt idx="28">
                    <c:v>ER</c:v>
                  </c:pt>
                  <c:pt idx="29">
                    <c:v>E2</c:v>
                  </c:pt>
                  <c:pt idx="30">
                    <c:v>E3</c:v>
                  </c:pt>
                  <c:pt idx="31">
                    <c:v>E4</c:v>
                  </c:pt>
                  <c:pt idx="32">
                    <c:v>ER</c:v>
                  </c:pt>
                  <c:pt idx="33">
                    <c:v>E2</c:v>
                  </c:pt>
                  <c:pt idx="34">
                    <c:v>E3</c:v>
                  </c:pt>
                  <c:pt idx="35">
                    <c:v>E4</c:v>
                  </c:pt>
                  <c:pt idx="36">
                    <c:v>ER</c:v>
                  </c:pt>
                  <c:pt idx="37">
                    <c:v>E2</c:v>
                  </c:pt>
                  <c:pt idx="38">
                    <c:v>E3</c:v>
                  </c:pt>
                  <c:pt idx="39">
                    <c:v>E4</c:v>
                  </c:pt>
                </c:lvl>
                <c:lvl>
                  <c:pt idx="0">
                    <c:v>22.05.2023</c:v>
                  </c:pt>
                  <c:pt idx="4">
                    <c:v>26.05.2023</c:v>
                  </c:pt>
                  <c:pt idx="8">
                    <c:v>07.06.2023</c:v>
                  </c:pt>
                  <c:pt idx="12">
                    <c:v>28.06.2023</c:v>
                  </c:pt>
                  <c:pt idx="16">
                    <c:v>14.07.2023</c:v>
                  </c:pt>
                  <c:pt idx="20">
                    <c:v>17.07.2023</c:v>
                  </c:pt>
                  <c:pt idx="24">
                    <c:v>21.07.2023</c:v>
                  </c:pt>
                  <c:pt idx="28">
                    <c:v>02.08.2023</c:v>
                  </c:pt>
                  <c:pt idx="32">
                    <c:v>30.08.2023</c:v>
                  </c:pt>
                  <c:pt idx="36">
                    <c:v>04.10.2023</c:v>
                  </c:pt>
                </c:lvl>
                <c:lvl>
                  <c:pt idx="0">
                    <c:v>1</c:v>
                  </c:pt>
                  <c:pt idx="4">
                    <c:v>5</c:v>
                  </c:pt>
                  <c:pt idx="8">
                    <c:v>17</c:v>
                  </c:pt>
                  <c:pt idx="12">
                    <c:v>38</c:v>
                  </c:pt>
                  <c:pt idx="16">
                    <c:v>54</c:v>
                  </c:pt>
                  <c:pt idx="20">
                    <c:v>57</c:v>
                  </c:pt>
                  <c:pt idx="24">
                    <c:v>61</c:v>
                  </c:pt>
                  <c:pt idx="28">
                    <c:v>73</c:v>
                  </c:pt>
                  <c:pt idx="32">
                    <c:v>101</c:v>
                  </c:pt>
                  <c:pt idx="36">
                    <c:v>136</c:v>
                  </c:pt>
                </c:lvl>
              </c:multiLvlStrCache>
            </c:multiLvlStrRef>
          </c:cat>
          <c:val>
            <c:numRef>
              <c:extLst>
                <c:ext xmlns:c15="http://schemas.microsoft.com/office/drawing/2012/chart" uri="{02D57815-91ED-43cb-92C2-25804820EDAC}">
                  <c15:fullRef>
                    <c15:sqref>Milch!$AM$3:$AM$46</c15:sqref>
                  </c15:fullRef>
                </c:ext>
              </c:extLst>
              <c:f>Milch!$AM$3:$AM$42</c:f>
              <c:numCache>
                <c:formatCode>0.00</c:formatCode>
                <c:ptCount val="40"/>
                <c:pt idx="0">
                  <c:v>0</c:v>
                </c:pt>
                <c:pt idx="1">
                  <c:v>0</c:v>
                </c:pt>
                <c:pt idx="2">
                  <c:v>0</c:v>
                </c:pt>
                <c:pt idx="3">
                  <c:v>0</c:v>
                </c:pt>
                <c:pt idx="4">
                  <c:v>9.3604569100482291E-3</c:v>
                </c:pt>
                <c:pt idx="5">
                  <c:v>0.44154062465152655</c:v>
                </c:pt>
                <c:pt idx="6">
                  <c:v>0.13218645795696118</c:v>
                </c:pt>
                <c:pt idx="7">
                  <c:v>0.17289452509140305</c:v>
                </c:pt>
                <c:pt idx="8">
                  <c:v>0.58912211765783962</c:v>
                </c:pt>
                <c:pt idx="9">
                  <c:v>1.8463504174720931</c:v>
                </c:pt>
                <c:pt idx="10">
                  <c:v>0.73344088456303003</c:v>
                </c:pt>
                <c:pt idx="11">
                  <c:v>1.608714992248379</c:v>
                </c:pt>
                <c:pt idx="12">
                  <c:v>0.4619932546173719</c:v>
                </c:pt>
                <c:pt idx="13">
                  <c:v>1.0730215300607702</c:v>
                </c:pt>
                <c:pt idx="14">
                  <c:v>0.55580561642446102</c:v>
                </c:pt>
                <c:pt idx="15">
                  <c:v>0.85592688848670007</c:v>
                </c:pt>
                <c:pt idx="16">
                  <c:v>0.45578934583212249</c:v>
                </c:pt>
                <c:pt idx="17">
                  <c:v>1.0204273633446599</c:v>
                </c:pt>
                <c:pt idx="18">
                  <c:v>0.61395888059773362</c:v>
                </c:pt>
                <c:pt idx="19">
                  <c:v>0.89149686988445753</c:v>
                </c:pt>
                <c:pt idx="20">
                  <c:v>0.39490856338653807</c:v>
                </c:pt>
                <c:pt idx="21">
                  <c:v>1.2810854887995107</c:v>
                </c:pt>
                <c:pt idx="22">
                  <c:v>0.73596285630648461</c:v>
                </c:pt>
                <c:pt idx="23">
                  <c:v>0.84985241895705244</c:v>
                </c:pt>
                <c:pt idx="24">
                  <c:v>0.21981174288244795</c:v>
                </c:pt>
                <c:pt idx="25">
                  <c:v>0.4565276526168805</c:v>
                </c:pt>
                <c:pt idx="26">
                  <c:v>0.23165116512665584</c:v>
                </c:pt>
                <c:pt idx="27">
                  <c:v>0.23967456300601991</c:v>
                </c:pt>
                <c:pt idx="28">
                  <c:v>3.3314905815844349E-2</c:v>
                </c:pt>
                <c:pt idx="29">
                  <c:v>8.1125351492378997E-2</c:v>
                </c:pt>
                <c:pt idx="30">
                  <c:v>4.3289365852070952E-2</c:v>
                </c:pt>
                <c:pt idx="31">
                  <c:v>0</c:v>
                </c:pt>
                <c:pt idx="32">
                  <c:v>6.1108091987144095E-3</c:v>
                </c:pt>
                <c:pt idx="33">
                  <c:v>0</c:v>
                </c:pt>
                <c:pt idx="34">
                  <c:v>0</c:v>
                </c:pt>
                <c:pt idx="35">
                  <c:v>0</c:v>
                </c:pt>
                <c:pt idx="36">
                  <c:v>0</c:v>
                </c:pt>
                <c:pt idx="37">
                  <c:v>0</c:v>
                </c:pt>
                <c:pt idx="38">
                  <c:v>0</c:v>
                </c:pt>
                <c:pt idx="39">
                  <c:v>0</c:v>
                </c:pt>
              </c:numCache>
            </c:numRef>
          </c:val>
          <c:extLst>
            <c:ext xmlns:c16="http://schemas.microsoft.com/office/drawing/2014/chart" uri="{C3380CC4-5D6E-409C-BE32-E72D297353CC}">
              <c16:uniqueId val="{00000023-5BEA-48D3-A3D3-D8B808B005DA}"/>
            </c:ext>
          </c:extLst>
        </c:ser>
        <c:ser>
          <c:idx val="36"/>
          <c:order val="36"/>
          <c:tx>
            <c:strRef>
              <c:f>Milch!$AN$2</c:f>
              <c:strCache>
                <c:ptCount val="1"/>
                <c:pt idx="0">
                  <c:v>br-PFDoDS </c:v>
                </c:pt>
              </c:strCache>
            </c:strRef>
          </c:tx>
          <c:spPr>
            <a:solidFill>
              <a:schemeClr val="accent1">
                <a:lumMod val="70000"/>
                <a:lumOff val="30000"/>
              </a:schemeClr>
            </a:solidFill>
            <a:ln>
              <a:noFill/>
            </a:ln>
            <a:effectLst/>
          </c:spPr>
          <c:invertIfNegative val="0"/>
          <c:cat>
            <c:multiLvlStrRef>
              <c:extLst>
                <c:ext xmlns:c15="http://schemas.microsoft.com/office/drawing/2012/chart" uri="{02D57815-91ED-43cb-92C2-25804820EDAC}">
                  <c15:fullRef>
                    <c15:sqref>Milch!$A$3:$C$46</c15:sqref>
                  </c15:fullRef>
                </c:ext>
              </c:extLst>
              <c:f>Milch!$A$3:$C$42</c:f>
              <c:multiLvlStrCache>
                <c:ptCount val="40"/>
                <c:lvl>
                  <c:pt idx="0">
                    <c:v>ER</c:v>
                  </c:pt>
                  <c:pt idx="1">
                    <c:v>E2</c:v>
                  </c:pt>
                  <c:pt idx="2">
                    <c:v>E3</c:v>
                  </c:pt>
                  <c:pt idx="3">
                    <c:v>E4</c:v>
                  </c:pt>
                  <c:pt idx="4">
                    <c:v>ER</c:v>
                  </c:pt>
                  <c:pt idx="5">
                    <c:v>E2</c:v>
                  </c:pt>
                  <c:pt idx="6">
                    <c:v>E3</c:v>
                  </c:pt>
                  <c:pt idx="7">
                    <c:v>E4</c:v>
                  </c:pt>
                  <c:pt idx="8">
                    <c:v>ER</c:v>
                  </c:pt>
                  <c:pt idx="9">
                    <c:v>E2</c:v>
                  </c:pt>
                  <c:pt idx="10">
                    <c:v>E3</c:v>
                  </c:pt>
                  <c:pt idx="11">
                    <c:v>E4</c:v>
                  </c:pt>
                  <c:pt idx="12">
                    <c:v>ER</c:v>
                  </c:pt>
                  <c:pt idx="13">
                    <c:v>E2</c:v>
                  </c:pt>
                  <c:pt idx="14">
                    <c:v>E3</c:v>
                  </c:pt>
                  <c:pt idx="15">
                    <c:v>E4</c:v>
                  </c:pt>
                  <c:pt idx="16">
                    <c:v>ER</c:v>
                  </c:pt>
                  <c:pt idx="17">
                    <c:v>E2</c:v>
                  </c:pt>
                  <c:pt idx="18">
                    <c:v>E3</c:v>
                  </c:pt>
                  <c:pt idx="19">
                    <c:v>E4</c:v>
                  </c:pt>
                  <c:pt idx="20">
                    <c:v>ER</c:v>
                  </c:pt>
                  <c:pt idx="21">
                    <c:v>E2</c:v>
                  </c:pt>
                  <c:pt idx="22">
                    <c:v>E3</c:v>
                  </c:pt>
                  <c:pt idx="23">
                    <c:v>E4</c:v>
                  </c:pt>
                  <c:pt idx="24">
                    <c:v>ER</c:v>
                  </c:pt>
                  <c:pt idx="25">
                    <c:v>E2</c:v>
                  </c:pt>
                  <c:pt idx="26">
                    <c:v>E3</c:v>
                  </c:pt>
                  <c:pt idx="27">
                    <c:v>E4</c:v>
                  </c:pt>
                  <c:pt idx="28">
                    <c:v>ER</c:v>
                  </c:pt>
                  <c:pt idx="29">
                    <c:v>E2</c:v>
                  </c:pt>
                  <c:pt idx="30">
                    <c:v>E3</c:v>
                  </c:pt>
                  <c:pt idx="31">
                    <c:v>E4</c:v>
                  </c:pt>
                  <c:pt idx="32">
                    <c:v>ER</c:v>
                  </c:pt>
                  <c:pt idx="33">
                    <c:v>E2</c:v>
                  </c:pt>
                  <c:pt idx="34">
                    <c:v>E3</c:v>
                  </c:pt>
                  <c:pt idx="35">
                    <c:v>E4</c:v>
                  </c:pt>
                  <c:pt idx="36">
                    <c:v>ER</c:v>
                  </c:pt>
                  <c:pt idx="37">
                    <c:v>E2</c:v>
                  </c:pt>
                  <c:pt idx="38">
                    <c:v>E3</c:v>
                  </c:pt>
                  <c:pt idx="39">
                    <c:v>E4</c:v>
                  </c:pt>
                </c:lvl>
                <c:lvl>
                  <c:pt idx="0">
                    <c:v>22.05.2023</c:v>
                  </c:pt>
                  <c:pt idx="4">
                    <c:v>26.05.2023</c:v>
                  </c:pt>
                  <c:pt idx="8">
                    <c:v>07.06.2023</c:v>
                  </c:pt>
                  <c:pt idx="12">
                    <c:v>28.06.2023</c:v>
                  </c:pt>
                  <c:pt idx="16">
                    <c:v>14.07.2023</c:v>
                  </c:pt>
                  <c:pt idx="20">
                    <c:v>17.07.2023</c:v>
                  </c:pt>
                  <c:pt idx="24">
                    <c:v>21.07.2023</c:v>
                  </c:pt>
                  <c:pt idx="28">
                    <c:v>02.08.2023</c:v>
                  </c:pt>
                  <c:pt idx="32">
                    <c:v>30.08.2023</c:v>
                  </c:pt>
                  <c:pt idx="36">
                    <c:v>04.10.2023</c:v>
                  </c:pt>
                </c:lvl>
                <c:lvl>
                  <c:pt idx="0">
                    <c:v>1</c:v>
                  </c:pt>
                  <c:pt idx="4">
                    <c:v>5</c:v>
                  </c:pt>
                  <c:pt idx="8">
                    <c:v>17</c:v>
                  </c:pt>
                  <c:pt idx="12">
                    <c:v>38</c:v>
                  </c:pt>
                  <c:pt idx="16">
                    <c:v>54</c:v>
                  </c:pt>
                  <c:pt idx="20">
                    <c:v>57</c:v>
                  </c:pt>
                  <c:pt idx="24">
                    <c:v>61</c:v>
                  </c:pt>
                  <c:pt idx="28">
                    <c:v>73</c:v>
                  </c:pt>
                  <c:pt idx="32">
                    <c:v>101</c:v>
                  </c:pt>
                  <c:pt idx="36">
                    <c:v>136</c:v>
                  </c:pt>
                </c:lvl>
              </c:multiLvlStrCache>
            </c:multiLvlStrRef>
          </c:cat>
          <c:val>
            <c:numRef>
              <c:extLst>
                <c:ext xmlns:c15="http://schemas.microsoft.com/office/drawing/2012/chart" uri="{02D57815-91ED-43cb-92C2-25804820EDAC}">
                  <c15:fullRef>
                    <c15:sqref>Milch!$AN$3:$AN$46</c15:sqref>
                  </c15:fullRef>
                </c:ext>
              </c:extLst>
              <c:f>Milch!$AN$3:$AN$42</c:f>
              <c:numCache>
                <c:formatCode>0.00</c:formatCode>
                <c:ptCount val="40"/>
                <c:pt idx="0">
                  <c:v>0</c:v>
                </c:pt>
                <c:pt idx="1">
                  <c:v>0</c:v>
                </c:pt>
                <c:pt idx="2">
                  <c:v>0</c:v>
                </c:pt>
                <c:pt idx="3">
                  <c:v>0</c:v>
                </c:pt>
                <c:pt idx="4">
                  <c:v>3.235156124643855E-3</c:v>
                </c:pt>
                <c:pt idx="5">
                  <c:v>0.12534287001228395</c:v>
                </c:pt>
                <c:pt idx="6">
                  <c:v>4.1003157029536594E-2</c:v>
                </c:pt>
                <c:pt idx="7">
                  <c:v>4.9447564206956299E-2</c:v>
                </c:pt>
                <c:pt idx="8">
                  <c:v>0.15329934076695156</c:v>
                </c:pt>
                <c:pt idx="9">
                  <c:v>0.40866443218217702</c:v>
                </c:pt>
                <c:pt idx="10">
                  <c:v>0.15659987917422924</c:v>
                </c:pt>
                <c:pt idx="11">
                  <c:v>0.34982015776777198</c:v>
                </c:pt>
                <c:pt idx="12">
                  <c:v>6.7287350113926656E-2</c:v>
                </c:pt>
                <c:pt idx="13">
                  <c:v>0.15222149177864505</c:v>
                </c:pt>
                <c:pt idx="14">
                  <c:v>7.8153960323339808E-2</c:v>
                </c:pt>
                <c:pt idx="15">
                  <c:v>0.1080090741365741</c:v>
                </c:pt>
                <c:pt idx="16">
                  <c:v>9.3171228476581491E-2</c:v>
                </c:pt>
                <c:pt idx="17">
                  <c:v>0.21740941691297599</c:v>
                </c:pt>
                <c:pt idx="18">
                  <c:v>0.13169299252933186</c:v>
                </c:pt>
                <c:pt idx="19">
                  <c:v>0.15828204462283962</c:v>
                </c:pt>
                <c:pt idx="20">
                  <c:v>8.1229967157202293E-2</c:v>
                </c:pt>
                <c:pt idx="21">
                  <c:v>0.21644478226953898</c:v>
                </c:pt>
                <c:pt idx="22">
                  <c:v>0.13653732913296135</c:v>
                </c:pt>
                <c:pt idx="23">
                  <c:v>0.13821241956749036</c:v>
                </c:pt>
                <c:pt idx="24">
                  <c:v>2.7819895881302799E-2</c:v>
                </c:pt>
                <c:pt idx="25">
                  <c:v>5.7540755837430298E-2</c:v>
                </c:pt>
                <c:pt idx="26">
                  <c:v>2.7184566126550052E-2</c:v>
                </c:pt>
                <c:pt idx="27">
                  <c:v>2.421763243523305E-2</c:v>
                </c:pt>
                <c:pt idx="28">
                  <c:v>2.82463342115302E-3</c:v>
                </c:pt>
                <c:pt idx="29">
                  <c:v>0</c:v>
                </c:pt>
                <c:pt idx="30">
                  <c:v>0</c:v>
                </c:pt>
                <c:pt idx="31">
                  <c:v>0</c:v>
                </c:pt>
                <c:pt idx="32">
                  <c:v>0</c:v>
                </c:pt>
                <c:pt idx="33">
                  <c:v>0</c:v>
                </c:pt>
                <c:pt idx="34">
                  <c:v>0</c:v>
                </c:pt>
                <c:pt idx="35">
                  <c:v>0</c:v>
                </c:pt>
                <c:pt idx="36">
                  <c:v>0</c:v>
                </c:pt>
                <c:pt idx="37">
                  <c:v>0</c:v>
                </c:pt>
                <c:pt idx="38">
                  <c:v>0</c:v>
                </c:pt>
                <c:pt idx="39">
                  <c:v>0</c:v>
                </c:pt>
              </c:numCache>
            </c:numRef>
          </c:val>
          <c:extLst>
            <c:ext xmlns:c16="http://schemas.microsoft.com/office/drawing/2014/chart" uri="{C3380CC4-5D6E-409C-BE32-E72D297353CC}">
              <c16:uniqueId val="{00000024-5BEA-48D3-A3D3-D8B808B005DA}"/>
            </c:ext>
          </c:extLst>
        </c:ser>
        <c:ser>
          <c:idx val="37"/>
          <c:order val="37"/>
          <c:tx>
            <c:strRef>
              <c:f>Milch!$AO$2</c:f>
              <c:strCache>
                <c:ptCount val="1"/>
                <c:pt idx="0">
                  <c:v>br-PFTrDS </c:v>
                </c:pt>
              </c:strCache>
            </c:strRef>
          </c:tx>
          <c:spPr>
            <a:solidFill>
              <a:schemeClr val="accent2">
                <a:lumMod val="70000"/>
                <a:lumOff val="30000"/>
              </a:schemeClr>
            </a:solidFill>
            <a:ln>
              <a:noFill/>
            </a:ln>
            <a:effectLst/>
          </c:spPr>
          <c:invertIfNegative val="0"/>
          <c:cat>
            <c:multiLvlStrRef>
              <c:extLst>
                <c:ext xmlns:c15="http://schemas.microsoft.com/office/drawing/2012/chart" uri="{02D57815-91ED-43cb-92C2-25804820EDAC}">
                  <c15:fullRef>
                    <c15:sqref>Milch!$A$3:$C$46</c15:sqref>
                  </c15:fullRef>
                </c:ext>
              </c:extLst>
              <c:f>Milch!$A$3:$C$42</c:f>
              <c:multiLvlStrCache>
                <c:ptCount val="40"/>
                <c:lvl>
                  <c:pt idx="0">
                    <c:v>ER</c:v>
                  </c:pt>
                  <c:pt idx="1">
                    <c:v>E2</c:v>
                  </c:pt>
                  <c:pt idx="2">
                    <c:v>E3</c:v>
                  </c:pt>
                  <c:pt idx="3">
                    <c:v>E4</c:v>
                  </c:pt>
                  <c:pt idx="4">
                    <c:v>ER</c:v>
                  </c:pt>
                  <c:pt idx="5">
                    <c:v>E2</c:v>
                  </c:pt>
                  <c:pt idx="6">
                    <c:v>E3</c:v>
                  </c:pt>
                  <c:pt idx="7">
                    <c:v>E4</c:v>
                  </c:pt>
                  <c:pt idx="8">
                    <c:v>ER</c:v>
                  </c:pt>
                  <c:pt idx="9">
                    <c:v>E2</c:v>
                  </c:pt>
                  <c:pt idx="10">
                    <c:v>E3</c:v>
                  </c:pt>
                  <c:pt idx="11">
                    <c:v>E4</c:v>
                  </c:pt>
                  <c:pt idx="12">
                    <c:v>ER</c:v>
                  </c:pt>
                  <c:pt idx="13">
                    <c:v>E2</c:v>
                  </c:pt>
                  <c:pt idx="14">
                    <c:v>E3</c:v>
                  </c:pt>
                  <c:pt idx="15">
                    <c:v>E4</c:v>
                  </c:pt>
                  <c:pt idx="16">
                    <c:v>ER</c:v>
                  </c:pt>
                  <c:pt idx="17">
                    <c:v>E2</c:v>
                  </c:pt>
                  <c:pt idx="18">
                    <c:v>E3</c:v>
                  </c:pt>
                  <c:pt idx="19">
                    <c:v>E4</c:v>
                  </c:pt>
                  <c:pt idx="20">
                    <c:v>ER</c:v>
                  </c:pt>
                  <c:pt idx="21">
                    <c:v>E2</c:v>
                  </c:pt>
                  <c:pt idx="22">
                    <c:v>E3</c:v>
                  </c:pt>
                  <c:pt idx="23">
                    <c:v>E4</c:v>
                  </c:pt>
                  <c:pt idx="24">
                    <c:v>ER</c:v>
                  </c:pt>
                  <c:pt idx="25">
                    <c:v>E2</c:v>
                  </c:pt>
                  <c:pt idx="26">
                    <c:v>E3</c:v>
                  </c:pt>
                  <c:pt idx="27">
                    <c:v>E4</c:v>
                  </c:pt>
                  <c:pt idx="28">
                    <c:v>ER</c:v>
                  </c:pt>
                  <c:pt idx="29">
                    <c:v>E2</c:v>
                  </c:pt>
                  <c:pt idx="30">
                    <c:v>E3</c:v>
                  </c:pt>
                  <c:pt idx="31">
                    <c:v>E4</c:v>
                  </c:pt>
                  <c:pt idx="32">
                    <c:v>ER</c:v>
                  </c:pt>
                  <c:pt idx="33">
                    <c:v>E2</c:v>
                  </c:pt>
                  <c:pt idx="34">
                    <c:v>E3</c:v>
                  </c:pt>
                  <c:pt idx="35">
                    <c:v>E4</c:v>
                  </c:pt>
                  <c:pt idx="36">
                    <c:v>ER</c:v>
                  </c:pt>
                  <c:pt idx="37">
                    <c:v>E2</c:v>
                  </c:pt>
                  <c:pt idx="38">
                    <c:v>E3</c:v>
                  </c:pt>
                  <c:pt idx="39">
                    <c:v>E4</c:v>
                  </c:pt>
                </c:lvl>
                <c:lvl>
                  <c:pt idx="0">
                    <c:v>22.05.2023</c:v>
                  </c:pt>
                  <c:pt idx="4">
                    <c:v>26.05.2023</c:v>
                  </c:pt>
                  <c:pt idx="8">
                    <c:v>07.06.2023</c:v>
                  </c:pt>
                  <c:pt idx="12">
                    <c:v>28.06.2023</c:v>
                  </c:pt>
                  <c:pt idx="16">
                    <c:v>14.07.2023</c:v>
                  </c:pt>
                  <c:pt idx="20">
                    <c:v>17.07.2023</c:v>
                  </c:pt>
                  <c:pt idx="24">
                    <c:v>21.07.2023</c:v>
                  </c:pt>
                  <c:pt idx="28">
                    <c:v>02.08.2023</c:v>
                  </c:pt>
                  <c:pt idx="32">
                    <c:v>30.08.2023</c:v>
                  </c:pt>
                  <c:pt idx="36">
                    <c:v>04.10.2023</c:v>
                  </c:pt>
                </c:lvl>
                <c:lvl>
                  <c:pt idx="0">
                    <c:v>1</c:v>
                  </c:pt>
                  <c:pt idx="4">
                    <c:v>5</c:v>
                  </c:pt>
                  <c:pt idx="8">
                    <c:v>17</c:v>
                  </c:pt>
                  <c:pt idx="12">
                    <c:v>38</c:v>
                  </c:pt>
                  <c:pt idx="16">
                    <c:v>54</c:v>
                  </c:pt>
                  <c:pt idx="20">
                    <c:v>57</c:v>
                  </c:pt>
                  <c:pt idx="24">
                    <c:v>61</c:v>
                  </c:pt>
                  <c:pt idx="28">
                    <c:v>73</c:v>
                  </c:pt>
                  <c:pt idx="32">
                    <c:v>101</c:v>
                  </c:pt>
                  <c:pt idx="36">
                    <c:v>136</c:v>
                  </c:pt>
                </c:lvl>
              </c:multiLvlStrCache>
            </c:multiLvlStrRef>
          </c:cat>
          <c:val>
            <c:numRef>
              <c:extLst>
                <c:ext xmlns:c15="http://schemas.microsoft.com/office/drawing/2012/chart" uri="{02D57815-91ED-43cb-92C2-25804820EDAC}">
                  <c15:fullRef>
                    <c15:sqref>Milch!$AO$3:$AO$46</c15:sqref>
                  </c15:fullRef>
                </c:ext>
              </c:extLst>
              <c:f>Milch!$AO$3:$AO$42</c:f>
              <c:numCache>
                <c:formatCode>0.00</c:formatCode>
                <c:ptCount val="40"/>
                <c:pt idx="0">
                  <c:v>0</c:v>
                </c:pt>
                <c:pt idx="1">
                  <c:v>0</c:v>
                </c:pt>
                <c:pt idx="2">
                  <c:v>0</c:v>
                </c:pt>
                <c:pt idx="3">
                  <c:v>0</c:v>
                </c:pt>
                <c:pt idx="4">
                  <c:v>0</c:v>
                </c:pt>
                <c:pt idx="5">
                  <c:v>5.0288467165350605E-2</c:v>
                </c:pt>
                <c:pt idx="6">
                  <c:v>2.2455549144666177E-2</c:v>
                </c:pt>
                <c:pt idx="7">
                  <c:v>2.9113419824988634E-2</c:v>
                </c:pt>
                <c:pt idx="8">
                  <c:v>7.2365778849155307E-2</c:v>
                </c:pt>
                <c:pt idx="9">
                  <c:v>0.18121911757366274</c:v>
                </c:pt>
                <c:pt idx="10">
                  <c:v>7.2378222425363542E-2</c:v>
                </c:pt>
                <c:pt idx="11">
                  <c:v>0.1612771691561265</c:v>
                </c:pt>
                <c:pt idx="12">
                  <c:v>2.2546122705409146E-2</c:v>
                </c:pt>
                <c:pt idx="13">
                  <c:v>5.0528676136253253E-2</c:v>
                </c:pt>
                <c:pt idx="14">
                  <c:v>2.7501892787467848E-2</c:v>
                </c:pt>
                <c:pt idx="15">
                  <c:v>3.4098407660503802E-2</c:v>
                </c:pt>
                <c:pt idx="16">
                  <c:v>3.8953399898012053E-2</c:v>
                </c:pt>
                <c:pt idx="17">
                  <c:v>8.45009976381568E-2</c:v>
                </c:pt>
                <c:pt idx="18">
                  <c:v>6.0294424094009598E-2</c:v>
                </c:pt>
                <c:pt idx="19">
                  <c:v>6.826880926453055E-2</c:v>
                </c:pt>
                <c:pt idx="20">
                  <c:v>2.4992031411712551E-2</c:v>
                </c:pt>
                <c:pt idx="21">
                  <c:v>7.1160662144487546E-2</c:v>
                </c:pt>
                <c:pt idx="22">
                  <c:v>4.9065624402986653E-2</c:v>
                </c:pt>
                <c:pt idx="23">
                  <c:v>4.6111374534836103E-2</c:v>
                </c:pt>
                <c:pt idx="24">
                  <c:v>7.6793623517929848E-3</c:v>
                </c:pt>
                <c:pt idx="25">
                  <c:v>1.2979008341621046E-2</c:v>
                </c:pt>
                <c:pt idx="26">
                  <c:v>0</c:v>
                </c:pt>
                <c:pt idx="27">
                  <c:v>0</c:v>
                </c:pt>
                <c:pt idx="28">
                  <c:v>2.0819916130144752E-3</c:v>
                </c:pt>
                <c:pt idx="29">
                  <c:v>0</c:v>
                </c:pt>
                <c:pt idx="30">
                  <c:v>0</c:v>
                </c:pt>
                <c:pt idx="31">
                  <c:v>0</c:v>
                </c:pt>
                <c:pt idx="32">
                  <c:v>0</c:v>
                </c:pt>
                <c:pt idx="33">
                  <c:v>0</c:v>
                </c:pt>
                <c:pt idx="34">
                  <c:v>0</c:v>
                </c:pt>
                <c:pt idx="35">
                  <c:v>0</c:v>
                </c:pt>
                <c:pt idx="36">
                  <c:v>0</c:v>
                </c:pt>
                <c:pt idx="37">
                  <c:v>0</c:v>
                </c:pt>
                <c:pt idx="38">
                  <c:v>0</c:v>
                </c:pt>
                <c:pt idx="39">
                  <c:v>0</c:v>
                </c:pt>
              </c:numCache>
            </c:numRef>
          </c:val>
          <c:extLst>
            <c:ext xmlns:c16="http://schemas.microsoft.com/office/drawing/2014/chart" uri="{C3380CC4-5D6E-409C-BE32-E72D297353CC}">
              <c16:uniqueId val="{00000025-5BEA-48D3-A3D3-D8B808B005DA}"/>
            </c:ext>
          </c:extLst>
        </c:ser>
        <c:ser>
          <c:idx val="38"/>
          <c:order val="38"/>
          <c:tx>
            <c:strRef>
              <c:f>Milch!$AP$2</c:f>
              <c:strCache>
                <c:ptCount val="1"/>
                <c:pt idx="0">
                  <c:v>Summe</c:v>
                </c:pt>
              </c:strCache>
            </c:strRef>
          </c:tx>
          <c:spPr>
            <a:solidFill>
              <a:schemeClr val="accent3">
                <a:lumMod val="70000"/>
                <a:lumOff val="30000"/>
              </a:schemeClr>
            </a:solidFill>
            <a:ln>
              <a:noFill/>
            </a:ln>
            <a:effectLst/>
          </c:spPr>
          <c:invertIfNegative val="0"/>
          <c:cat>
            <c:multiLvlStrRef>
              <c:extLst>
                <c:ext xmlns:c15="http://schemas.microsoft.com/office/drawing/2012/chart" uri="{02D57815-91ED-43cb-92C2-25804820EDAC}">
                  <c15:fullRef>
                    <c15:sqref>Milch!$A$3:$C$46</c15:sqref>
                  </c15:fullRef>
                </c:ext>
              </c:extLst>
              <c:f>Milch!$A$3:$C$42</c:f>
              <c:multiLvlStrCache>
                <c:ptCount val="40"/>
                <c:lvl>
                  <c:pt idx="0">
                    <c:v>ER</c:v>
                  </c:pt>
                  <c:pt idx="1">
                    <c:v>E2</c:v>
                  </c:pt>
                  <c:pt idx="2">
                    <c:v>E3</c:v>
                  </c:pt>
                  <c:pt idx="3">
                    <c:v>E4</c:v>
                  </c:pt>
                  <c:pt idx="4">
                    <c:v>ER</c:v>
                  </c:pt>
                  <c:pt idx="5">
                    <c:v>E2</c:v>
                  </c:pt>
                  <c:pt idx="6">
                    <c:v>E3</c:v>
                  </c:pt>
                  <c:pt idx="7">
                    <c:v>E4</c:v>
                  </c:pt>
                  <c:pt idx="8">
                    <c:v>ER</c:v>
                  </c:pt>
                  <c:pt idx="9">
                    <c:v>E2</c:v>
                  </c:pt>
                  <c:pt idx="10">
                    <c:v>E3</c:v>
                  </c:pt>
                  <c:pt idx="11">
                    <c:v>E4</c:v>
                  </c:pt>
                  <c:pt idx="12">
                    <c:v>ER</c:v>
                  </c:pt>
                  <c:pt idx="13">
                    <c:v>E2</c:v>
                  </c:pt>
                  <c:pt idx="14">
                    <c:v>E3</c:v>
                  </c:pt>
                  <c:pt idx="15">
                    <c:v>E4</c:v>
                  </c:pt>
                  <c:pt idx="16">
                    <c:v>ER</c:v>
                  </c:pt>
                  <c:pt idx="17">
                    <c:v>E2</c:v>
                  </c:pt>
                  <c:pt idx="18">
                    <c:v>E3</c:v>
                  </c:pt>
                  <c:pt idx="19">
                    <c:v>E4</c:v>
                  </c:pt>
                  <c:pt idx="20">
                    <c:v>ER</c:v>
                  </c:pt>
                  <c:pt idx="21">
                    <c:v>E2</c:v>
                  </c:pt>
                  <c:pt idx="22">
                    <c:v>E3</c:v>
                  </c:pt>
                  <c:pt idx="23">
                    <c:v>E4</c:v>
                  </c:pt>
                  <c:pt idx="24">
                    <c:v>ER</c:v>
                  </c:pt>
                  <c:pt idx="25">
                    <c:v>E2</c:v>
                  </c:pt>
                  <c:pt idx="26">
                    <c:v>E3</c:v>
                  </c:pt>
                  <c:pt idx="27">
                    <c:v>E4</c:v>
                  </c:pt>
                  <c:pt idx="28">
                    <c:v>ER</c:v>
                  </c:pt>
                  <c:pt idx="29">
                    <c:v>E2</c:v>
                  </c:pt>
                  <c:pt idx="30">
                    <c:v>E3</c:v>
                  </c:pt>
                  <c:pt idx="31">
                    <c:v>E4</c:v>
                  </c:pt>
                  <c:pt idx="32">
                    <c:v>ER</c:v>
                  </c:pt>
                  <c:pt idx="33">
                    <c:v>E2</c:v>
                  </c:pt>
                  <c:pt idx="34">
                    <c:v>E3</c:v>
                  </c:pt>
                  <c:pt idx="35">
                    <c:v>E4</c:v>
                  </c:pt>
                  <c:pt idx="36">
                    <c:v>ER</c:v>
                  </c:pt>
                  <c:pt idx="37">
                    <c:v>E2</c:v>
                  </c:pt>
                  <c:pt idx="38">
                    <c:v>E3</c:v>
                  </c:pt>
                  <c:pt idx="39">
                    <c:v>E4</c:v>
                  </c:pt>
                </c:lvl>
                <c:lvl>
                  <c:pt idx="0">
                    <c:v>22.05.2023</c:v>
                  </c:pt>
                  <c:pt idx="4">
                    <c:v>26.05.2023</c:v>
                  </c:pt>
                  <c:pt idx="8">
                    <c:v>07.06.2023</c:v>
                  </c:pt>
                  <c:pt idx="12">
                    <c:v>28.06.2023</c:v>
                  </c:pt>
                  <c:pt idx="16">
                    <c:v>14.07.2023</c:v>
                  </c:pt>
                  <c:pt idx="20">
                    <c:v>17.07.2023</c:v>
                  </c:pt>
                  <c:pt idx="24">
                    <c:v>21.07.2023</c:v>
                  </c:pt>
                  <c:pt idx="28">
                    <c:v>02.08.2023</c:v>
                  </c:pt>
                  <c:pt idx="32">
                    <c:v>30.08.2023</c:v>
                  </c:pt>
                  <c:pt idx="36">
                    <c:v>04.10.2023</c:v>
                  </c:pt>
                </c:lvl>
                <c:lvl>
                  <c:pt idx="0">
                    <c:v>1</c:v>
                  </c:pt>
                  <c:pt idx="4">
                    <c:v>5</c:v>
                  </c:pt>
                  <c:pt idx="8">
                    <c:v>17</c:v>
                  </c:pt>
                  <c:pt idx="12">
                    <c:v>38</c:v>
                  </c:pt>
                  <c:pt idx="16">
                    <c:v>54</c:v>
                  </c:pt>
                  <c:pt idx="20">
                    <c:v>57</c:v>
                  </c:pt>
                  <c:pt idx="24">
                    <c:v>61</c:v>
                  </c:pt>
                  <c:pt idx="28">
                    <c:v>73</c:v>
                  </c:pt>
                  <c:pt idx="32">
                    <c:v>101</c:v>
                  </c:pt>
                  <c:pt idx="36">
                    <c:v>136</c:v>
                  </c:pt>
                </c:lvl>
              </c:multiLvlStrCache>
            </c:multiLvlStrRef>
          </c:cat>
          <c:val>
            <c:numRef>
              <c:extLst>
                <c:ext xmlns:c15="http://schemas.microsoft.com/office/drawing/2012/chart" uri="{02D57815-91ED-43cb-92C2-25804820EDAC}">
                  <c15:fullRef>
                    <c15:sqref>Milch!$AP$3:$AP$46</c15:sqref>
                  </c15:fullRef>
                </c:ext>
              </c:extLst>
              <c:f>Milch!$AP$3:$AP$42</c:f>
              <c:numCache>
                <c:formatCode>0.00</c:formatCode>
                <c:ptCount val="40"/>
                <c:pt idx="0">
                  <c:v>5.292122140140798E-5</c:v>
                </c:pt>
                <c:pt idx="1">
                  <c:v>2.1117963509530432E-2</c:v>
                </c:pt>
                <c:pt idx="2">
                  <c:v>2.2640968558517771E-2</c:v>
                </c:pt>
                <c:pt idx="3">
                  <c:v>2.2656001012052469E-2</c:v>
                </c:pt>
                <c:pt idx="4">
                  <c:v>0.39648675558894242</c:v>
                </c:pt>
                <c:pt idx="5">
                  <c:v>9.496041840786301</c:v>
                </c:pt>
                <c:pt idx="6">
                  <c:v>3.0894743886978731</c:v>
                </c:pt>
                <c:pt idx="7">
                  <c:v>3.1170283138130146</c:v>
                </c:pt>
                <c:pt idx="8">
                  <c:v>19.360920847829867</c:v>
                </c:pt>
                <c:pt idx="9">
                  <c:v>47.426400536360632</c:v>
                </c:pt>
                <c:pt idx="10">
                  <c:v>20.935467575899086</c:v>
                </c:pt>
                <c:pt idx="11">
                  <c:v>43.954343433709305</c:v>
                </c:pt>
                <c:pt idx="12">
                  <c:v>33.583484678015836</c:v>
                </c:pt>
                <c:pt idx="13">
                  <c:v>81.863041314638565</c:v>
                </c:pt>
                <c:pt idx="14">
                  <c:v>27.871926836453586</c:v>
                </c:pt>
                <c:pt idx="15">
                  <c:v>59.432927585834129</c:v>
                </c:pt>
                <c:pt idx="16">
                  <c:v>48.042937301323178</c:v>
                </c:pt>
                <c:pt idx="17">
                  <c:v>57.830261143362932</c:v>
                </c:pt>
                <c:pt idx="18">
                  <c:v>54.972073896546107</c:v>
                </c:pt>
                <c:pt idx="19">
                  <c:v>48.750466550296672</c:v>
                </c:pt>
                <c:pt idx="20">
                  <c:v>50.438810908820173</c:v>
                </c:pt>
                <c:pt idx="21">
                  <c:v>71.085303594465756</c:v>
                </c:pt>
                <c:pt idx="22">
                  <c:v>44.018425639928701</c:v>
                </c:pt>
                <c:pt idx="23">
                  <c:v>72.924887631760058</c:v>
                </c:pt>
                <c:pt idx="24">
                  <c:v>27.881583049162408</c:v>
                </c:pt>
                <c:pt idx="25">
                  <c:v>44.023472969662869</c:v>
                </c:pt>
                <c:pt idx="26">
                  <c:v>24.638075051563579</c:v>
                </c:pt>
                <c:pt idx="27">
                  <c:v>50.1374363582161</c:v>
                </c:pt>
                <c:pt idx="28">
                  <c:v>29.722458163461276</c:v>
                </c:pt>
                <c:pt idx="29">
                  <c:v>49.566862712947774</c:v>
                </c:pt>
                <c:pt idx="30">
                  <c:v>34.281479392972599</c:v>
                </c:pt>
                <c:pt idx="31">
                  <c:v>42.040383773727086</c:v>
                </c:pt>
                <c:pt idx="32">
                  <c:v>15.264743124794697</c:v>
                </c:pt>
                <c:pt idx="33">
                  <c:v>24.021538219607741</c:v>
                </c:pt>
                <c:pt idx="34">
                  <c:v>15.019029490317786</c:v>
                </c:pt>
                <c:pt idx="35">
                  <c:v>15.519829987243151</c:v>
                </c:pt>
                <c:pt idx="36">
                  <c:v>5.5465997160214213</c:v>
                </c:pt>
                <c:pt idx="37">
                  <c:v>3.8823235270131549</c:v>
                </c:pt>
                <c:pt idx="38">
                  <c:v>2.3827468703110761</c:v>
                </c:pt>
                <c:pt idx="39">
                  <c:v>3.8532087515933036</c:v>
                </c:pt>
              </c:numCache>
            </c:numRef>
          </c:val>
          <c:extLst>
            <c:ext xmlns:c16="http://schemas.microsoft.com/office/drawing/2014/chart" uri="{C3380CC4-5D6E-409C-BE32-E72D297353CC}">
              <c16:uniqueId val="{00000026-5BEA-48D3-A3D3-D8B808B005DA}"/>
            </c:ext>
          </c:extLst>
        </c:ser>
        <c:ser>
          <c:idx val="39"/>
          <c:order val="39"/>
          <c:tx>
            <c:strRef>
              <c:f>Milch!$AQ$2</c:f>
              <c:strCache>
                <c:ptCount val="1"/>
                <c:pt idx="0">
                  <c:v>Summe n-</c:v>
                </c:pt>
              </c:strCache>
            </c:strRef>
          </c:tx>
          <c:spPr>
            <a:solidFill>
              <a:schemeClr val="accent4">
                <a:lumMod val="70000"/>
                <a:lumOff val="30000"/>
              </a:schemeClr>
            </a:solidFill>
            <a:ln>
              <a:noFill/>
            </a:ln>
            <a:effectLst/>
          </c:spPr>
          <c:invertIfNegative val="0"/>
          <c:cat>
            <c:multiLvlStrRef>
              <c:extLst>
                <c:ext xmlns:c15="http://schemas.microsoft.com/office/drawing/2012/chart" uri="{02D57815-91ED-43cb-92C2-25804820EDAC}">
                  <c15:fullRef>
                    <c15:sqref>Milch!$A$3:$C$46</c15:sqref>
                  </c15:fullRef>
                </c:ext>
              </c:extLst>
              <c:f>Milch!$A$3:$C$42</c:f>
              <c:multiLvlStrCache>
                <c:ptCount val="40"/>
                <c:lvl>
                  <c:pt idx="0">
                    <c:v>ER</c:v>
                  </c:pt>
                  <c:pt idx="1">
                    <c:v>E2</c:v>
                  </c:pt>
                  <c:pt idx="2">
                    <c:v>E3</c:v>
                  </c:pt>
                  <c:pt idx="3">
                    <c:v>E4</c:v>
                  </c:pt>
                  <c:pt idx="4">
                    <c:v>ER</c:v>
                  </c:pt>
                  <c:pt idx="5">
                    <c:v>E2</c:v>
                  </c:pt>
                  <c:pt idx="6">
                    <c:v>E3</c:v>
                  </c:pt>
                  <c:pt idx="7">
                    <c:v>E4</c:v>
                  </c:pt>
                  <c:pt idx="8">
                    <c:v>ER</c:v>
                  </c:pt>
                  <c:pt idx="9">
                    <c:v>E2</c:v>
                  </c:pt>
                  <c:pt idx="10">
                    <c:v>E3</c:v>
                  </c:pt>
                  <c:pt idx="11">
                    <c:v>E4</c:v>
                  </c:pt>
                  <c:pt idx="12">
                    <c:v>ER</c:v>
                  </c:pt>
                  <c:pt idx="13">
                    <c:v>E2</c:v>
                  </c:pt>
                  <c:pt idx="14">
                    <c:v>E3</c:v>
                  </c:pt>
                  <c:pt idx="15">
                    <c:v>E4</c:v>
                  </c:pt>
                  <c:pt idx="16">
                    <c:v>ER</c:v>
                  </c:pt>
                  <c:pt idx="17">
                    <c:v>E2</c:v>
                  </c:pt>
                  <c:pt idx="18">
                    <c:v>E3</c:v>
                  </c:pt>
                  <c:pt idx="19">
                    <c:v>E4</c:v>
                  </c:pt>
                  <c:pt idx="20">
                    <c:v>ER</c:v>
                  </c:pt>
                  <c:pt idx="21">
                    <c:v>E2</c:v>
                  </c:pt>
                  <c:pt idx="22">
                    <c:v>E3</c:v>
                  </c:pt>
                  <c:pt idx="23">
                    <c:v>E4</c:v>
                  </c:pt>
                  <c:pt idx="24">
                    <c:v>ER</c:v>
                  </c:pt>
                  <c:pt idx="25">
                    <c:v>E2</c:v>
                  </c:pt>
                  <c:pt idx="26">
                    <c:v>E3</c:v>
                  </c:pt>
                  <c:pt idx="27">
                    <c:v>E4</c:v>
                  </c:pt>
                  <c:pt idx="28">
                    <c:v>ER</c:v>
                  </c:pt>
                  <c:pt idx="29">
                    <c:v>E2</c:v>
                  </c:pt>
                  <c:pt idx="30">
                    <c:v>E3</c:v>
                  </c:pt>
                  <c:pt idx="31">
                    <c:v>E4</c:v>
                  </c:pt>
                  <c:pt idx="32">
                    <c:v>ER</c:v>
                  </c:pt>
                  <c:pt idx="33">
                    <c:v>E2</c:v>
                  </c:pt>
                  <c:pt idx="34">
                    <c:v>E3</c:v>
                  </c:pt>
                  <c:pt idx="35">
                    <c:v>E4</c:v>
                  </c:pt>
                  <c:pt idx="36">
                    <c:v>ER</c:v>
                  </c:pt>
                  <c:pt idx="37">
                    <c:v>E2</c:v>
                  </c:pt>
                  <c:pt idx="38">
                    <c:v>E3</c:v>
                  </c:pt>
                  <c:pt idx="39">
                    <c:v>E4</c:v>
                  </c:pt>
                </c:lvl>
                <c:lvl>
                  <c:pt idx="0">
                    <c:v>22.05.2023</c:v>
                  </c:pt>
                  <c:pt idx="4">
                    <c:v>26.05.2023</c:v>
                  </c:pt>
                  <c:pt idx="8">
                    <c:v>07.06.2023</c:v>
                  </c:pt>
                  <c:pt idx="12">
                    <c:v>28.06.2023</c:v>
                  </c:pt>
                  <c:pt idx="16">
                    <c:v>14.07.2023</c:v>
                  </c:pt>
                  <c:pt idx="20">
                    <c:v>17.07.2023</c:v>
                  </c:pt>
                  <c:pt idx="24">
                    <c:v>21.07.2023</c:v>
                  </c:pt>
                  <c:pt idx="28">
                    <c:v>02.08.2023</c:v>
                  </c:pt>
                  <c:pt idx="32">
                    <c:v>30.08.2023</c:v>
                  </c:pt>
                  <c:pt idx="36">
                    <c:v>04.10.2023</c:v>
                  </c:pt>
                </c:lvl>
                <c:lvl>
                  <c:pt idx="0">
                    <c:v>1</c:v>
                  </c:pt>
                  <c:pt idx="4">
                    <c:v>5</c:v>
                  </c:pt>
                  <c:pt idx="8">
                    <c:v>17</c:v>
                  </c:pt>
                  <c:pt idx="12">
                    <c:v>38</c:v>
                  </c:pt>
                  <c:pt idx="16">
                    <c:v>54</c:v>
                  </c:pt>
                  <c:pt idx="20">
                    <c:v>57</c:v>
                  </c:pt>
                  <c:pt idx="24">
                    <c:v>61</c:v>
                  </c:pt>
                  <c:pt idx="28">
                    <c:v>73</c:v>
                  </c:pt>
                  <c:pt idx="32">
                    <c:v>101</c:v>
                  </c:pt>
                  <c:pt idx="36">
                    <c:v>136</c:v>
                  </c:pt>
                </c:lvl>
              </c:multiLvlStrCache>
            </c:multiLvlStrRef>
          </c:cat>
          <c:val>
            <c:numRef>
              <c:extLst>
                <c:ext xmlns:c15="http://schemas.microsoft.com/office/drawing/2012/chart" uri="{02D57815-91ED-43cb-92C2-25804820EDAC}">
                  <c15:fullRef>
                    <c15:sqref>Milch!$AQ$3:$AQ$46</c15:sqref>
                  </c15:fullRef>
                </c:ext>
              </c:extLst>
              <c:f>Milch!$AQ$3:$AQ$42</c:f>
              <c:numCache>
                <c:formatCode>0.00</c:formatCode>
                <c:ptCount val="40"/>
                <c:pt idx="0">
                  <c:v>0</c:v>
                </c:pt>
                <c:pt idx="1">
                  <c:v>2.1117963509530432E-2</c:v>
                </c:pt>
                <c:pt idx="2">
                  <c:v>2.2640968558517771E-2</c:v>
                </c:pt>
                <c:pt idx="3">
                  <c:v>2.2656001012052469E-2</c:v>
                </c:pt>
                <c:pt idx="4">
                  <c:v>0.23219343216677624</c:v>
                </c:pt>
                <c:pt idx="5">
                  <c:v>6.1873074940010282</c:v>
                </c:pt>
                <c:pt idx="6">
                  <c:v>2.1054349274502582</c:v>
                </c:pt>
                <c:pt idx="7">
                  <c:v>1.817216812652189</c:v>
                </c:pt>
                <c:pt idx="8">
                  <c:v>11.160294609768007</c:v>
                </c:pt>
                <c:pt idx="9">
                  <c:v>25.059855546508121</c:v>
                </c:pt>
                <c:pt idx="10">
                  <c:v>12.521910786431954</c:v>
                </c:pt>
                <c:pt idx="11">
                  <c:v>23.453361820863201</c:v>
                </c:pt>
                <c:pt idx="12">
                  <c:v>18.093243292174613</c:v>
                </c:pt>
                <c:pt idx="13">
                  <c:v>39.074883484155762</c:v>
                </c:pt>
                <c:pt idx="14">
                  <c:v>15.013852966523526</c:v>
                </c:pt>
                <c:pt idx="15">
                  <c:v>30.689008945506728</c:v>
                </c:pt>
                <c:pt idx="16">
                  <c:v>26.845302591841872</c:v>
                </c:pt>
                <c:pt idx="17">
                  <c:v>25.723562004138405</c:v>
                </c:pt>
                <c:pt idx="18">
                  <c:v>32.424238159271333</c:v>
                </c:pt>
                <c:pt idx="19">
                  <c:v>21.697368455165989</c:v>
                </c:pt>
                <c:pt idx="20">
                  <c:v>25.961651194720719</c:v>
                </c:pt>
                <c:pt idx="21">
                  <c:v>35.377914670603275</c:v>
                </c:pt>
                <c:pt idx="22">
                  <c:v>22.558226799052203</c:v>
                </c:pt>
                <c:pt idx="23">
                  <c:v>36.528692006795964</c:v>
                </c:pt>
                <c:pt idx="24">
                  <c:v>14.622006795914448</c:v>
                </c:pt>
                <c:pt idx="25">
                  <c:v>24.535006500646244</c:v>
                </c:pt>
                <c:pt idx="26">
                  <c:v>14.452999780584049</c:v>
                </c:pt>
                <c:pt idx="27">
                  <c:v>26.595909337279576</c:v>
                </c:pt>
                <c:pt idx="28">
                  <c:v>15.899804348524366</c:v>
                </c:pt>
                <c:pt idx="29">
                  <c:v>25.603968333857473</c:v>
                </c:pt>
                <c:pt idx="30">
                  <c:v>19.385098890010315</c:v>
                </c:pt>
                <c:pt idx="31">
                  <c:v>22.881175280004406</c:v>
                </c:pt>
                <c:pt idx="32">
                  <c:v>8.4509516696111611</c:v>
                </c:pt>
                <c:pt idx="33">
                  <c:v>13.561915060666777</c:v>
                </c:pt>
                <c:pt idx="34">
                  <c:v>8.5670441344519297</c:v>
                </c:pt>
                <c:pt idx="35">
                  <c:v>8.8470789173303519</c:v>
                </c:pt>
                <c:pt idx="36">
                  <c:v>3.0002460114364955</c:v>
                </c:pt>
                <c:pt idx="37">
                  <c:v>2.3323124709940011</c:v>
                </c:pt>
                <c:pt idx="38">
                  <c:v>1.4737809912919893</c:v>
                </c:pt>
                <c:pt idx="39">
                  <c:v>2.2904058458791385</c:v>
                </c:pt>
              </c:numCache>
            </c:numRef>
          </c:val>
          <c:extLst>
            <c:ext xmlns:c16="http://schemas.microsoft.com/office/drawing/2014/chart" uri="{C3380CC4-5D6E-409C-BE32-E72D297353CC}">
              <c16:uniqueId val="{00000027-5BEA-48D3-A3D3-D8B808B005DA}"/>
            </c:ext>
          </c:extLst>
        </c:ser>
        <c:ser>
          <c:idx val="40"/>
          <c:order val="40"/>
          <c:tx>
            <c:strRef>
              <c:f>Milch!$AR$2</c:f>
              <c:strCache>
                <c:ptCount val="1"/>
                <c:pt idx="0">
                  <c:v>Summe br-</c:v>
                </c:pt>
              </c:strCache>
            </c:strRef>
          </c:tx>
          <c:spPr>
            <a:solidFill>
              <a:schemeClr val="accent5">
                <a:lumMod val="70000"/>
                <a:lumOff val="30000"/>
              </a:schemeClr>
            </a:solidFill>
            <a:ln>
              <a:noFill/>
            </a:ln>
            <a:effectLst/>
          </c:spPr>
          <c:invertIfNegative val="0"/>
          <c:cat>
            <c:multiLvlStrRef>
              <c:extLst>
                <c:ext xmlns:c15="http://schemas.microsoft.com/office/drawing/2012/chart" uri="{02D57815-91ED-43cb-92C2-25804820EDAC}">
                  <c15:fullRef>
                    <c15:sqref>Milch!$A$3:$C$46</c15:sqref>
                  </c15:fullRef>
                </c:ext>
              </c:extLst>
              <c:f>Milch!$A$3:$C$42</c:f>
              <c:multiLvlStrCache>
                <c:ptCount val="40"/>
                <c:lvl>
                  <c:pt idx="0">
                    <c:v>ER</c:v>
                  </c:pt>
                  <c:pt idx="1">
                    <c:v>E2</c:v>
                  </c:pt>
                  <c:pt idx="2">
                    <c:v>E3</c:v>
                  </c:pt>
                  <c:pt idx="3">
                    <c:v>E4</c:v>
                  </c:pt>
                  <c:pt idx="4">
                    <c:v>ER</c:v>
                  </c:pt>
                  <c:pt idx="5">
                    <c:v>E2</c:v>
                  </c:pt>
                  <c:pt idx="6">
                    <c:v>E3</c:v>
                  </c:pt>
                  <c:pt idx="7">
                    <c:v>E4</c:v>
                  </c:pt>
                  <c:pt idx="8">
                    <c:v>ER</c:v>
                  </c:pt>
                  <c:pt idx="9">
                    <c:v>E2</c:v>
                  </c:pt>
                  <c:pt idx="10">
                    <c:v>E3</c:v>
                  </c:pt>
                  <c:pt idx="11">
                    <c:v>E4</c:v>
                  </c:pt>
                  <c:pt idx="12">
                    <c:v>ER</c:v>
                  </c:pt>
                  <c:pt idx="13">
                    <c:v>E2</c:v>
                  </c:pt>
                  <c:pt idx="14">
                    <c:v>E3</c:v>
                  </c:pt>
                  <c:pt idx="15">
                    <c:v>E4</c:v>
                  </c:pt>
                  <c:pt idx="16">
                    <c:v>ER</c:v>
                  </c:pt>
                  <c:pt idx="17">
                    <c:v>E2</c:v>
                  </c:pt>
                  <c:pt idx="18">
                    <c:v>E3</c:v>
                  </c:pt>
                  <c:pt idx="19">
                    <c:v>E4</c:v>
                  </c:pt>
                  <c:pt idx="20">
                    <c:v>ER</c:v>
                  </c:pt>
                  <c:pt idx="21">
                    <c:v>E2</c:v>
                  </c:pt>
                  <c:pt idx="22">
                    <c:v>E3</c:v>
                  </c:pt>
                  <c:pt idx="23">
                    <c:v>E4</c:v>
                  </c:pt>
                  <c:pt idx="24">
                    <c:v>ER</c:v>
                  </c:pt>
                  <c:pt idx="25">
                    <c:v>E2</c:v>
                  </c:pt>
                  <c:pt idx="26">
                    <c:v>E3</c:v>
                  </c:pt>
                  <c:pt idx="27">
                    <c:v>E4</c:v>
                  </c:pt>
                  <c:pt idx="28">
                    <c:v>ER</c:v>
                  </c:pt>
                  <c:pt idx="29">
                    <c:v>E2</c:v>
                  </c:pt>
                  <c:pt idx="30">
                    <c:v>E3</c:v>
                  </c:pt>
                  <c:pt idx="31">
                    <c:v>E4</c:v>
                  </c:pt>
                  <c:pt idx="32">
                    <c:v>ER</c:v>
                  </c:pt>
                  <c:pt idx="33">
                    <c:v>E2</c:v>
                  </c:pt>
                  <c:pt idx="34">
                    <c:v>E3</c:v>
                  </c:pt>
                  <c:pt idx="35">
                    <c:v>E4</c:v>
                  </c:pt>
                  <c:pt idx="36">
                    <c:v>ER</c:v>
                  </c:pt>
                  <c:pt idx="37">
                    <c:v>E2</c:v>
                  </c:pt>
                  <c:pt idx="38">
                    <c:v>E3</c:v>
                  </c:pt>
                  <c:pt idx="39">
                    <c:v>E4</c:v>
                  </c:pt>
                </c:lvl>
                <c:lvl>
                  <c:pt idx="0">
                    <c:v>22.05.2023</c:v>
                  </c:pt>
                  <c:pt idx="4">
                    <c:v>26.05.2023</c:v>
                  </c:pt>
                  <c:pt idx="8">
                    <c:v>07.06.2023</c:v>
                  </c:pt>
                  <c:pt idx="12">
                    <c:v>28.06.2023</c:v>
                  </c:pt>
                  <c:pt idx="16">
                    <c:v>14.07.2023</c:v>
                  </c:pt>
                  <c:pt idx="20">
                    <c:v>17.07.2023</c:v>
                  </c:pt>
                  <c:pt idx="24">
                    <c:v>21.07.2023</c:v>
                  </c:pt>
                  <c:pt idx="28">
                    <c:v>02.08.2023</c:v>
                  </c:pt>
                  <c:pt idx="32">
                    <c:v>30.08.2023</c:v>
                  </c:pt>
                  <c:pt idx="36">
                    <c:v>04.10.2023</c:v>
                  </c:pt>
                </c:lvl>
                <c:lvl>
                  <c:pt idx="0">
                    <c:v>1</c:v>
                  </c:pt>
                  <c:pt idx="4">
                    <c:v>5</c:v>
                  </c:pt>
                  <c:pt idx="8">
                    <c:v>17</c:v>
                  </c:pt>
                  <c:pt idx="12">
                    <c:v>38</c:v>
                  </c:pt>
                  <c:pt idx="16">
                    <c:v>54</c:v>
                  </c:pt>
                  <c:pt idx="20">
                    <c:v>57</c:v>
                  </c:pt>
                  <c:pt idx="24">
                    <c:v>61</c:v>
                  </c:pt>
                  <c:pt idx="28">
                    <c:v>73</c:v>
                  </c:pt>
                  <c:pt idx="32">
                    <c:v>101</c:v>
                  </c:pt>
                  <c:pt idx="36">
                    <c:v>136</c:v>
                  </c:pt>
                </c:lvl>
              </c:multiLvlStrCache>
            </c:multiLvlStrRef>
          </c:cat>
          <c:val>
            <c:numRef>
              <c:extLst>
                <c:ext xmlns:c15="http://schemas.microsoft.com/office/drawing/2012/chart" uri="{02D57815-91ED-43cb-92C2-25804820EDAC}">
                  <c15:fullRef>
                    <c15:sqref>Milch!$AR$3:$AR$46</c15:sqref>
                  </c15:fullRef>
                </c:ext>
              </c:extLst>
              <c:f>Milch!$AR$3:$AR$42</c:f>
              <c:numCache>
                <c:formatCode>0.00</c:formatCode>
                <c:ptCount val="40"/>
                <c:pt idx="0">
                  <c:v>5.292122140140798E-5</c:v>
                </c:pt>
                <c:pt idx="1">
                  <c:v>0</c:v>
                </c:pt>
                <c:pt idx="2">
                  <c:v>0</c:v>
                </c:pt>
                <c:pt idx="3">
                  <c:v>0</c:v>
                </c:pt>
                <c:pt idx="4">
                  <c:v>0.16429332342216621</c:v>
                </c:pt>
                <c:pt idx="5">
                  <c:v>3.3087343467852737</c:v>
                </c:pt>
                <c:pt idx="6">
                  <c:v>0.98403946124761554</c:v>
                </c:pt>
                <c:pt idx="7">
                  <c:v>1.2998115011608253</c:v>
                </c:pt>
                <c:pt idx="8">
                  <c:v>8.2006262380618615</c:v>
                </c:pt>
                <c:pt idx="9">
                  <c:v>22.366544989852503</c:v>
                </c:pt>
                <c:pt idx="10">
                  <c:v>8.4135567894671279</c:v>
                </c:pt>
                <c:pt idx="11">
                  <c:v>20.500981612846097</c:v>
                </c:pt>
                <c:pt idx="12">
                  <c:v>15.490241385841228</c:v>
                </c:pt>
                <c:pt idx="13">
                  <c:v>42.788157830482781</c:v>
                </c:pt>
                <c:pt idx="14">
                  <c:v>12.85807386993006</c:v>
                </c:pt>
                <c:pt idx="15">
                  <c:v>28.743918640327408</c:v>
                </c:pt>
                <c:pt idx="16">
                  <c:v>21.19763470948131</c:v>
                </c:pt>
                <c:pt idx="17">
                  <c:v>32.106699139224524</c:v>
                </c:pt>
                <c:pt idx="18">
                  <c:v>22.547835737274781</c:v>
                </c:pt>
                <c:pt idx="19">
                  <c:v>27.053098095130693</c:v>
                </c:pt>
                <c:pt idx="20">
                  <c:v>24.477159714099457</c:v>
                </c:pt>
                <c:pt idx="21">
                  <c:v>35.707388923862489</c:v>
                </c:pt>
                <c:pt idx="22">
                  <c:v>21.46019884087649</c:v>
                </c:pt>
                <c:pt idx="23">
                  <c:v>36.396195624964079</c:v>
                </c:pt>
                <c:pt idx="24">
                  <c:v>13.259576253247955</c:v>
                </c:pt>
                <c:pt idx="25">
                  <c:v>19.488466469016629</c:v>
                </c:pt>
                <c:pt idx="26">
                  <c:v>10.185075270979532</c:v>
                </c:pt>
                <c:pt idx="27">
                  <c:v>23.541527020936524</c:v>
                </c:pt>
                <c:pt idx="28">
                  <c:v>13.822653814936913</c:v>
                </c:pt>
                <c:pt idx="29">
                  <c:v>23.962894379090297</c:v>
                </c:pt>
                <c:pt idx="30">
                  <c:v>14.896380502962289</c:v>
                </c:pt>
                <c:pt idx="31">
                  <c:v>19.159208493722687</c:v>
                </c:pt>
                <c:pt idx="32">
                  <c:v>6.8137914551835328</c:v>
                </c:pt>
                <c:pt idx="33">
                  <c:v>10.459623158940969</c:v>
                </c:pt>
                <c:pt idx="34">
                  <c:v>6.4519853558658555</c:v>
                </c:pt>
                <c:pt idx="35">
                  <c:v>6.6727510699128016</c:v>
                </c:pt>
                <c:pt idx="36">
                  <c:v>2.5463537045849254</c:v>
                </c:pt>
                <c:pt idx="37">
                  <c:v>1.550011056019154</c:v>
                </c:pt>
                <c:pt idx="38">
                  <c:v>0.90896587901908676</c:v>
                </c:pt>
                <c:pt idx="39">
                  <c:v>1.5628029057141652</c:v>
                </c:pt>
              </c:numCache>
            </c:numRef>
          </c:val>
          <c:extLst>
            <c:ext xmlns:c16="http://schemas.microsoft.com/office/drawing/2014/chart" uri="{C3380CC4-5D6E-409C-BE32-E72D297353CC}">
              <c16:uniqueId val="{00000028-5BEA-48D3-A3D3-D8B808B005DA}"/>
            </c:ext>
          </c:extLst>
        </c:ser>
        <c:dLbls>
          <c:showLegendKey val="0"/>
          <c:showVal val="0"/>
          <c:showCatName val="0"/>
          <c:showSerName val="0"/>
          <c:showPercent val="0"/>
          <c:showBubbleSize val="0"/>
        </c:dLbls>
        <c:gapWidth val="150"/>
        <c:overlap val="100"/>
        <c:axId val="398906847"/>
        <c:axId val="398901855"/>
      </c:barChart>
      <c:catAx>
        <c:axId val="398906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901855"/>
        <c:crosses val="autoZero"/>
        <c:auto val="1"/>
        <c:lblAlgn val="ctr"/>
        <c:lblOffset val="100"/>
        <c:noMultiLvlLbl val="0"/>
      </c:catAx>
      <c:valAx>
        <c:axId val="39890185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906847"/>
        <c:crosses val="autoZero"/>
        <c:crossBetween val="between"/>
      </c:valAx>
      <c:spPr>
        <a:noFill/>
        <a:ln>
          <a:noFill/>
        </a:ln>
        <a:effectLst/>
      </c:spPr>
    </c:plotArea>
    <c:legend>
      <c:legendPos val="b"/>
      <c:layout>
        <c:manualLayout>
          <c:xMode val="edge"/>
          <c:yMode val="edge"/>
          <c:x val="7.3305476183481447E-2"/>
          <c:y val="0.85109375511434393"/>
          <c:w val="0.86098798424422252"/>
          <c:h val="0.1015975561558014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8740157499999996" l="0.7" r="0.7" t="0.78740157499999996"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Transferraten!$C$92</c:f>
              <c:strCache>
                <c:ptCount val="1"/>
                <c:pt idx="0">
                  <c:v>n-PFCA</c:v>
                </c:pt>
              </c:strCache>
            </c:strRef>
          </c:tx>
          <c:spPr>
            <a:ln w="28575" cap="rnd">
              <a:solidFill>
                <a:schemeClr val="accent1"/>
              </a:solidFill>
              <a:round/>
            </a:ln>
            <a:effectLst/>
          </c:spPr>
          <c:marker>
            <c:symbol val="none"/>
          </c:marker>
          <c:cat>
            <c:numRef>
              <c:f>Transferraten!$B$93:$B$103</c:f>
              <c:numCache>
                <c:formatCode>General</c:formatCode>
                <c:ptCount val="11"/>
                <c:pt idx="0">
                  <c:v>4</c:v>
                </c:pt>
                <c:pt idx="1">
                  <c:v>5</c:v>
                </c:pt>
                <c:pt idx="2">
                  <c:v>6</c:v>
                </c:pt>
                <c:pt idx="3">
                  <c:v>7</c:v>
                </c:pt>
                <c:pt idx="4">
                  <c:v>8</c:v>
                </c:pt>
                <c:pt idx="5">
                  <c:v>9</c:v>
                </c:pt>
                <c:pt idx="6">
                  <c:v>10</c:v>
                </c:pt>
                <c:pt idx="7">
                  <c:v>11</c:v>
                </c:pt>
                <c:pt idx="8">
                  <c:v>12</c:v>
                </c:pt>
                <c:pt idx="9">
                  <c:v>13</c:v>
                </c:pt>
                <c:pt idx="10">
                  <c:v>14</c:v>
                </c:pt>
              </c:numCache>
            </c:numRef>
          </c:cat>
          <c:val>
            <c:numRef>
              <c:f>Transferraten!$C$93:$C$103</c:f>
              <c:numCache>
                <c:formatCode>0.00</c:formatCode>
                <c:ptCount val="11"/>
                <c:pt idx="0">
                  <c:v>0.28721297149671687</c:v>
                </c:pt>
                <c:pt idx="1">
                  <c:v>2.2075241027722663E-2</c:v>
                </c:pt>
                <c:pt idx="2">
                  <c:v>0</c:v>
                </c:pt>
                <c:pt idx="3">
                  <c:v>0</c:v>
                </c:pt>
                <c:pt idx="4">
                  <c:v>6.3228996839901686E-2</c:v>
                </c:pt>
                <c:pt idx="5">
                  <c:v>1.0700896688667709</c:v>
                </c:pt>
                <c:pt idx="6">
                  <c:v>8.9233492531875847</c:v>
                </c:pt>
                <c:pt idx="7">
                  <c:v>7.1708812807638562</c:v>
                </c:pt>
                <c:pt idx="8">
                  <c:v>3.1984979125962623</c:v>
                </c:pt>
                <c:pt idx="9">
                  <c:v>1.5003751155885698</c:v>
                </c:pt>
                <c:pt idx="10">
                  <c:v>0.40348055543500172</c:v>
                </c:pt>
              </c:numCache>
            </c:numRef>
          </c:val>
          <c:smooth val="0"/>
          <c:extLst>
            <c:ext xmlns:c16="http://schemas.microsoft.com/office/drawing/2014/chart" uri="{C3380CC4-5D6E-409C-BE32-E72D297353CC}">
              <c16:uniqueId val="{00000000-44B8-4301-B6C9-BD48AA87E173}"/>
            </c:ext>
          </c:extLst>
        </c:ser>
        <c:ser>
          <c:idx val="1"/>
          <c:order val="1"/>
          <c:tx>
            <c:strRef>
              <c:f>Transferraten!$D$92</c:f>
              <c:strCache>
                <c:ptCount val="1"/>
                <c:pt idx="0">
                  <c:v>br-PFCA</c:v>
                </c:pt>
              </c:strCache>
            </c:strRef>
          </c:tx>
          <c:spPr>
            <a:ln w="28575" cap="rnd">
              <a:solidFill>
                <a:schemeClr val="accent1"/>
              </a:solidFill>
              <a:prstDash val="sysDash"/>
              <a:round/>
            </a:ln>
            <a:effectLst/>
          </c:spPr>
          <c:marker>
            <c:symbol val="none"/>
          </c:marker>
          <c:cat>
            <c:numRef>
              <c:f>Transferraten!$B$93:$B$103</c:f>
              <c:numCache>
                <c:formatCode>General</c:formatCode>
                <c:ptCount val="11"/>
                <c:pt idx="0">
                  <c:v>4</c:v>
                </c:pt>
                <c:pt idx="1">
                  <c:v>5</c:v>
                </c:pt>
                <c:pt idx="2">
                  <c:v>6</c:v>
                </c:pt>
                <c:pt idx="3">
                  <c:v>7</c:v>
                </c:pt>
                <c:pt idx="4">
                  <c:v>8</c:v>
                </c:pt>
                <c:pt idx="5">
                  <c:v>9</c:v>
                </c:pt>
                <c:pt idx="6">
                  <c:v>10</c:v>
                </c:pt>
                <c:pt idx="7">
                  <c:v>11</c:v>
                </c:pt>
                <c:pt idx="8">
                  <c:v>12</c:v>
                </c:pt>
                <c:pt idx="9">
                  <c:v>13</c:v>
                </c:pt>
                <c:pt idx="10">
                  <c:v>14</c:v>
                </c:pt>
              </c:numCache>
            </c:numRef>
          </c:cat>
          <c:val>
            <c:numRef>
              <c:f>Transferraten!$D$93:$D$103</c:f>
              <c:numCache>
                <c:formatCode>0.00</c:formatCode>
                <c:ptCount val="11"/>
                <c:pt idx="3">
                  <c:v>0</c:v>
                </c:pt>
                <c:pt idx="4">
                  <c:v>3.1246526531004445E-2</c:v>
                </c:pt>
                <c:pt idx="5">
                  <c:v>0.26084180614303254</c:v>
                </c:pt>
                <c:pt idx="6">
                  <c:v>1.6918221745091464</c:v>
                </c:pt>
                <c:pt idx="7">
                  <c:v>4.6156029126535465</c:v>
                </c:pt>
                <c:pt idx="8">
                  <c:v>2.0384616867400238</c:v>
                </c:pt>
                <c:pt idx="9">
                  <c:v>1.097226238440361</c:v>
                </c:pt>
                <c:pt idx="10">
                  <c:v>0.34711798820644135</c:v>
                </c:pt>
              </c:numCache>
            </c:numRef>
          </c:val>
          <c:smooth val="0"/>
          <c:extLst>
            <c:ext xmlns:c16="http://schemas.microsoft.com/office/drawing/2014/chart" uri="{C3380CC4-5D6E-409C-BE32-E72D297353CC}">
              <c16:uniqueId val="{00000001-44B8-4301-B6C9-BD48AA87E173}"/>
            </c:ext>
          </c:extLst>
        </c:ser>
        <c:ser>
          <c:idx val="2"/>
          <c:order val="2"/>
          <c:tx>
            <c:strRef>
              <c:f>Transferraten!$E$92</c:f>
              <c:strCache>
                <c:ptCount val="1"/>
                <c:pt idx="0">
                  <c:v>n-PFSA</c:v>
                </c:pt>
              </c:strCache>
            </c:strRef>
          </c:tx>
          <c:spPr>
            <a:ln w="28575" cap="rnd">
              <a:solidFill>
                <a:schemeClr val="accent3"/>
              </a:solidFill>
              <a:round/>
            </a:ln>
            <a:effectLst/>
          </c:spPr>
          <c:marker>
            <c:symbol val="none"/>
          </c:marker>
          <c:cat>
            <c:numRef>
              <c:f>Transferraten!$B$93:$B$103</c:f>
              <c:numCache>
                <c:formatCode>General</c:formatCode>
                <c:ptCount val="11"/>
                <c:pt idx="0">
                  <c:v>4</c:v>
                </c:pt>
                <c:pt idx="1">
                  <c:v>5</c:v>
                </c:pt>
                <c:pt idx="2">
                  <c:v>6</c:v>
                </c:pt>
                <c:pt idx="3">
                  <c:v>7</c:v>
                </c:pt>
                <c:pt idx="4">
                  <c:v>8</c:v>
                </c:pt>
                <c:pt idx="5">
                  <c:v>9</c:v>
                </c:pt>
                <c:pt idx="6">
                  <c:v>10</c:v>
                </c:pt>
                <c:pt idx="7">
                  <c:v>11</c:v>
                </c:pt>
                <c:pt idx="8">
                  <c:v>12</c:v>
                </c:pt>
                <c:pt idx="9">
                  <c:v>13</c:v>
                </c:pt>
                <c:pt idx="10">
                  <c:v>14</c:v>
                </c:pt>
              </c:numCache>
            </c:numRef>
          </c:cat>
          <c:val>
            <c:numRef>
              <c:f>Transferraten!$E$93:$E$103</c:f>
              <c:numCache>
                <c:formatCode>0.00</c:formatCode>
                <c:ptCount val="11"/>
                <c:pt idx="0">
                  <c:v>0</c:v>
                </c:pt>
                <c:pt idx="2">
                  <c:v>0.53578365830729613</c:v>
                </c:pt>
                <c:pt idx="3">
                  <c:v>2.5856634339756175</c:v>
                </c:pt>
                <c:pt idx="4">
                  <c:v>10.371204492148731</c:v>
                </c:pt>
                <c:pt idx="5">
                  <c:v>6.1692291813034137</c:v>
                </c:pt>
                <c:pt idx="6">
                  <c:v>1.4760449655436421</c:v>
                </c:pt>
                <c:pt idx="7">
                  <c:v>1.0989922682476811</c:v>
                </c:pt>
                <c:pt idx="8">
                  <c:v>0.59163357734889366</c:v>
                </c:pt>
                <c:pt idx="9">
                  <c:v>0.39887477339545818</c:v>
                </c:pt>
              </c:numCache>
            </c:numRef>
          </c:val>
          <c:smooth val="0"/>
          <c:extLst>
            <c:ext xmlns:c16="http://schemas.microsoft.com/office/drawing/2014/chart" uri="{C3380CC4-5D6E-409C-BE32-E72D297353CC}">
              <c16:uniqueId val="{00000002-44B8-4301-B6C9-BD48AA87E173}"/>
            </c:ext>
          </c:extLst>
        </c:ser>
        <c:ser>
          <c:idx val="3"/>
          <c:order val="3"/>
          <c:tx>
            <c:strRef>
              <c:f>Transferraten!$F$92</c:f>
              <c:strCache>
                <c:ptCount val="1"/>
                <c:pt idx="0">
                  <c:v>br-PFSA</c:v>
                </c:pt>
              </c:strCache>
            </c:strRef>
          </c:tx>
          <c:spPr>
            <a:ln w="28575" cap="rnd">
              <a:solidFill>
                <a:schemeClr val="accent3"/>
              </a:solidFill>
              <a:prstDash val="sysDash"/>
              <a:round/>
            </a:ln>
            <a:effectLst/>
          </c:spPr>
          <c:marker>
            <c:symbol val="none"/>
          </c:marker>
          <c:cat>
            <c:numRef>
              <c:f>Transferraten!$B$93:$B$103</c:f>
              <c:numCache>
                <c:formatCode>General</c:formatCode>
                <c:ptCount val="11"/>
                <c:pt idx="0">
                  <c:v>4</c:v>
                </c:pt>
                <c:pt idx="1">
                  <c:v>5</c:v>
                </c:pt>
                <c:pt idx="2">
                  <c:v>6</c:v>
                </c:pt>
                <c:pt idx="3">
                  <c:v>7</c:v>
                </c:pt>
                <c:pt idx="4">
                  <c:v>8</c:v>
                </c:pt>
                <c:pt idx="5">
                  <c:v>9</c:v>
                </c:pt>
                <c:pt idx="6">
                  <c:v>10</c:v>
                </c:pt>
                <c:pt idx="7">
                  <c:v>11</c:v>
                </c:pt>
                <c:pt idx="8">
                  <c:v>12</c:v>
                </c:pt>
                <c:pt idx="9">
                  <c:v>13</c:v>
                </c:pt>
                <c:pt idx="10">
                  <c:v>14</c:v>
                </c:pt>
              </c:numCache>
            </c:numRef>
          </c:cat>
          <c:val>
            <c:numRef>
              <c:f>Transferraten!$F$93:$F$103</c:f>
              <c:numCache>
                <c:formatCode>0.00</c:formatCode>
                <c:ptCount val="11"/>
                <c:pt idx="2">
                  <c:v>0</c:v>
                </c:pt>
                <c:pt idx="4">
                  <c:v>10.374087254531123</c:v>
                </c:pt>
                <c:pt idx="5">
                  <c:v>6.6302025127655133</c:v>
                </c:pt>
                <c:pt idx="6">
                  <c:v>1.1685630478862419</c:v>
                </c:pt>
                <c:pt idx="7">
                  <c:v>0.56191273437161748</c:v>
                </c:pt>
                <c:pt idx="8">
                  <c:v>0.18325639941318095</c:v>
                </c:pt>
                <c:pt idx="9">
                  <c:v>6.9059372786548126E-2</c:v>
                </c:pt>
              </c:numCache>
            </c:numRef>
          </c:val>
          <c:smooth val="0"/>
          <c:extLst>
            <c:ext xmlns:c16="http://schemas.microsoft.com/office/drawing/2014/chart" uri="{C3380CC4-5D6E-409C-BE32-E72D297353CC}">
              <c16:uniqueId val="{00000003-44B8-4301-B6C9-BD48AA87E173}"/>
            </c:ext>
          </c:extLst>
        </c:ser>
        <c:dLbls>
          <c:showLegendKey val="0"/>
          <c:showVal val="0"/>
          <c:showCatName val="0"/>
          <c:showSerName val="0"/>
          <c:showPercent val="0"/>
          <c:showBubbleSize val="0"/>
        </c:dLbls>
        <c:smooth val="0"/>
        <c:axId val="882773888"/>
        <c:axId val="882760992"/>
      </c:lineChart>
      <c:catAx>
        <c:axId val="882773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2760992"/>
        <c:crosses val="autoZero"/>
        <c:auto val="1"/>
        <c:lblAlgn val="ctr"/>
        <c:lblOffset val="100"/>
        <c:noMultiLvlLbl val="0"/>
      </c:catAx>
      <c:valAx>
        <c:axId val="882760992"/>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27738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8740157499999996" l="0.7" r="0.7" t="0.78740157499999996"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Transferraten!$C$48</c:f>
              <c:strCache>
                <c:ptCount val="1"/>
                <c:pt idx="0">
                  <c:v>n-PFCA</c:v>
                </c:pt>
              </c:strCache>
            </c:strRef>
          </c:tx>
          <c:spPr>
            <a:ln w="19050" cap="rnd">
              <a:noFill/>
              <a:round/>
            </a:ln>
            <a:effectLst/>
          </c:spPr>
          <c:marker>
            <c:symbol val="circle"/>
            <c:size val="7"/>
            <c:spPr>
              <a:solidFill>
                <a:schemeClr val="accent4"/>
              </a:solidFill>
              <a:ln w="9525">
                <a:noFill/>
              </a:ln>
              <a:effectLst/>
            </c:spPr>
          </c:marker>
          <c:xVal>
            <c:numRef>
              <c:f>Transferraten!$B$49:$B$59</c:f>
              <c:numCache>
                <c:formatCode>General</c:formatCode>
                <c:ptCount val="11"/>
                <c:pt idx="0">
                  <c:v>4</c:v>
                </c:pt>
                <c:pt idx="1">
                  <c:v>5</c:v>
                </c:pt>
                <c:pt idx="2">
                  <c:v>6</c:v>
                </c:pt>
                <c:pt idx="3">
                  <c:v>7</c:v>
                </c:pt>
                <c:pt idx="4">
                  <c:v>8</c:v>
                </c:pt>
                <c:pt idx="5">
                  <c:v>9</c:v>
                </c:pt>
                <c:pt idx="6">
                  <c:v>10</c:v>
                </c:pt>
                <c:pt idx="7">
                  <c:v>11</c:v>
                </c:pt>
                <c:pt idx="8">
                  <c:v>12</c:v>
                </c:pt>
                <c:pt idx="9">
                  <c:v>13</c:v>
                </c:pt>
                <c:pt idx="10">
                  <c:v>14</c:v>
                </c:pt>
              </c:numCache>
            </c:numRef>
          </c:xVal>
          <c:yVal>
            <c:numRef>
              <c:f>Transferraten!$C$49:$C$59</c:f>
              <c:numCache>
                <c:formatCode>0.00</c:formatCode>
                <c:ptCount val="11"/>
                <c:pt idx="0">
                  <c:v>0.28721297149671687</c:v>
                </c:pt>
                <c:pt idx="1">
                  <c:v>2.2075241027722663E-2</c:v>
                </c:pt>
                <c:pt idx="2">
                  <c:v>0</c:v>
                </c:pt>
                <c:pt idx="3">
                  <c:v>0</c:v>
                </c:pt>
                <c:pt idx="4">
                  <c:v>6.3228996839901686E-2</c:v>
                </c:pt>
                <c:pt idx="5">
                  <c:v>1.0700896688667709</c:v>
                </c:pt>
                <c:pt idx="6">
                  <c:v>8.9233492531875847</c:v>
                </c:pt>
                <c:pt idx="7">
                  <c:v>7.1708812807638562</c:v>
                </c:pt>
                <c:pt idx="8">
                  <c:v>3.1984979125962623</c:v>
                </c:pt>
                <c:pt idx="9">
                  <c:v>1.5003751155885698</c:v>
                </c:pt>
                <c:pt idx="10">
                  <c:v>0.40348055543500172</c:v>
                </c:pt>
              </c:numCache>
            </c:numRef>
          </c:yVal>
          <c:smooth val="0"/>
          <c:extLst>
            <c:ext xmlns:c16="http://schemas.microsoft.com/office/drawing/2014/chart" uri="{C3380CC4-5D6E-409C-BE32-E72D297353CC}">
              <c16:uniqueId val="{00000000-BE8F-43A8-B3A6-D68DB72BC518}"/>
            </c:ext>
          </c:extLst>
        </c:ser>
        <c:ser>
          <c:idx val="1"/>
          <c:order val="1"/>
          <c:tx>
            <c:strRef>
              <c:f>Transferraten!$D$48</c:f>
              <c:strCache>
                <c:ptCount val="1"/>
                <c:pt idx="0">
                  <c:v>br-PFCA</c:v>
                </c:pt>
              </c:strCache>
            </c:strRef>
          </c:tx>
          <c:spPr>
            <a:ln w="19050" cap="rnd">
              <a:noFill/>
              <a:round/>
            </a:ln>
            <a:effectLst/>
          </c:spPr>
          <c:marker>
            <c:symbol val="x"/>
            <c:size val="7"/>
            <c:spPr>
              <a:noFill/>
              <a:ln w="9525">
                <a:solidFill>
                  <a:schemeClr val="accent4"/>
                </a:solidFill>
              </a:ln>
              <a:effectLst/>
            </c:spPr>
          </c:marker>
          <c:xVal>
            <c:numRef>
              <c:f>Transferraten!$B$49:$B$59</c:f>
              <c:numCache>
                <c:formatCode>General</c:formatCode>
                <c:ptCount val="11"/>
                <c:pt idx="0">
                  <c:v>4</c:v>
                </c:pt>
                <c:pt idx="1">
                  <c:v>5</c:v>
                </c:pt>
                <c:pt idx="2">
                  <c:v>6</c:v>
                </c:pt>
                <c:pt idx="3">
                  <c:v>7</c:v>
                </c:pt>
                <c:pt idx="4">
                  <c:v>8</c:v>
                </c:pt>
                <c:pt idx="5">
                  <c:v>9</c:v>
                </c:pt>
                <c:pt idx="6">
                  <c:v>10</c:v>
                </c:pt>
                <c:pt idx="7">
                  <c:v>11</c:v>
                </c:pt>
                <c:pt idx="8">
                  <c:v>12</c:v>
                </c:pt>
                <c:pt idx="9">
                  <c:v>13</c:v>
                </c:pt>
                <c:pt idx="10">
                  <c:v>14</c:v>
                </c:pt>
              </c:numCache>
            </c:numRef>
          </c:xVal>
          <c:yVal>
            <c:numRef>
              <c:f>Transferraten!$D$49:$D$59</c:f>
              <c:numCache>
                <c:formatCode>0.00</c:formatCode>
                <c:ptCount val="11"/>
                <c:pt idx="3">
                  <c:v>0</c:v>
                </c:pt>
                <c:pt idx="4">
                  <c:v>3.1246526531004445E-2</c:v>
                </c:pt>
                <c:pt idx="5">
                  <c:v>0.26084180614303254</c:v>
                </c:pt>
                <c:pt idx="6">
                  <c:v>1.6918221745091464</c:v>
                </c:pt>
                <c:pt idx="7">
                  <c:v>4.6156029126535465</c:v>
                </c:pt>
                <c:pt idx="8">
                  <c:v>2.0384616867400238</c:v>
                </c:pt>
                <c:pt idx="9">
                  <c:v>1.097226238440361</c:v>
                </c:pt>
                <c:pt idx="10">
                  <c:v>0.34711798820644135</c:v>
                </c:pt>
              </c:numCache>
            </c:numRef>
          </c:yVal>
          <c:smooth val="0"/>
          <c:extLst>
            <c:ext xmlns:c16="http://schemas.microsoft.com/office/drawing/2014/chart" uri="{C3380CC4-5D6E-409C-BE32-E72D297353CC}">
              <c16:uniqueId val="{00000001-BE8F-43A8-B3A6-D68DB72BC518}"/>
            </c:ext>
          </c:extLst>
        </c:ser>
        <c:ser>
          <c:idx val="2"/>
          <c:order val="2"/>
          <c:tx>
            <c:strRef>
              <c:f>Transferraten!$E$48</c:f>
              <c:strCache>
                <c:ptCount val="1"/>
                <c:pt idx="0">
                  <c:v>n-PFSA</c:v>
                </c:pt>
              </c:strCache>
            </c:strRef>
          </c:tx>
          <c:spPr>
            <a:ln w="19050" cap="rnd">
              <a:noFill/>
              <a:round/>
            </a:ln>
            <a:effectLst/>
          </c:spPr>
          <c:marker>
            <c:symbol val="circle"/>
            <c:size val="7"/>
            <c:spPr>
              <a:solidFill>
                <a:schemeClr val="accent3"/>
              </a:solidFill>
              <a:ln w="9525">
                <a:noFill/>
              </a:ln>
              <a:effectLst/>
            </c:spPr>
          </c:marker>
          <c:xVal>
            <c:numRef>
              <c:f>Transferraten!$B$49:$B$59</c:f>
              <c:numCache>
                <c:formatCode>General</c:formatCode>
                <c:ptCount val="11"/>
                <c:pt idx="0">
                  <c:v>4</c:v>
                </c:pt>
                <c:pt idx="1">
                  <c:v>5</c:v>
                </c:pt>
                <c:pt idx="2">
                  <c:v>6</c:v>
                </c:pt>
                <c:pt idx="3">
                  <c:v>7</c:v>
                </c:pt>
                <c:pt idx="4">
                  <c:v>8</c:v>
                </c:pt>
                <c:pt idx="5">
                  <c:v>9</c:v>
                </c:pt>
                <c:pt idx="6">
                  <c:v>10</c:v>
                </c:pt>
                <c:pt idx="7">
                  <c:v>11</c:v>
                </c:pt>
                <c:pt idx="8">
                  <c:v>12</c:v>
                </c:pt>
                <c:pt idx="9">
                  <c:v>13</c:v>
                </c:pt>
                <c:pt idx="10">
                  <c:v>14</c:v>
                </c:pt>
              </c:numCache>
            </c:numRef>
          </c:xVal>
          <c:yVal>
            <c:numRef>
              <c:f>Transferraten!$E$49:$E$59</c:f>
              <c:numCache>
                <c:formatCode>0.00</c:formatCode>
                <c:ptCount val="11"/>
                <c:pt idx="0">
                  <c:v>0</c:v>
                </c:pt>
                <c:pt idx="2">
                  <c:v>0.53578365830729613</c:v>
                </c:pt>
                <c:pt idx="3">
                  <c:v>2.5856634339756175</c:v>
                </c:pt>
                <c:pt idx="4">
                  <c:v>10.371204492148731</c:v>
                </c:pt>
                <c:pt idx="5">
                  <c:v>6.1692291813034137</c:v>
                </c:pt>
                <c:pt idx="6">
                  <c:v>1.4760449655436421</c:v>
                </c:pt>
                <c:pt idx="7">
                  <c:v>1.0989922682476811</c:v>
                </c:pt>
                <c:pt idx="8">
                  <c:v>0.59163357734889366</c:v>
                </c:pt>
                <c:pt idx="9">
                  <c:v>0.39887477339545818</c:v>
                </c:pt>
              </c:numCache>
            </c:numRef>
          </c:yVal>
          <c:smooth val="0"/>
          <c:extLst>
            <c:ext xmlns:c16="http://schemas.microsoft.com/office/drawing/2014/chart" uri="{C3380CC4-5D6E-409C-BE32-E72D297353CC}">
              <c16:uniqueId val="{00000002-BE8F-43A8-B3A6-D68DB72BC518}"/>
            </c:ext>
          </c:extLst>
        </c:ser>
        <c:ser>
          <c:idx val="3"/>
          <c:order val="3"/>
          <c:tx>
            <c:strRef>
              <c:f>Transferraten!$F$48</c:f>
              <c:strCache>
                <c:ptCount val="1"/>
                <c:pt idx="0">
                  <c:v>br-PFCA</c:v>
                </c:pt>
              </c:strCache>
            </c:strRef>
          </c:tx>
          <c:spPr>
            <a:ln w="19050" cap="rnd">
              <a:noFill/>
              <a:round/>
            </a:ln>
            <a:effectLst/>
          </c:spPr>
          <c:marker>
            <c:symbol val="x"/>
            <c:size val="7"/>
            <c:spPr>
              <a:noFill/>
              <a:ln w="9525">
                <a:solidFill>
                  <a:schemeClr val="accent3"/>
                </a:solidFill>
              </a:ln>
              <a:effectLst/>
            </c:spPr>
          </c:marker>
          <c:xVal>
            <c:numRef>
              <c:f>Transferraten!$B$49:$B$59</c:f>
              <c:numCache>
                <c:formatCode>General</c:formatCode>
                <c:ptCount val="11"/>
                <c:pt idx="0">
                  <c:v>4</c:v>
                </c:pt>
                <c:pt idx="1">
                  <c:v>5</c:v>
                </c:pt>
                <c:pt idx="2">
                  <c:v>6</c:v>
                </c:pt>
                <c:pt idx="3">
                  <c:v>7</c:v>
                </c:pt>
                <c:pt idx="4">
                  <c:v>8</c:v>
                </c:pt>
                <c:pt idx="5">
                  <c:v>9</c:v>
                </c:pt>
                <c:pt idx="6">
                  <c:v>10</c:v>
                </c:pt>
                <c:pt idx="7">
                  <c:v>11</c:v>
                </c:pt>
                <c:pt idx="8">
                  <c:v>12</c:v>
                </c:pt>
                <c:pt idx="9">
                  <c:v>13</c:v>
                </c:pt>
                <c:pt idx="10">
                  <c:v>14</c:v>
                </c:pt>
              </c:numCache>
            </c:numRef>
          </c:xVal>
          <c:yVal>
            <c:numRef>
              <c:f>Transferraten!$F$49:$F$59</c:f>
              <c:numCache>
                <c:formatCode>0.00</c:formatCode>
                <c:ptCount val="11"/>
                <c:pt idx="2">
                  <c:v>0</c:v>
                </c:pt>
                <c:pt idx="4">
                  <c:v>10.374087254531123</c:v>
                </c:pt>
                <c:pt idx="5">
                  <c:v>6.6302025127655133</c:v>
                </c:pt>
                <c:pt idx="6">
                  <c:v>1.1685630478862419</c:v>
                </c:pt>
                <c:pt idx="7">
                  <c:v>0.56191273437161748</c:v>
                </c:pt>
                <c:pt idx="8">
                  <c:v>0.18325639941318095</c:v>
                </c:pt>
                <c:pt idx="9">
                  <c:v>6.9059372786548126E-2</c:v>
                </c:pt>
              </c:numCache>
            </c:numRef>
          </c:yVal>
          <c:smooth val="0"/>
          <c:extLst>
            <c:ext xmlns:c16="http://schemas.microsoft.com/office/drawing/2014/chart" uri="{C3380CC4-5D6E-409C-BE32-E72D297353CC}">
              <c16:uniqueId val="{00000003-BE8F-43A8-B3A6-D68DB72BC518}"/>
            </c:ext>
          </c:extLst>
        </c:ser>
        <c:dLbls>
          <c:showLegendKey val="0"/>
          <c:showVal val="0"/>
          <c:showCatName val="0"/>
          <c:showSerName val="0"/>
          <c:showPercent val="0"/>
          <c:showBubbleSize val="0"/>
        </c:dLbls>
        <c:axId val="752672224"/>
        <c:axId val="752665152"/>
      </c:scatterChart>
      <c:valAx>
        <c:axId val="752672224"/>
        <c:scaling>
          <c:orientation val="minMax"/>
          <c:max val="15"/>
          <c:min val="3"/>
        </c:scaling>
        <c:delete val="0"/>
        <c:axPos val="b"/>
        <c:title>
          <c:tx>
            <c:rich>
              <a:bodyPr rot="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US"/>
                  <a:t>Number of carbon atoms</a:t>
                </a:r>
              </a:p>
            </c:rich>
          </c:tx>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none"/>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752665152"/>
        <c:crosses val="autoZero"/>
        <c:crossBetween val="midCat"/>
        <c:majorUnit val="1"/>
      </c:valAx>
      <c:valAx>
        <c:axId val="752665152"/>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US"/>
                  <a:t>PFAA</a:t>
                </a:r>
                <a:r>
                  <a:rPr lang="en-US" baseline="0"/>
                  <a:t> </a:t>
                </a:r>
                <a:r>
                  <a:rPr lang="en-US"/>
                  <a:t>Transfer rate in goat milk (%)</a:t>
                </a:r>
              </a:p>
            </c:rich>
          </c:tx>
          <c:overlay val="0"/>
          <c:spPr>
            <a:noFill/>
            <a:ln>
              <a:noFill/>
            </a:ln>
            <a:effectLst/>
          </c:spPr>
          <c:txPr>
            <a:bodyPr rot="-540000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numFmt formatCode="0" sourceLinked="0"/>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752672224"/>
        <c:crosses val="autoZero"/>
        <c:crossBetween val="midCat"/>
      </c:valAx>
      <c:spPr>
        <a:noFill/>
        <a:ln>
          <a:solidFill>
            <a:sysClr val="windowText" lastClr="000000"/>
          </a:solid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8740157499999996" l="0.7" r="0.7" t="0.78740157499999996"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Halbwertszeiten!$N$2</c:f>
              <c:strCache>
                <c:ptCount val="1"/>
                <c:pt idx="0">
                  <c:v>n-PFCAs</c:v>
                </c:pt>
              </c:strCache>
            </c:strRef>
          </c:tx>
          <c:spPr>
            <a:ln w="19050" cap="rnd">
              <a:noFill/>
              <a:round/>
            </a:ln>
            <a:effectLst/>
          </c:spPr>
          <c:marker>
            <c:symbol val="circle"/>
            <c:size val="7"/>
            <c:spPr>
              <a:solidFill>
                <a:schemeClr val="accent4"/>
              </a:solidFill>
              <a:ln w="9525">
                <a:noFill/>
              </a:ln>
              <a:effectLst/>
            </c:spPr>
          </c:marker>
          <c:xVal>
            <c:numRef>
              <c:f>Halbwertszeiten!$M$3:$M$13</c:f>
              <c:numCache>
                <c:formatCode>General</c:formatCode>
                <c:ptCount val="11"/>
                <c:pt idx="0">
                  <c:v>4</c:v>
                </c:pt>
                <c:pt idx="1">
                  <c:v>5</c:v>
                </c:pt>
                <c:pt idx="2">
                  <c:v>6</c:v>
                </c:pt>
                <c:pt idx="3">
                  <c:v>7</c:v>
                </c:pt>
                <c:pt idx="4">
                  <c:v>8</c:v>
                </c:pt>
                <c:pt idx="5">
                  <c:v>9</c:v>
                </c:pt>
                <c:pt idx="6">
                  <c:v>10</c:v>
                </c:pt>
                <c:pt idx="7">
                  <c:v>11</c:v>
                </c:pt>
                <c:pt idx="8">
                  <c:v>12</c:v>
                </c:pt>
                <c:pt idx="9">
                  <c:v>13</c:v>
                </c:pt>
                <c:pt idx="10">
                  <c:v>14</c:v>
                </c:pt>
              </c:numCache>
            </c:numRef>
          </c:xVal>
          <c:yVal>
            <c:numRef>
              <c:f>Halbwertszeiten!$N$3:$N$13</c:f>
              <c:numCache>
                <c:formatCode>General</c:formatCode>
                <c:ptCount val="11"/>
                <c:pt idx="0">
                  <c:v>27.582413837139953</c:v>
                </c:pt>
                <c:pt idx="4">
                  <c:v>12.952995537712773</c:v>
                </c:pt>
                <c:pt idx="5">
                  <c:v>38.22324952131487</c:v>
                </c:pt>
                <c:pt idx="6">
                  <c:v>42.48256315074125</c:v>
                </c:pt>
                <c:pt idx="7">
                  <c:v>28.075606686796913</c:v>
                </c:pt>
                <c:pt idx="8">
                  <c:v>20.937350880083844</c:v>
                </c:pt>
                <c:pt idx="9">
                  <c:v>14.681063381238323</c:v>
                </c:pt>
                <c:pt idx="10">
                  <c:v>9.8318749015595088</c:v>
                </c:pt>
              </c:numCache>
            </c:numRef>
          </c:yVal>
          <c:smooth val="0"/>
          <c:extLst>
            <c:ext xmlns:c16="http://schemas.microsoft.com/office/drawing/2014/chart" uri="{C3380CC4-5D6E-409C-BE32-E72D297353CC}">
              <c16:uniqueId val="{00000000-6F97-44F4-AF21-D4958D61179C}"/>
            </c:ext>
          </c:extLst>
        </c:ser>
        <c:ser>
          <c:idx val="1"/>
          <c:order val="1"/>
          <c:tx>
            <c:strRef>
              <c:f>Halbwertszeiten!$O$2</c:f>
              <c:strCache>
                <c:ptCount val="1"/>
                <c:pt idx="0">
                  <c:v>br-PFCAs</c:v>
                </c:pt>
              </c:strCache>
            </c:strRef>
          </c:tx>
          <c:spPr>
            <a:ln w="19050" cap="rnd">
              <a:noFill/>
              <a:round/>
            </a:ln>
            <a:effectLst/>
          </c:spPr>
          <c:marker>
            <c:symbol val="x"/>
            <c:size val="7"/>
            <c:spPr>
              <a:noFill/>
              <a:ln w="9525">
                <a:solidFill>
                  <a:schemeClr val="accent4"/>
                </a:solidFill>
              </a:ln>
              <a:effectLst/>
            </c:spPr>
          </c:marker>
          <c:xVal>
            <c:numRef>
              <c:f>Halbwertszeiten!$M$3:$M$13</c:f>
              <c:numCache>
                <c:formatCode>General</c:formatCode>
                <c:ptCount val="11"/>
                <c:pt idx="0">
                  <c:v>4</c:v>
                </c:pt>
                <c:pt idx="1">
                  <c:v>5</c:v>
                </c:pt>
                <c:pt idx="2">
                  <c:v>6</c:v>
                </c:pt>
                <c:pt idx="3">
                  <c:v>7</c:v>
                </c:pt>
                <c:pt idx="4">
                  <c:v>8</c:v>
                </c:pt>
                <c:pt idx="5">
                  <c:v>9</c:v>
                </c:pt>
                <c:pt idx="6">
                  <c:v>10</c:v>
                </c:pt>
                <c:pt idx="7">
                  <c:v>11</c:v>
                </c:pt>
                <c:pt idx="8">
                  <c:v>12</c:v>
                </c:pt>
                <c:pt idx="9">
                  <c:v>13</c:v>
                </c:pt>
                <c:pt idx="10">
                  <c:v>14</c:v>
                </c:pt>
              </c:numCache>
            </c:numRef>
          </c:xVal>
          <c:yVal>
            <c:numRef>
              <c:f>Halbwertszeiten!$O$3:$O$13</c:f>
              <c:numCache>
                <c:formatCode>General</c:formatCode>
                <c:ptCount val="11"/>
                <c:pt idx="4">
                  <c:v>48.471830808387779</c:v>
                </c:pt>
                <c:pt idx="6">
                  <c:v>22.951893396024676</c:v>
                </c:pt>
                <c:pt idx="7">
                  <c:v>89.580591665945377</c:v>
                </c:pt>
                <c:pt idx="8">
                  <c:v>22.967319450999767</c:v>
                </c:pt>
                <c:pt idx="9">
                  <c:v>8.2387222308393824</c:v>
                </c:pt>
                <c:pt idx="10">
                  <c:v>4.1283334160806753</c:v>
                </c:pt>
              </c:numCache>
            </c:numRef>
          </c:yVal>
          <c:smooth val="0"/>
          <c:extLst>
            <c:ext xmlns:c16="http://schemas.microsoft.com/office/drawing/2014/chart" uri="{C3380CC4-5D6E-409C-BE32-E72D297353CC}">
              <c16:uniqueId val="{00000001-6F97-44F4-AF21-D4958D61179C}"/>
            </c:ext>
          </c:extLst>
        </c:ser>
        <c:ser>
          <c:idx val="2"/>
          <c:order val="2"/>
          <c:tx>
            <c:strRef>
              <c:f>Halbwertszeiten!$P$2</c:f>
              <c:strCache>
                <c:ptCount val="1"/>
                <c:pt idx="0">
                  <c:v>n-PFSAs</c:v>
                </c:pt>
              </c:strCache>
            </c:strRef>
          </c:tx>
          <c:spPr>
            <a:ln w="19050" cap="rnd">
              <a:noFill/>
              <a:round/>
            </a:ln>
            <a:effectLst/>
          </c:spPr>
          <c:marker>
            <c:symbol val="circle"/>
            <c:size val="7"/>
            <c:spPr>
              <a:solidFill>
                <a:schemeClr val="accent3"/>
              </a:solidFill>
              <a:ln w="9525">
                <a:noFill/>
              </a:ln>
              <a:effectLst/>
            </c:spPr>
          </c:marker>
          <c:xVal>
            <c:numRef>
              <c:f>Halbwertszeiten!$M$3:$M$13</c:f>
              <c:numCache>
                <c:formatCode>General</c:formatCode>
                <c:ptCount val="11"/>
                <c:pt idx="0">
                  <c:v>4</c:v>
                </c:pt>
                <c:pt idx="1">
                  <c:v>5</c:v>
                </c:pt>
                <c:pt idx="2">
                  <c:v>6</c:v>
                </c:pt>
                <c:pt idx="3">
                  <c:v>7</c:v>
                </c:pt>
                <c:pt idx="4">
                  <c:v>8</c:v>
                </c:pt>
                <c:pt idx="5">
                  <c:v>9</c:v>
                </c:pt>
                <c:pt idx="6">
                  <c:v>10</c:v>
                </c:pt>
                <c:pt idx="7">
                  <c:v>11</c:v>
                </c:pt>
                <c:pt idx="8">
                  <c:v>12</c:v>
                </c:pt>
                <c:pt idx="9">
                  <c:v>13</c:v>
                </c:pt>
                <c:pt idx="10">
                  <c:v>14</c:v>
                </c:pt>
              </c:numCache>
            </c:numRef>
          </c:xVal>
          <c:yVal>
            <c:numRef>
              <c:f>Halbwertszeiten!$P$3:$P$13</c:f>
              <c:numCache>
                <c:formatCode>General</c:formatCode>
                <c:ptCount val="11"/>
                <c:pt idx="2">
                  <c:v>4.0493119382059648</c:v>
                </c:pt>
                <c:pt idx="3">
                  <c:v>30.451071860123648</c:v>
                </c:pt>
                <c:pt idx="4">
                  <c:v>30.072969909916015</c:v>
                </c:pt>
                <c:pt idx="5">
                  <c:v>16.896108294436949</c:v>
                </c:pt>
                <c:pt idx="6">
                  <c:v>12.523815760877085</c:v>
                </c:pt>
                <c:pt idx="7">
                  <c:v>11.022802265456585</c:v>
                </c:pt>
                <c:pt idx="8">
                  <c:v>9.4812200721395197</c:v>
                </c:pt>
                <c:pt idx="9">
                  <c:v>10.119118411658832</c:v>
                </c:pt>
              </c:numCache>
            </c:numRef>
          </c:yVal>
          <c:smooth val="0"/>
          <c:extLst>
            <c:ext xmlns:c16="http://schemas.microsoft.com/office/drawing/2014/chart" uri="{C3380CC4-5D6E-409C-BE32-E72D297353CC}">
              <c16:uniqueId val="{00000002-6F97-44F4-AF21-D4958D61179C}"/>
            </c:ext>
          </c:extLst>
        </c:ser>
        <c:ser>
          <c:idx val="3"/>
          <c:order val="3"/>
          <c:tx>
            <c:strRef>
              <c:f>Halbwertszeiten!$Q$2</c:f>
              <c:strCache>
                <c:ptCount val="1"/>
                <c:pt idx="0">
                  <c:v>br-PFSAs</c:v>
                </c:pt>
              </c:strCache>
            </c:strRef>
          </c:tx>
          <c:spPr>
            <a:ln w="19050" cap="rnd">
              <a:noFill/>
              <a:round/>
            </a:ln>
            <a:effectLst/>
          </c:spPr>
          <c:marker>
            <c:symbol val="x"/>
            <c:size val="7"/>
            <c:spPr>
              <a:noFill/>
              <a:ln w="9525">
                <a:solidFill>
                  <a:schemeClr val="accent3"/>
                </a:solidFill>
              </a:ln>
              <a:effectLst/>
            </c:spPr>
          </c:marker>
          <c:xVal>
            <c:numRef>
              <c:f>Halbwertszeiten!$M$3:$M$13</c:f>
              <c:numCache>
                <c:formatCode>General</c:formatCode>
                <c:ptCount val="11"/>
                <c:pt idx="0">
                  <c:v>4</c:v>
                </c:pt>
                <c:pt idx="1">
                  <c:v>5</c:v>
                </c:pt>
                <c:pt idx="2">
                  <c:v>6</c:v>
                </c:pt>
                <c:pt idx="3">
                  <c:v>7</c:v>
                </c:pt>
                <c:pt idx="4">
                  <c:v>8</c:v>
                </c:pt>
                <c:pt idx="5">
                  <c:v>9</c:v>
                </c:pt>
                <c:pt idx="6">
                  <c:v>10</c:v>
                </c:pt>
                <c:pt idx="7">
                  <c:v>11</c:v>
                </c:pt>
                <c:pt idx="8">
                  <c:v>12</c:v>
                </c:pt>
                <c:pt idx="9">
                  <c:v>13</c:v>
                </c:pt>
                <c:pt idx="10">
                  <c:v>14</c:v>
                </c:pt>
              </c:numCache>
            </c:numRef>
          </c:xVal>
          <c:yVal>
            <c:numRef>
              <c:f>Halbwertszeiten!$Q$3:$Q$13</c:f>
              <c:numCache>
                <c:formatCode>General</c:formatCode>
                <c:ptCount val="11"/>
                <c:pt idx="4">
                  <c:v>31.007446218662501</c:v>
                </c:pt>
                <c:pt idx="5">
                  <c:v>20.989366242773073</c:v>
                </c:pt>
                <c:pt idx="6">
                  <c:v>13.326813486917404</c:v>
                </c:pt>
                <c:pt idx="7">
                  <c:v>4.4919642127986013</c:v>
                </c:pt>
                <c:pt idx="8">
                  <c:v>2.1939073640737488</c:v>
                </c:pt>
                <c:pt idx="9">
                  <c:v>3.2114749775751599</c:v>
                </c:pt>
              </c:numCache>
            </c:numRef>
          </c:yVal>
          <c:smooth val="0"/>
          <c:extLst>
            <c:ext xmlns:c16="http://schemas.microsoft.com/office/drawing/2014/chart" uri="{C3380CC4-5D6E-409C-BE32-E72D297353CC}">
              <c16:uniqueId val="{00000003-6F97-44F4-AF21-D4958D61179C}"/>
            </c:ext>
          </c:extLst>
        </c:ser>
        <c:dLbls>
          <c:showLegendKey val="0"/>
          <c:showVal val="0"/>
          <c:showCatName val="0"/>
          <c:showSerName val="0"/>
          <c:showPercent val="0"/>
          <c:showBubbleSize val="0"/>
        </c:dLbls>
        <c:axId val="1097097168"/>
        <c:axId val="1097105904"/>
      </c:scatterChart>
      <c:valAx>
        <c:axId val="1097097168"/>
        <c:scaling>
          <c:orientation val="minMax"/>
          <c:max val="15"/>
          <c:min val="3"/>
        </c:scaling>
        <c:delete val="0"/>
        <c:axPos val="b"/>
        <c:title>
          <c:tx>
            <c:rich>
              <a:bodyPr rot="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US"/>
                  <a:t>Number of carbon atoms</a:t>
                </a:r>
              </a:p>
            </c:rich>
          </c:tx>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097105904"/>
        <c:crosses val="autoZero"/>
        <c:crossBetween val="midCat"/>
        <c:majorUnit val="1"/>
      </c:valAx>
      <c:valAx>
        <c:axId val="1097105904"/>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US"/>
                  <a:t>Half-life of PFAAs in goat milk (d)</a:t>
                </a:r>
              </a:p>
            </c:rich>
          </c:tx>
          <c:overlay val="0"/>
          <c:spPr>
            <a:noFill/>
            <a:ln>
              <a:noFill/>
            </a:ln>
            <a:effectLst/>
          </c:spPr>
          <c:txPr>
            <a:bodyPr rot="-540000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097097168"/>
        <c:crosses val="autoZero"/>
        <c:crossBetween val="midCat"/>
      </c:valAx>
      <c:spPr>
        <a:solidFill>
          <a:sysClr val="window" lastClr="FFFFFF"/>
        </a:solidFill>
        <a:ln>
          <a:solidFill>
            <a:sysClr val="windowText" lastClr="000000"/>
          </a:solid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8740157499999996" l="0.7" r="0.7" t="0.78740157499999996"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573166279715207"/>
          <c:y val="4.2452979131753735E-2"/>
          <c:w val="0.70567418759951572"/>
          <c:h val="0.77628854201292541"/>
        </c:manualLayout>
      </c:layout>
      <c:scatterChart>
        <c:scatterStyle val="lineMarker"/>
        <c:varyColors val="0"/>
        <c:ser>
          <c:idx val="0"/>
          <c:order val="0"/>
          <c:tx>
            <c:strRef>
              <c:f>Halbwertszeiten!$S$2</c:f>
              <c:strCache>
                <c:ptCount val="1"/>
                <c:pt idx="0">
                  <c:v>n-PFCAs</c:v>
                </c:pt>
              </c:strCache>
            </c:strRef>
          </c:tx>
          <c:spPr>
            <a:ln w="25400" cap="rnd">
              <a:noFill/>
              <a:round/>
            </a:ln>
            <a:effectLst/>
          </c:spPr>
          <c:marker>
            <c:symbol val="circle"/>
            <c:size val="7"/>
            <c:spPr>
              <a:solidFill>
                <a:schemeClr val="accent4"/>
              </a:solidFill>
              <a:ln w="9525">
                <a:noFill/>
              </a:ln>
              <a:effectLst/>
            </c:spPr>
          </c:marker>
          <c:xVal>
            <c:numRef>
              <c:f>Halbwertszeiten!$M$3:$M$13</c:f>
              <c:numCache>
                <c:formatCode>General</c:formatCode>
                <c:ptCount val="11"/>
                <c:pt idx="0">
                  <c:v>4</c:v>
                </c:pt>
                <c:pt idx="1">
                  <c:v>5</c:v>
                </c:pt>
                <c:pt idx="2">
                  <c:v>6</c:v>
                </c:pt>
                <c:pt idx="3">
                  <c:v>7</c:v>
                </c:pt>
                <c:pt idx="4">
                  <c:v>8</c:v>
                </c:pt>
                <c:pt idx="5">
                  <c:v>9</c:v>
                </c:pt>
                <c:pt idx="6">
                  <c:v>10</c:v>
                </c:pt>
                <c:pt idx="7">
                  <c:v>11</c:v>
                </c:pt>
                <c:pt idx="8">
                  <c:v>12</c:v>
                </c:pt>
                <c:pt idx="9">
                  <c:v>13</c:v>
                </c:pt>
                <c:pt idx="10">
                  <c:v>14</c:v>
                </c:pt>
              </c:numCache>
            </c:numRef>
          </c:xVal>
          <c:yVal>
            <c:numRef>
              <c:f>Halbwertszeiten!$S$3:$S$13</c:f>
              <c:numCache>
                <c:formatCode>General</c:formatCode>
                <c:ptCount val="11"/>
                <c:pt idx="6">
                  <c:v>21.887986756558792</c:v>
                </c:pt>
                <c:pt idx="7">
                  <c:v>17.015728724061958</c:v>
                </c:pt>
                <c:pt idx="8">
                  <c:v>12.874529189433526</c:v>
                </c:pt>
                <c:pt idx="9">
                  <c:v>5.2672213943269481</c:v>
                </c:pt>
              </c:numCache>
            </c:numRef>
          </c:yVal>
          <c:smooth val="0"/>
          <c:extLst>
            <c:ext xmlns:c16="http://schemas.microsoft.com/office/drawing/2014/chart" uri="{C3380CC4-5D6E-409C-BE32-E72D297353CC}">
              <c16:uniqueId val="{00000000-3B96-4E7D-BE8F-2FA05A9F4C02}"/>
            </c:ext>
          </c:extLst>
        </c:ser>
        <c:ser>
          <c:idx val="2"/>
          <c:order val="2"/>
          <c:tx>
            <c:strRef>
              <c:f>Halbwertszeiten!$U$2</c:f>
              <c:strCache>
                <c:ptCount val="1"/>
                <c:pt idx="0">
                  <c:v>n-PFSAs</c:v>
                </c:pt>
              </c:strCache>
            </c:strRef>
          </c:tx>
          <c:spPr>
            <a:ln w="25400" cap="rnd">
              <a:noFill/>
              <a:round/>
            </a:ln>
            <a:effectLst/>
          </c:spPr>
          <c:marker>
            <c:symbol val="circle"/>
            <c:size val="7"/>
            <c:spPr>
              <a:solidFill>
                <a:schemeClr val="accent3"/>
              </a:solidFill>
              <a:ln w="9525">
                <a:noFill/>
              </a:ln>
              <a:effectLst/>
            </c:spPr>
          </c:marker>
          <c:xVal>
            <c:numRef>
              <c:f>Halbwertszeiten!$M$3:$M$13</c:f>
              <c:numCache>
                <c:formatCode>General</c:formatCode>
                <c:ptCount val="11"/>
                <c:pt idx="0">
                  <c:v>4</c:v>
                </c:pt>
                <c:pt idx="1">
                  <c:v>5</c:v>
                </c:pt>
                <c:pt idx="2">
                  <c:v>6</c:v>
                </c:pt>
                <c:pt idx="3">
                  <c:v>7</c:v>
                </c:pt>
                <c:pt idx="4">
                  <c:v>8</c:v>
                </c:pt>
                <c:pt idx="5">
                  <c:v>9</c:v>
                </c:pt>
                <c:pt idx="6">
                  <c:v>10</c:v>
                </c:pt>
                <c:pt idx="7">
                  <c:v>11</c:v>
                </c:pt>
                <c:pt idx="8">
                  <c:v>12</c:v>
                </c:pt>
                <c:pt idx="9">
                  <c:v>13</c:v>
                </c:pt>
                <c:pt idx="10">
                  <c:v>14</c:v>
                </c:pt>
              </c:numCache>
            </c:numRef>
          </c:xVal>
          <c:yVal>
            <c:numRef>
              <c:f>Halbwertszeiten!$U$3:$U$13</c:f>
              <c:numCache>
                <c:formatCode>General</c:formatCode>
                <c:ptCount val="11"/>
                <c:pt idx="2">
                  <c:v>6.1403724029435667</c:v>
                </c:pt>
                <c:pt idx="3">
                  <c:v>12.32219028896102</c:v>
                </c:pt>
                <c:pt idx="4">
                  <c:v>25.717357425478212</c:v>
                </c:pt>
                <c:pt idx="5">
                  <c:v>15.828156623932495</c:v>
                </c:pt>
                <c:pt idx="6">
                  <c:v>11.292316246518373</c:v>
                </c:pt>
                <c:pt idx="7">
                  <c:v>7.2084828079179539</c:v>
                </c:pt>
                <c:pt idx="8">
                  <c:v>6.4206257209578412</c:v>
                </c:pt>
              </c:numCache>
            </c:numRef>
          </c:yVal>
          <c:smooth val="0"/>
          <c:extLst>
            <c:ext xmlns:c16="http://schemas.microsoft.com/office/drawing/2014/chart" uri="{C3380CC4-5D6E-409C-BE32-E72D297353CC}">
              <c16:uniqueId val="{00000002-3B96-4E7D-BE8F-2FA05A9F4C02}"/>
            </c:ext>
          </c:extLst>
        </c:ser>
        <c:ser>
          <c:idx val="3"/>
          <c:order val="3"/>
          <c:tx>
            <c:strRef>
              <c:f>Halbwertszeiten!$V$2</c:f>
              <c:strCache>
                <c:ptCount val="1"/>
                <c:pt idx="0">
                  <c:v>br-PFSAs</c:v>
                </c:pt>
              </c:strCache>
            </c:strRef>
          </c:tx>
          <c:spPr>
            <a:ln w="25400" cap="rnd">
              <a:noFill/>
              <a:round/>
            </a:ln>
            <a:effectLst/>
          </c:spPr>
          <c:marker>
            <c:symbol val="x"/>
            <c:size val="7"/>
            <c:spPr>
              <a:noFill/>
              <a:ln w="9525">
                <a:solidFill>
                  <a:schemeClr val="accent3"/>
                </a:solidFill>
              </a:ln>
              <a:effectLst/>
            </c:spPr>
          </c:marker>
          <c:xVal>
            <c:numRef>
              <c:f>Halbwertszeiten!$M$3:$M$13</c:f>
              <c:numCache>
                <c:formatCode>General</c:formatCode>
                <c:ptCount val="11"/>
                <c:pt idx="0">
                  <c:v>4</c:v>
                </c:pt>
                <c:pt idx="1">
                  <c:v>5</c:v>
                </c:pt>
                <c:pt idx="2">
                  <c:v>6</c:v>
                </c:pt>
                <c:pt idx="3">
                  <c:v>7</c:v>
                </c:pt>
                <c:pt idx="4">
                  <c:v>8</c:v>
                </c:pt>
                <c:pt idx="5">
                  <c:v>9</c:v>
                </c:pt>
                <c:pt idx="6">
                  <c:v>10</c:v>
                </c:pt>
                <c:pt idx="7">
                  <c:v>11</c:v>
                </c:pt>
                <c:pt idx="8">
                  <c:v>12</c:v>
                </c:pt>
                <c:pt idx="9">
                  <c:v>13</c:v>
                </c:pt>
                <c:pt idx="10">
                  <c:v>14</c:v>
                </c:pt>
              </c:numCache>
            </c:numRef>
          </c:xVal>
          <c:yVal>
            <c:numRef>
              <c:f>Halbwertszeiten!$V$3:$V$13</c:f>
              <c:numCache>
                <c:formatCode>General</c:formatCode>
                <c:ptCount val="11"/>
                <c:pt idx="4">
                  <c:v>26.008932541980993</c:v>
                </c:pt>
                <c:pt idx="5">
                  <c:v>23.47524836039517</c:v>
                </c:pt>
                <c:pt idx="6">
                  <c:v>13.901427958579418</c:v>
                </c:pt>
                <c:pt idx="7">
                  <c:v>11.537292936140735</c:v>
                </c:pt>
                <c:pt idx="8">
                  <c:v>4.2569388161884136</c:v>
                </c:pt>
                <c:pt idx="9">
                  <c:v>1.8429144906838857</c:v>
                </c:pt>
              </c:numCache>
            </c:numRef>
          </c:yVal>
          <c:smooth val="0"/>
          <c:extLst>
            <c:ext xmlns:c16="http://schemas.microsoft.com/office/drawing/2014/chart" uri="{C3380CC4-5D6E-409C-BE32-E72D297353CC}">
              <c16:uniqueId val="{00000003-3B96-4E7D-BE8F-2FA05A9F4C02}"/>
            </c:ext>
          </c:extLst>
        </c:ser>
        <c:dLbls>
          <c:showLegendKey val="0"/>
          <c:showVal val="0"/>
          <c:showCatName val="0"/>
          <c:showSerName val="0"/>
          <c:showPercent val="0"/>
          <c:showBubbleSize val="0"/>
        </c:dLbls>
        <c:axId val="1097097168"/>
        <c:axId val="1097105904"/>
        <c:extLst>
          <c:ext xmlns:c15="http://schemas.microsoft.com/office/drawing/2012/chart" uri="{02D57815-91ED-43cb-92C2-25804820EDAC}">
            <c15:filteredScatterSeries>
              <c15:ser>
                <c:idx val="1"/>
                <c:order val="1"/>
                <c:tx>
                  <c:strRef>
                    <c:extLst>
                      <c:ext uri="{02D57815-91ED-43cb-92C2-25804820EDAC}">
                        <c15:formulaRef>
                          <c15:sqref>Halbwertszeiten!$T$2</c15:sqref>
                        </c15:formulaRef>
                      </c:ext>
                    </c:extLst>
                    <c:strCache>
                      <c:ptCount val="1"/>
                      <c:pt idx="0">
                        <c:v>br-PFCAs</c:v>
                      </c:pt>
                    </c:strCache>
                  </c:strRef>
                </c:tx>
                <c:spPr>
                  <a:ln w="25400" cap="rnd">
                    <a:noFill/>
                    <a:round/>
                  </a:ln>
                  <a:effectLst/>
                </c:spPr>
                <c:marker>
                  <c:symbol val="x"/>
                  <c:size val="5"/>
                  <c:spPr>
                    <a:noFill/>
                    <a:ln w="9525">
                      <a:solidFill>
                        <a:schemeClr val="accent3"/>
                      </a:solidFill>
                    </a:ln>
                    <a:effectLst/>
                  </c:spPr>
                </c:marker>
                <c:xVal>
                  <c:numRef>
                    <c:extLst>
                      <c:ext uri="{02D57815-91ED-43cb-92C2-25804820EDAC}">
                        <c15:formulaRef>
                          <c15:sqref>Halbwertszeiten!$M$3:$M$13</c15:sqref>
                        </c15:formulaRef>
                      </c:ext>
                    </c:extLst>
                    <c:numCache>
                      <c:formatCode>General</c:formatCode>
                      <c:ptCount val="11"/>
                      <c:pt idx="0">
                        <c:v>4</c:v>
                      </c:pt>
                      <c:pt idx="1">
                        <c:v>5</c:v>
                      </c:pt>
                      <c:pt idx="2">
                        <c:v>6</c:v>
                      </c:pt>
                      <c:pt idx="3">
                        <c:v>7</c:v>
                      </c:pt>
                      <c:pt idx="4">
                        <c:v>8</c:v>
                      </c:pt>
                      <c:pt idx="5">
                        <c:v>9</c:v>
                      </c:pt>
                      <c:pt idx="6">
                        <c:v>10</c:v>
                      </c:pt>
                      <c:pt idx="7">
                        <c:v>11</c:v>
                      </c:pt>
                      <c:pt idx="8">
                        <c:v>12</c:v>
                      </c:pt>
                      <c:pt idx="9">
                        <c:v>13</c:v>
                      </c:pt>
                      <c:pt idx="10">
                        <c:v>14</c:v>
                      </c:pt>
                    </c:numCache>
                  </c:numRef>
                </c:xVal>
                <c:yVal>
                  <c:numRef>
                    <c:extLst>
                      <c:ext uri="{02D57815-91ED-43cb-92C2-25804820EDAC}">
                        <c15:formulaRef>
                          <c15:sqref>Halbwertszeiten!$T$3:$T$13</c15:sqref>
                        </c15:formulaRef>
                      </c:ext>
                    </c:extLst>
                    <c:numCache>
                      <c:formatCode>General</c:formatCode>
                      <c:ptCount val="11"/>
                    </c:numCache>
                  </c:numRef>
                </c:yVal>
                <c:smooth val="0"/>
                <c:extLst>
                  <c:ext xmlns:c16="http://schemas.microsoft.com/office/drawing/2014/chart" uri="{C3380CC4-5D6E-409C-BE32-E72D297353CC}">
                    <c16:uniqueId val="{00000001-3B96-4E7D-BE8F-2FA05A9F4C02}"/>
                  </c:ext>
                </c:extLst>
              </c15:ser>
            </c15:filteredScatterSeries>
          </c:ext>
        </c:extLst>
      </c:scatterChart>
      <c:valAx>
        <c:axId val="1097097168"/>
        <c:scaling>
          <c:orientation val="minMax"/>
          <c:max val="15"/>
          <c:min val="3"/>
        </c:scaling>
        <c:delete val="0"/>
        <c:axPos val="b"/>
        <c:title>
          <c:tx>
            <c:rich>
              <a:bodyPr rot="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US"/>
                  <a:t>Number of carbon atoms</a:t>
                </a:r>
              </a:p>
            </c:rich>
          </c:tx>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097105904"/>
        <c:crosses val="autoZero"/>
        <c:crossBetween val="midCat"/>
        <c:majorUnit val="1"/>
      </c:valAx>
      <c:valAx>
        <c:axId val="1097105904"/>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US"/>
                  <a:t>Half-life of PFAAs in goat serum (weeks)</a:t>
                </a:r>
              </a:p>
            </c:rich>
          </c:tx>
          <c:overlay val="0"/>
          <c:spPr>
            <a:noFill/>
            <a:ln>
              <a:noFill/>
            </a:ln>
            <a:effectLst/>
          </c:spPr>
          <c:txPr>
            <a:bodyPr rot="-540000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097097168"/>
        <c:crosses val="autoZero"/>
        <c:crossBetween val="midCat"/>
        <c:majorUnit val="1"/>
      </c:valAx>
      <c:spPr>
        <a:solidFill>
          <a:sysClr val="window" lastClr="FFFFFF"/>
        </a:solidFill>
        <a:ln>
          <a:solidFill>
            <a:sysClr val="windowText" lastClr="000000"/>
          </a:solid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8740157499999996" l="0.7" r="0.7" t="0.78740157499999996"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Halbwertszeiten!$O$34:$O$35</c:f>
              <c:strCache>
                <c:ptCount val="2"/>
                <c:pt idx="0">
                  <c:v>n-PFCAs</c:v>
                </c:pt>
                <c:pt idx="1">
                  <c:v>Milch </c:v>
                </c:pt>
              </c:strCache>
            </c:strRef>
          </c:tx>
          <c:spPr>
            <a:ln w="19050" cap="rnd">
              <a:noFill/>
              <a:round/>
            </a:ln>
            <a:effectLst/>
          </c:spPr>
          <c:marker>
            <c:symbol val="circle"/>
            <c:size val="5"/>
            <c:spPr>
              <a:solidFill>
                <a:schemeClr val="accent6">
                  <a:lumMod val="75000"/>
                </a:schemeClr>
              </a:solidFill>
              <a:ln w="9525">
                <a:noFill/>
              </a:ln>
              <a:effectLst/>
            </c:spPr>
          </c:marker>
          <c:xVal>
            <c:numRef>
              <c:f>Halbwertszeiten!$N$36:$N$46</c:f>
              <c:numCache>
                <c:formatCode>General</c:formatCode>
                <c:ptCount val="11"/>
                <c:pt idx="0">
                  <c:v>4</c:v>
                </c:pt>
                <c:pt idx="1">
                  <c:v>5</c:v>
                </c:pt>
                <c:pt idx="2">
                  <c:v>6</c:v>
                </c:pt>
                <c:pt idx="3">
                  <c:v>7</c:v>
                </c:pt>
                <c:pt idx="4">
                  <c:v>8</c:v>
                </c:pt>
                <c:pt idx="5">
                  <c:v>9</c:v>
                </c:pt>
                <c:pt idx="6">
                  <c:v>10</c:v>
                </c:pt>
                <c:pt idx="7">
                  <c:v>11</c:v>
                </c:pt>
                <c:pt idx="8">
                  <c:v>12</c:v>
                </c:pt>
                <c:pt idx="9">
                  <c:v>13</c:v>
                </c:pt>
                <c:pt idx="10">
                  <c:v>14</c:v>
                </c:pt>
              </c:numCache>
            </c:numRef>
          </c:xVal>
          <c:yVal>
            <c:numRef>
              <c:f>Halbwertszeiten!$O$36:$O$46</c:f>
              <c:numCache>
                <c:formatCode>0.00</c:formatCode>
                <c:ptCount val="11"/>
                <c:pt idx="0">
                  <c:v>27.582413837139953</c:v>
                </c:pt>
                <c:pt idx="4">
                  <c:v>12.952995537712773</c:v>
                </c:pt>
                <c:pt idx="5">
                  <c:v>38.22324952131487</c:v>
                </c:pt>
                <c:pt idx="6">
                  <c:v>42.48256315074125</c:v>
                </c:pt>
                <c:pt idx="7">
                  <c:v>28.075606686796913</c:v>
                </c:pt>
                <c:pt idx="8">
                  <c:v>20.937350880083844</c:v>
                </c:pt>
                <c:pt idx="9">
                  <c:v>14.681063381238323</c:v>
                </c:pt>
                <c:pt idx="10">
                  <c:v>9.8318749015595088</c:v>
                </c:pt>
              </c:numCache>
            </c:numRef>
          </c:yVal>
          <c:smooth val="0"/>
          <c:extLst>
            <c:ext xmlns:c16="http://schemas.microsoft.com/office/drawing/2014/chart" uri="{C3380CC4-5D6E-409C-BE32-E72D297353CC}">
              <c16:uniqueId val="{00000000-2509-4B3D-A087-8A4DED5C70A4}"/>
            </c:ext>
          </c:extLst>
        </c:ser>
        <c:ser>
          <c:idx val="1"/>
          <c:order val="1"/>
          <c:tx>
            <c:strRef>
              <c:f>Halbwertszeiten!$P$34:$P$35</c:f>
              <c:strCache>
                <c:ptCount val="2"/>
                <c:pt idx="0">
                  <c:v>n-PFCAs</c:v>
                </c:pt>
                <c:pt idx="1">
                  <c:v>Serum</c:v>
                </c:pt>
              </c:strCache>
            </c:strRef>
          </c:tx>
          <c:spPr>
            <a:ln w="19050" cap="rnd">
              <a:noFill/>
              <a:round/>
            </a:ln>
            <a:effectLst/>
          </c:spPr>
          <c:marker>
            <c:symbol val="circle"/>
            <c:size val="5"/>
            <c:spPr>
              <a:solidFill>
                <a:schemeClr val="bg1">
                  <a:lumMod val="50000"/>
                </a:schemeClr>
              </a:solidFill>
              <a:ln w="9525">
                <a:noFill/>
              </a:ln>
              <a:effectLst/>
            </c:spPr>
          </c:marker>
          <c:xVal>
            <c:numRef>
              <c:f>Halbwertszeiten!$N$36:$N$46</c:f>
              <c:numCache>
                <c:formatCode>General</c:formatCode>
                <c:ptCount val="11"/>
                <c:pt idx="0">
                  <c:v>4</c:v>
                </c:pt>
                <c:pt idx="1">
                  <c:v>5</c:v>
                </c:pt>
                <c:pt idx="2">
                  <c:v>6</c:v>
                </c:pt>
                <c:pt idx="3">
                  <c:v>7</c:v>
                </c:pt>
                <c:pt idx="4">
                  <c:v>8</c:v>
                </c:pt>
                <c:pt idx="5">
                  <c:v>9</c:v>
                </c:pt>
                <c:pt idx="6">
                  <c:v>10</c:v>
                </c:pt>
                <c:pt idx="7">
                  <c:v>11</c:v>
                </c:pt>
                <c:pt idx="8">
                  <c:v>12</c:v>
                </c:pt>
                <c:pt idx="9">
                  <c:v>13</c:v>
                </c:pt>
                <c:pt idx="10">
                  <c:v>14</c:v>
                </c:pt>
              </c:numCache>
            </c:numRef>
          </c:xVal>
          <c:yVal>
            <c:numRef>
              <c:f>Halbwertszeiten!$P$36:$P$46</c:f>
              <c:numCache>
                <c:formatCode>0.00</c:formatCode>
                <c:ptCount val="11"/>
                <c:pt idx="6">
                  <c:v>21.887986756558792</c:v>
                </c:pt>
                <c:pt idx="7">
                  <c:v>17.015728724061958</c:v>
                </c:pt>
                <c:pt idx="8">
                  <c:v>12.874529189433526</c:v>
                </c:pt>
                <c:pt idx="9">
                  <c:v>5.2672213943269481</c:v>
                </c:pt>
              </c:numCache>
            </c:numRef>
          </c:yVal>
          <c:smooth val="0"/>
          <c:extLst>
            <c:ext xmlns:c16="http://schemas.microsoft.com/office/drawing/2014/chart" uri="{C3380CC4-5D6E-409C-BE32-E72D297353CC}">
              <c16:uniqueId val="{00000001-2509-4B3D-A087-8A4DED5C70A4}"/>
            </c:ext>
          </c:extLst>
        </c:ser>
        <c:ser>
          <c:idx val="2"/>
          <c:order val="2"/>
          <c:tx>
            <c:strRef>
              <c:f>Halbwertszeiten!$Q$34:$Q$35</c:f>
              <c:strCache>
                <c:ptCount val="2"/>
                <c:pt idx="0">
                  <c:v>br-PFCAs</c:v>
                </c:pt>
                <c:pt idx="1">
                  <c:v>Milch</c:v>
                </c:pt>
              </c:strCache>
            </c:strRef>
          </c:tx>
          <c:spPr>
            <a:ln w="19050" cap="rnd">
              <a:noFill/>
              <a:round/>
            </a:ln>
            <a:effectLst/>
          </c:spPr>
          <c:marker>
            <c:symbol val="circle"/>
            <c:size val="5"/>
            <c:spPr>
              <a:pattFill prst="wdUpDiag">
                <a:fgClr>
                  <a:schemeClr val="accent6">
                    <a:lumMod val="75000"/>
                  </a:schemeClr>
                </a:fgClr>
                <a:bgClr>
                  <a:schemeClr val="bg1"/>
                </a:bgClr>
              </a:pattFill>
              <a:ln w="9525">
                <a:solidFill>
                  <a:schemeClr val="accent6">
                    <a:lumMod val="75000"/>
                  </a:schemeClr>
                </a:solidFill>
              </a:ln>
              <a:effectLst/>
            </c:spPr>
          </c:marker>
          <c:xVal>
            <c:numRef>
              <c:f>Halbwertszeiten!$N$36:$N$46</c:f>
              <c:numCache>
                <c:formatCode>General</c:formatCode>
                <c:ptCount val="11"/>
                <c:pt idx="0">
                  <c:v>4</c:v>
                </c:pt>
                <c:pt idx="1">
                  <c:v>5</c:v>
                </c:pt>
                <c:pt idx="2">
                  <c:v>6</c:v>
                </c:pt>
                <c:pt idx="3">
                  <c:v>7</c:v>
                </c:pt>
                <c:pt idx="4">
                  <c:v>8</c:v>
                </c:pt>
                <c:pt idx="5">
                  <c:v>9</c:v>
                </c:pt>
                <c:pt idx="6">
                  <c:v>10</c:v>
                </c:pt>
                <c:pt idx="7">
                  <c:v>11</c:v>
                </c:pt>
                <c:pt idx="8">
                  <c:v>12</c:v>
                </c:pt>
                <c:pt idx="9">
                  <c:v>13</c:v>
                </c:pt>
                <c:pt idx="10">
                  <c:v>14</c:v>
                </c:pt>
              </c:numCache>
            </c:numRef>
          </c:xVal>
          <c:yVal>
            <c:numRef>
              <c:f>Halbwertszeiten!$Q$36:$Q$46</c:f>
              <c:numCache>
                <c:formatCode>0.00</c:formatCode>
                <c:ptCount val="11"/>
                <c:pt idx="4">
                  <c:v>48.471830808387779</c:v>
                </c:pt>
                <c:pt idx="5">
                  <c:v>0</c:v>
                </c:pt>
                <c:pt idx="6">
                  <c:v>22.951893396024676</c:v>
                </c:pt>
                <c:pt idx="7">
                  <c:v>89.580591665945377</c:v>
                </c:pt>
                <c:pt idx="8">
                  <c:v>22.967319450999767</c:v>
                </c:pt>
                <c:pt idx="9">
                  <c:v>8.2387222308393824</c:v>
                </c:pt>
                <c:pt idx="10">
                  <c:v>4.1283334160806753</c:v>
                </c:pt>
              </c:numCache>
            </c:numRef>
          </c:yVal>
          <c:smooth val="0"/>
          <c:extLst>
            <c:ext xmlns:c16="http://schemas.microsoft.com/office/drawing/2014/chart" uri="{C3380CC4-5D6E-409C-BE32-E72D297353CC}">
              <c16:uniqueId val="{00000002-2509-4B3D-A087-8A4DED5C70A4}"/>
            </c:ext>
          </c:extLst>
        </c:ser>
        <c:ser>
          <c:idx val="3"/>
          <c:order val="3"/>
          <c:tx>
            <c:strRef>
              <c:f>Halbwertszeiten!$R$34:$R$35</c:f>
              <c:strCache>
                <c:ptCount val="2"/>
                <c:pt idx="0">
                  <c:v>n-PFSAs</c:v>
                </c:pt>
                <c:pt idx="1">
                  <c:v>Milch</c:v>
                </c:pt>
              </c:strCache>
            </c:strRef>
          </c:tx>
          <c:spPr>
            <a:ln w="19050" cap="rnd">
              <a:noFill/>
              <a:round/>
            </a:ln>
            <a:effectLst/>
          </c:spPr>
          <c:marker>
            <c:symbol val="triangle"/>
            <c:size val="5"/>
            <c:spPr>
              <a:solidFill>
                <a:schemeClr val="accent6">
                  <a:lumMod val="75000"/>
                </a:schemeClr>
              </a:solidFill>
              <a:ln w="9525">
                <a:noFill/>
              </a:ln>
              <a:effectLst/>
            </c:spPr>
          </c:marker>
          <c:xVal>
            <c:numRef>
              <c:f>Halbwertszeiten!$N$36:$N$46</c:f>
              <c:numCache>
                <c:formatCode>General</c:formatCode>
                <c:ptCount val="11"/>
                <c:pt idx="0">
                  <c:v>4</c:v>
                </c:pt>
                <c:pt idx="1">
                  <c:v>5</c:v>
                </c:pt>
                <c:pt idx="2">
                  <c:v>6</c:v>
                </c:pt>
                <c:pt idx="3">
                  <c:v>7</c:v>
                </c:pt>
                <c:pt idx="4">
                  <c:v>8</c:v>
                </c:pt>
                <c:pt idx="5">
                  <c:v>9</c:v>
                </c:pt>
                <c:pt idx="6">
                  <c:v>10</c:v>
                </c:pt>
                <c:pt idx="7">
                  <c:v>11</c:v>
                </c:pt>
                <c:pt idx="8">
                  <c:v>12</c:v>
                </c:pt>
                <c:pt idx="9">
                  <c:v>13</c:v>
                </c:pt>
                <c:pt idx="10">
                  <c:v>14</c:v>
                </c:pt>
              </c:numCache>
            </c:numRef>
          </c:xVal>
          <c:yVal>
            <c:numRef>
              <c:f>Halbwertszeiten!$R$36:$R$46</c:f>
              <c:numCache>
                <c:formatCode>0.00</c:formatCode>
                <c:ptCount val="11"/>
                <c:pt idx="2">
                  <c:v>4.0493119382059648</c:v>
                </c:pt>
                <c:pt idx="3">
                  <c:v>30.451071860123648</c:v>
                </c:pt>
                <c:pt idx="4">
                  <c:v>30.072969909916015</c:v>
                </c:pt>
                <c:pt idx="5">
                  <c:v>16.896108294436949</c:v>
                </c:pt>
                <c:pt idx="6">
                  <c:v>12.523815760877085</c:v>
                </c:pt>
                <c:pt idx="7">
                  <c:v>11.022802265456585</c:v>
                </c:pt>
                <c:pt idx="8">
                  <c:v>9.4812200721395197</c:v>
                </c:pt>
                <c:pt idx="9">
                  <c:v>10.119118411658832</c:v>
                </c:pt>
              </c:numCache>
            </c:numRef>
          </c:yVal>
          <c:smooth val="0"/>
          <c:extLst>
            <c:ext xmlns:c16="http://schemas.microsoft.com/office/drawing/2014/chart" uri="{C3380CC4-5D6E-409C-BE32-E72D297353CC}">
              <c16:uniqueId val="{00000003-2509-4B3D-A087-8A4DED5C70A4}"/>
            </c:ext>
          </c:extLst>
        </c:ser>
        <c:ser>
          <c:idx val="4"/>
          <c:order val="4"/>
          <c:tx>
            <c:strRef>
              <c:f>Halbwertszeiten!$S$34:$S$35</c:f>
              <c:strCache>
                <c:ptCount val="2"/>
                <c:pt idx="0">
                  <c:v>n-PFSAs</c:v>
                </c:pt>
                <c:pt idx="1">
                  <c:v>Serum</c:v>
                </c:pt>
              </c:strCache>
            </c:strRef>
          </c:tx>
          <c:spPr>
            <a:ln w="19050" cap="rnd">
              <a:noFill/>
              <a:round/>
            </a:ln>
            <a:effectLst/>
          </c:spPr>
          <c:marker>
            <c:symbol val="triangle"/>
            <c:size val="5"/>
            <c:spPr>
              <a:solidFill>
                <a:schemeClr val="bg1">
                  <a:lumMod val="50000"/>
                </a:schemeClr>
              </a:solidFill>
              <a:ln w="9525">
                <a:noFill/>
              </a:ln>
              <a:effectLst/>
            </c:spPr>
          </c:marker>
          <c:xVal>
            <c:numRef>
              <c:f>Halbwertszeiten!$N$36:$N$46</c:f>
              <c:numCache>
                <c:formatCode>General</c:formatCode>
                <c:ptCount val="11"/>
                <c:pt idx="0">
                  <c:v>4</c:v>
                </c:pt>
                <c:pt idx="1">
                  <c:v>5</c:v>
                </c:pt>
                <c:pt idx="2">
                  <c:v>6</c:v>
                </c:pt>
                <c:pt idx="3">
                  <c:v>7</c:v>
                </c:pt>
                <c:pt idx="4">
                  <c:v>8</c:v>
                </c:pt>
                <c:pt idx="5">
                  <c:v>9</c:v>
                </c:pt>
                <c:pt idx="6">
                  <c:v>10</c:v>
                </c:pt>
                <c:pt idx="7">
                  <c:v>11</c:v>
                </c:pt>
                <c:pt idx="8">
                  <c:v>12</c:v>
                </c:pt>
                <c:pt idx="9">
                  <c:v>13</c:v>
                </c:pt>
                <c:pt idx="10">
                  <c:v>14</c:v>
                </c:pt>
              </c:numCache>
            </c:numRef>
          </c:xVal>
          <c:yVal>
            <c:numRef>
              <c:f>Halbwertszeiten!$S$36:$S$46</c:f>
              <c:numCache>
                <c:formatCode>0.00</c:formatCode>
                <c:ptCount val="11"/>
                <c:pt idx="2">
                  <c:v>6.1403724029435667</c:v>
                </c:pt>
                <c:pt idx="3">
                  <c:v>12.32219028896102</c:v>
                </c:pt>
                <c:pt idx="4">
                  <c:v>25.717357425478212</c:v>
                </c:pt>
                <c:pt idx="5">
                  <c:v>15.828156623932495</c:v>
                </c:pt>
                <c:pt idx="6">
                  <c:v>11.292316246518373</c:v>
                </c:pt>
                <c:pt idx="7">
                  <c:v>7.2084828079179539</c:v>
                </c:pt>
                <c:pt idx="8">
                  <c:v>6.4206257209578412</c:v>
                </c:pt>
              </c:numCache>
            </c:numRef>
          </c:yVal>
          <c:smooth val="0"/>
          <c:extLst>
            <c:ext xmlns:c16="http://schemas.microsoft.com/office/drawing/2014/chart" uri="{C3380CC4-5D6E-409C-BE32-E72D297353CC}">
              <c16:uniqueId val="{00000004-2509-4B3D-A087-8A4DED5C70A4}"/>
            </c:ext>
          </c:extLst>
        </c:ser>
        <c:ser>
          <c:idx val="5"/>
          <c:order val="5"/>
          <c:tx>
            <c:strRef>
              <c:f>Halbwertszeiten!$T$34:$T$35</c:f>
              <c:strCache>
                <c:ptCount val="2"/>
                <c:pt idx="0">
                  <c:v>br-PFSAs</c:v>
                </c:pt>
                <c:pt idx="1">
                  <c:v>Milch</c:v>
                </c:pt>
              </c:strCache>
            </c:strRef>
          </c:tx>
          <c:spPr>
            <a:ln w="19050" cap="rnd">
              <a:noFill/>
              <a:round/>
            </a:ln>
            <a:effectLst/>
          </c:spPr>
          <c:marker>
            <c:symbol val="triangle"/>
            <c:size val="5"/>
            <c:spPr>
              <a:pattFill prst="wdUpDiag">
                <a:fgClr>
                  <a:schemeClr val="accent6">
                    <a:lumMod val="75000"/>
                  </a:schemeClr>
                </a:fgClr>
                <a:bgClr>
                  <a:schemeClr val="bg1"/>
                </a:bgClr>
              </a:pattFill>
              <a:ln w="9525">
                <a:solidFill>
                  <a:schemeClr val="accent6">
                    <a:lumMod val="75000"/>
                  </a:schemeClr>
                </a:solidFill>
              </a:ln>
              <a:effectLst/>
            </c:spPr>
          </c:marker>
          <c:xVal>
            <c:numRef>
              <c:f>Halbwertszeiten!$N$36:$N$46</c:f>
              <c:numCache>
                <c:formatCode>General</c:formatCode>
                <c:ptCount val="11"/>
                <c:pt idx="0">
                  <c:v>4</c:v>
                </c:pt>
                <c:pt idx="1">
                  <c:v>5</c:v>
                </c:pt>
                <c:pt idx="2">
                  <c:v>6</c:v>
                </c:pt>
                <c:pt idx="3">
                  <c:v>7</c:v>
                </c:pt>
                <c:pt idx="4">
                  <c:v>8</c:v>
                </c:pt>
                <c:pt idx="5">
                  <c:v>9</c:v>
                </c:pt>
                <c:pt idx="6">
                  <c:v>10</c:v>
                </c:pt>
                <c:pt idx="7">
                  <c:v>11</c:v>
                </c:pt>
                <c:pt idx="8">
                  <c:v>12</c:v>
                </c:pt>
                <c:pt idx="9">
                  <c:v>13</c:v>
                </c:pt>
                <c:pt idx="10">
                  <c:v>14</c:v>
                </c:pt>
              </c:numCache>
            </c:numRef>
          </c:xVal>
          <c:yVal>
            <c:numRef>
              <c:f>Halbwertszeiten!$T$36:$T$46</c:f>
              <c:numCache>
                <c:formatCode>0.00</c:formatCode>
                <c:ptCount val="11"/>
                <c:pt idx="4">
                  <c:v>31.007446218662501</c:v>
                </c:pt>
                <c:pt idx="5">
                  <c:v>20.989366242773073</c:v>
                </c:pt>
                <c:pt idx="6">
                  <c:v>13.326813486917404</c:v>
                </c:pt>
                <c:pt idx="7">
                  <c:v>4.4919642127986013</c:v>
                </c:pt>
                <c:pt idx="8">
                  <c:v>2.1939073640737488</c:v>
                </c:pt>
                <c:pt idx="9">
                  <c:v>3.2114749775751599</c:v>
                </c:pt>
              </c:numCache>
            </c:numRef>
          </c:yVal>
          <c:smooth val="0"/>
          <c:extLst>
            <c:ext xmlns:c16="http://schemas.microsoft.com/office/drawing/2014/chart" uri="{C3380CC4-5D6E-409C-BE32-E72D297353CC}">
              <c16:uniqueId val="{00000005-2509-4B3D-A087-8A4DED5C70A4}"/>
            </c:ext>
          </c:extLst>
        </c:ser>
        <c:ser>
          <c:idx val="6"/>
          <c:order val="6"/>
          <c:tx>
            <c:strRef>
              <c:f>Halbwertszeiten!$U$34:$U$35</c:f>
              <c:strCache>
                <c:ptCount val="2"/>
                <c:pt idx="0">
                  <c:v>br-PFSAs</c:v>
                </c:pt>
                <c:pt idx="1">
                  <c:v>Serum</c:v>
                </c:pt>
              </c:strCache>
            </c:strRef>
          </c:tx>
          <c:spPr>
            <a:ln w="19050" cap="rnd">
              <a:noFill/>
              <a:round/>
            </a:ln>
            <a:effectLst/>
          </c:spPr>
          <c:marker>
            <c:symbol val="triangle"/>
            <c:size val="5"/>
            <c:spPr>
              <a:pattFill prst="wdUpDiag">
                <a:fgClr>
                  <a:schemeClr val="bg1">
                    <a:lumMod val="50000"/>
                  </a:schemeClr>
                </a:fgClr>
                <a:bgClr>
                  <a:schemeClr val="bg1"/>
                </a:bgClr>
              </a:pattFill>
              <a:ln w="9525">
                <a:solidFill>
                  <a:schemeClr val="bg1">
                    <a:lumMod val="50000"/>
                  </a:schemeClr>
                </a:solidFill>
              </a:ln>
              <a:effectLst/>
            </c:spPr>
          </c:marker>
          <c:xVal>
            <c:numRef>
              <c:f>Halbwertszeiten!$N$36:$N$46</c:f>
              <c:numCache>
                <c:formatCode>General</c:formatCode>
                <c:ptCount val="11"/>
                <c:pt idx="0">
                  <c:v>4</c:v>
                </c:pt>
                <c:pt idx="1">
                  <c:v>5</c:v>
                </c:pt>
                <c:pt idx="2">
                  <c:v>6</c:v>
                </c:pt>
                <c:pt idx="3">
                  <c:v>7</c:v>
                </c:pt>
                <c:pt idx="4">
                  <c:v>8</c:v>
                </c:pt>
                <c:pt idx="5">
                  <c:v>9</c:v>
                </c:pt>
                <c:pt idx="6">
                  <c:v>10</c:v>
                </c:pt>
                <c:pt idx="7">
                  <c:v>11</c:v>
                </c:pt>
                <c:pt idx="8">
                  <c:v>12</c:v>
                </c:pt>
                <c:pt idx="9">
                  <c:v>13</c:v>
                </c:pt>
                <c:pt idx="10">
                  <c:v>14</c:v>
                </c:pt>
              </c:numCache>
            </c:numRef>
          </c:xVal>
          <c:yVal>
            <c:numRef>
              <c:f>Halbwertszeiten!$U$36:$U$46</c:f>
              <c:numCache>
                <c:formatCode>0.00</c:formatCode>
                <c:ptCount val="11"/>
                <c:pt idx="4">
                  <c:v>26.008932541980993</c:v>
                </c:pt>
                <c:pt idx="5">
                  <c:v>23.47524836039517</c:v>
                </c:pt>
                <c:pt idx="6">
                  <c:v>13.901427958579418</c:v>
                </c:pt>
                <c:pt idx="7">
                  <c:v>11.537292936140735</c:v>
                </c:pt>
                <c:pt idx="8">
                  <c:v>4.2569388161884136</c:v>
                </c:pt>
                <c:pt idx="9">
                  <c:v>1.8429144906838857</c:v>
                </c:pt>
              </c:numCache>
            </c:numRef>
          </c:yVal>
          <c:smooth val="0"/>
          <c:extLst>
            <c:ext xmlns:c16="http://schemas.microsoft.com/office/drawing/2014/chart" uri="{C3380CC4-5D6E-409C-BE32-E72D297353CC}">
              <c16:uniqueId val="{00000006-2509-4B3D-A087-8A4DED5C70A4}"/>
            </c:ext>
          </c:extLst>
        </c:ser>
        <c:dLbls>
          <c:showLegendKey val="0"/>
          <c:showVal val="0"/>
          <c:showCatName val="0"/>
          <c:showSerName val="0"/>
          <c:showPercent val="0"/>
          <c:showBubbleSize val="0"/>
        </c:dLbls>
        <c:axId val="656098271"/>
        <c:axId val="656099519"/>
      </c:scatterChart>
      <c:valAx>
        <c:axId val="656098271"/>
        <c:scaling>
          <c:orientation val="minMax"/>
          <c:min val="3"/>
        </c:scaling>
        <c:delete val="0"/>
        <c:axPos val="b"/>
        <c:title>
          <c:tx>
            <c:rich>
              <a:bodyPr rot="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US"/>
                  <a:t>Number of carbon atoms</a:t>
                </a:r>
              </a:p>
            </c:rich>
          </c:tx>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656099519"/>
        <c:crosses val="autoZero"/>
        <c:crossBetween val="midCat"/>
        <c:majorUnit val="1"/>
      </c:valAx>
      <c:valAx>
        <c:axId val="656099519"/>
        <c:scaling>
          <c:orientation val="minMax"/>
          <c:max val="9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US"/>
                  <a:t>Half-life in goat milk and serum (d)</a:t>
                </a:r>
              </a:p>
            </c:rich>
          </c:tx>
          <c:overlay val="0"/>
          <c:spPr>
            <a:noFill/>
            <a:ln>
              <a:noFill/>
            </a:ln>
            <a:effectLst/>
          </c:spPr>
          <c:txPr>
            <a:bodyPr rot="-540000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656098271"/>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8740157499999996" l="0.7" r="0.7" t="0.78740157499999996"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b" anchorCtr="1"/>
          <a:lstStyle/>
          <a:p>
            <a:pPr>
              <a:defRPr sz="16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US" sz="1600" b="1"/>
              <a:t>Serum</a:t>
            </a:r>
          </a:p>
        </c:rich>
      </c:tx>
      <c:layout>
        <c:manualLayout>
          <c:xMode val="edge"/>
          <c:yMode val="edge"/>
          <c:x val="0.3645924917463369"/>
          <c:y val="2.7597696570207525E-2"/>
        </c:manualLayout>
      </c:layout>
      <c:overlay val="0"/>
      <c:spPr>
        <a:noFill/>
        <a:ln>
          <a:noFill/>
        </a:ln>
        <a:effectLst/>
      </c:spPr>
      <c:txPr>
        <a:bodyPr rot="0" spcFirstLastPara="1" vertOverflow="ellipsis" vert="horz" wrap="square" anchor="b" anchorCtr="1"/>
        <a:lstStyle/>
        <a:p>
          <a:pPr>
            <a:defRPr sz="16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autoTitleDeleted val="0"/>
    <c:plotArea>
      <c:layout>
        <c:manualLayout>
          <c:layoutTarget val="inner"/>
          <c:xMode val="edge"/>
          <c:yMode val="edge"/>
          <c:x val="7.9750000000000001E-2"/>
          <c:y val="0.25092629046369203"/>
          <c:w val="0.68420692862950305"/>
          <c:h val="0.51888852435112276"/>
        </c:manualLayout>
      </c:layout>
      <c:barChart>
        <c:barDir val="col"/>
        <c:grouping val="clustered"/>
        <c:varyColors val="0"/>
        <c:ser>
          <c:idx val="0"/>
          <c:order val="0"/>
          <c:tx>
            <c:strRef>
              <c:f>'Grafik Gehalte'!$AS$1</c:f>
              <c:strCache>
                <c:ptCount val="1"/>
                <c:pt idx="0">
                  <c:v>n-PFCAs</c:v>
                </c:pt>
              </c:strCache>
            </c:strRef>
          </c:tx>
          <c:spPr>
            <a:solidFill>
              <a:schemeClr val="accent4"/>
            </a:solidFill>
            <a:ln>
              <a:noFill/>
            </a:ln>
            <a:effectLst/>
          </c:spPr>
          <c:invertIfNegative val="0"/>
          <c:errBars>
            <c:errBarType val="both"/>
            <c:errValType val="cust"/>
            <c:noEndCap val="0"/>
            <c:plus>
              <c:numRef>
                <c:extLst>
                  <c:ext xmlns:c15="http://schemas.microsoft.com/office/drawing/2012/chart" uri="{02D57815-91ED-43cb-92C2-25804820EDAC}">
                    <c15:fullRef>
                      <c15:sqref>'Grafik Gehalte'!$AZ$2:$AZ$32</c15:sqref>
                    </c15:fullRef>
                  </c:ext>
                </c:extLst>
                <c:f>'Grafik Gehalte'!$AZ$12:$AZ$20</c:f>
                <c:numCache>
                  <c:formatCode>General</c:formatCode>
                  <c:ptCount val="9"/>
                  <c:pt idx="0">
                    <c:v>0</c:v>
                  </c:pt>
                  <c:pt idx="1">
                    <c:v>3.1160052774167264</c:v>
                  </c:pt>
                  <c:pt idx="2">
                    <c:v>6.6864845937325166</c:v>
                  </c:pt>
                  <c:pt idx="3">
                    <c:v>2.1145685139053731</c:v>
                  </c:pt>
                  <c:pt idx="4">
                    <c:v>3.1292926783326975</c:v>
                  </c:pt>
                  <c:pt idx="5">
                    <c:v>1.0857430635283853</c:v>
                  </c:pt>
                  <c:pt idx="6">
                    <c:v>0.54631757146268767</c:v>
                  </c:pt>
                  <c:pt idx="7">
                    <c:v>9.3042403714054131E-2</c:v>
                  </c:pt>
                  <c:pt idx="8">
                    <c:v>0</c:v>
                  </c:pt>
                </c:numCache>
              </c:numRef>
            </c:plus>
            <c:minus>
              <c:numRef>
                <c:extLst>
                  <c:ext xmlns:c15="http://schemas.microsoft.com/office/drawing/2012/chart" uri="{02D57815-91ED-43cb-92C2-25804820EDAC}">
                    <c15:fullRef>
                      <c15:sqref>'Grafik Gehalte'!$AZ$2:$AZ$32</c15:sqref>
                    </c15:fullRef>
                  </c:ext>
                </c:extLst>
                <c:f>'Grafik Gehalte'!$AZ$12:$AZ$20</c:f>
                <c:numCache>
                  <c:formatCode>General</c:formatCode>
                  <c:ptCount val="9"/>
                  <c:pt idx="0">
                    <c:v>0</c:v>
                  </c:pt>
                  <c:pt idx="1">
                    <c:v>3.1160052774167264</c:v>
                  </c:pt>
                  <c:pt idx="2">
                    <c:v>6.6864845937325166</c:v>
                  </c:pt>
                  <c:pt idx="3">
                    <c:v>2.1145685139053731</c:v>
                  </c:pt>
                  <c:pt idx="4">
                    <c:v>3.1292926783326975</c:v>
                  </c:pt>
                  <c:pt idx="5">
                    <c:v>1.0857430635283853</c:v>
                  </c:pt>
                  <c:pt idx="6">
                    <c:v>0.54631757146268767</c:v>
                  </c:pt>
                  <c:pt idx="7">
                    <c:v>9.3042403714054131E-2</c:v>
                  </c:pt>
                  <c:pt idx="8">
                    <c:v>0</c:v>
                  </c:pt>
                </c:numCache>
              </c:numRef>
            </c:minus>
            <c:spPr>
              <a:noFill/>
              <a:ln w="9525" cap="flat" cmpd="sng" algn="ctr">
                <a:solidFill>
                  <a:schemeClr val="tx1">
                    <a:lumMod val="65000"/>
                    <a:lumOff val="35000"/>
                  </a:schemeClr>
                </a:solidFill>
                <a:round/>
              </a:ln>
              <a:effectLst/>
            </c:spPr>
          </c:errBars>
          <c:cat>
            <c:numRef>
              <c:extLst>
                <c:ext xmlns:c15="http://schemas.microsoft.com/office/drawing/2012/chart" uri="{02D57815-91ED-43cb-92C2-25804820EDAC}">
                  <c15:fullRef>
                    <c15:sqref>'Grafik Gehalte'!$C$2:$C$32</c15:sqref>
                  </c15:fullRef>
                </c:ext>
              </c:extLst>
              <c:f>'Grafik Gehalte'!$C$12:$C$20</c:f>
              <c:numCache>
                <c:formatCode>General</c:formatCode>
                <c:ptCount val="9"/>
                <c:pt idx="0">
                  <c:v>1</c:v>
                </c:pt>
                <c:pt idx="1">
                  <c:v>5</c:v>
                </c:pt>
                <c:pt idx="2">
                  <c:v>17</c:v>
                </c:pt>
                <c:pt idx="3">
                  <c:v>38</c:v>
                </c:pt>
                <c:pt idx="4">
                  <c:v>57</c:v>
                </c:pt>
                <c:pt idx="5">
                  <c:v>61</c:v>
                </c:pt>
                <c:pt idx="6">
                  <c:v>73</c:v>
                </c:pt>
                <c:pt idx="7">
                  <c:v>101</c:v>
                </c:pt>
                <c:pt idx="8">
                  <c:v>136</c:v>
                </c:pt>
              </c:numCache>
            </c:numRef>
          </c:cat>
          <c:val>
            <c:numRef>
              <c:extLst>
                <c:ext xmlns:c15="http://schemas.microsoft.com/office/drawing/2012/chart" uri="{02D57815-91ED-43cb-92C2-25804820EDAC}">
                  <c15:fullRef>
                    <c15:sqref>'Grafik Gehalte'!$AS$2:$AS$32</c15:sqref>
                  </c15:fullRef>
                </c:ext>
              </c:extLst>
              <c:f>'Grafik Gehalte'!$AS$12:$AS$20</c:f>
              <c:numCache>
                <c:formatCode>0.00</c:formatCode>
                <c:ptCount val="9"/>
                <c:pt idx="0">
                  <c:v>0</c:v>
                </c:pt>
                <c:pt idx="1">
                  <c:v>5.7533333333333339</c:v>
                </c:pt>
                <c:pt idx="2">
                  <c:v>24.128333333333334</c:v>
                </c:pt>
                <c:pt idx="3">
                  <c:v>13.646666666666668</c:v>
                </c:pt>
                <c:pt idx="4">
                  <c:v>13.453333333333335</c:v>
                </c:pt>
                <c:pt idx="5">
                  <c:v>6.6029999999999998</c:v>
                </c:pt>
                <c:pt idx="6">
                  <c:v>3.4806666666666666</c:v>
                </c:pt>
                <c:pt idx="7">
                  <c:v>0.71966666666666657</c:v>
                </c:pt>
                <c:pt idx="8">
                  <c:v>0</c:v>
                </c:pt>
              </c:numCache>
            </c:numRef>
          </c:val>
          <c:extLst>
            <c:ext xmlns:c16="http://schemas.microsoft.com/office/drawing/2014/chart" uri="{C3380CC4-5D6E-409C-BE32-E72D297353CC}">
              <c16:uniqueId val="{00000000-B278-430B-B37F-674C904AAA0C}"/>
            </c:ext>
          </c:extLst>
        </c:ser>
        <c:ser>
          <c:idx val="1"/>
          <c:order val="1"/>
          <c:tx>
            <c:strRef>
              <c:f>'Grafik Gehalte'!$AT$1</c:f>
              <c:strCache>
                <c:ptCount val="1"/>
                <c:pt idx="0">
                  <c:v>br-PFCAs</c:v>
                </c:pt>
              </c:strCache>
            </c:strRef>
          </c:tx>
          <c:spPr>
            <a:pattFill prst="dkUpDiag">
              <a:fgClr>
                <a:schemeClr val="accent4"/>
              </a:fgClr>
              <a:bgClr>
                <a:schemeClr val="bg1">
                  <a:lumMod val="95000"/>
                </a:schemeClr>
              </a:bgClr>
            </a:pattFill>
            <a:ln>
              <a:noFill/>
            </a:ln>
            <a:effectLst/>
          </c:spPr>
          <c:invertIfNegative val="0"/>
          <c:errBars>
            <c:errBarType val="both"/>
            <c:errValType val="cust"/>
            <c:noEndCap val="0"/>
            <c:plus>
              <c:numRef>
                <c:extLst>
                  <c:ext xmlns:c15="http://schemas.microsoft.com/office/drawing/2012/chart" uri="{02D57815-91ED-43cb-92C2-25804820EDAC}">
                    <c15:fullRef>
                      <c15:sqref>'Grafik Gehalte'!$BA$2:$BA$32</c15:sqref>
                    </c15:fullRef>
                  </c:ext>
                </c:extLst>
                <c:f>'Grafik Gehalte'!$BA$12:$BA$20</c:f>
                <c:numCache>
                  <c:formatCode>General</c:formatCode>
                  <c:ptCount val="9"/>
                  <c:pt idx="0">
                    <c:v>0</c:v>
                  </c:pt>
                  <c:pt idx="1">
                    <c:v>0</c:v>
                  </c:pt>
                  <c:pt idx="2">
                    <c:v>0.14634737973587264</c:v>
                  </c:pt>
                  <c:pt idx="3">
                    <c:v>0</c:v>
                  </c:pt>
                  <c:pt idx="4">
                    <c:v>0</c:v>
                  </c:pt>
                  <c:pt idx="5">
                    <c:v>0</c:v>
                  </c:pt>
                  <c:pt idx="6">
                    <c:v>0</c:v>
                  </c:pt>
                  <c:pt idx="7">
                    <c:v>0</c:v>
                  </c:pt>
                  <c:pt idx="8">
                    <c:v>0</c:v>
                  </c:pt>
                </c:numCache>
              </c:numRef>
            </c:plus>
            <c:minus>
              <c:numRef>
                <c:extLst>
                  <c:ext xmlns:c15="http://schemas.microsoft.com/office/drawing/2012/chart" uri="{02D57815-91ED-43cb-92C2-25804820EDAC}">
                    <c15:fullRef>
                      <c15:sqref>'Grafik Gehalte'!$BA$2:$BA$32</c15:sqref>
                    </c15:fullRef>
                  </c:ext>
                </c:extLst>
                <c:f>'Grafik Gehalte'!$BA$12:$BA$20</c:f>
                <c:numCache>
                  <c:formatCode>General</c:formatCode>
                  <c:ptCount val="9"/>
                  <c:pt idx="0">
                    <c:v>0</c:v>
                  </c:pt>
                  <c:pt idx="1">
                    <c:v>0</c:v>
                  </c:pt>
                  <c:pt idx="2">
                    <c:v>0.14634737973587264</c:v>
                  </c:pt>
                  <c:pt idx="3">
                    <c:v>0</c:v>
                  </c:pt>
                  <c:pt idx="4">
                    <c:v>0</c:v>
                  </c:pt>
                  <c:pt idx="5">
                    <c:v>0</c:v>
                  </c:pt>
                  <c:pt idx="6">
                    <c:v>0</c:v>
                  </c:pt>
                  <c:pt idx="7">
                    <c:v>0</c:v>
                  </c:pt>
                  <c:pt idx="8">
                    <c:v>0</c:v>
                  </c:pt>
                </c:numCache>
              </c:numRef>
            </c:minus>
            <c:spPr>
              <a:noFill/>
              <a:ln w="9525" cap="flat" cmpd="sng" algn="ctr">
                <a:solidFill>
                  <a:schemeClr val="tx1">
                    <a:lumMod val="65000"/>
                    <a:lumOff val="35000"/>
                  </a:schemeClr>
                </a:solidFill>
                <a:round/>
              </a:ln>
              <a:effectLst/>
            </c:spPr>
          </c:errBars>
          <c:cat>
            <c:numRef>
              <c:extLst>
                <c:ext xmlns:c15="http://schemas.microsoft.com/office/drawing/2012/chart" uri="{02D57815-91ED-43cb-92C2-25804820EDAC}">
                  <c15:fullRef>
                    <c15:sqref>'Grafik Gehalte'!$C$2:$C$32</c15:sqref>
                  </c15:fullRef>
                </c:ext>
              </c:extLst>
              <c:f>'Grafik Gehalte'!$C$12:$C$20</c:f>
              <c:numCache>
                <c:formatCode>General</c:formatCode>
                <c:ptCount val="9"/>
                <c:pt idx="0">
                  <c:v>1</c:v>
                </c:pt>
                <c:pt idx="1">
                  <c:v>5</c:v>
                </c:pt>
                <c:pt idx="2">
                  <c:v>17</c:v>
                </c:pt>
                <c:pt idx="3">
                  <c:v>38</c:v>
                </c:pt>
                <c:pt idx="4">
                  <c:v>57</c:v>
                </c:pt>
                <c:pt idx="5">
                  <c:v>61</c:v>
                </c:pt>
                <c:pt idx="6">
                  <c:v>73</c:v>
                </c:pt>
                <c:pt idx="7">
                  <c:v>101</c:v>
                </c:pt>
                <c:pt idx="8">
                  <c:v>136</c:v>
                </c:pt>
              </c:numCache>
            </c:numRef>
          </c:cat>
          <c:val>
            <c:numRef>
              <c:extLst>
                <c:ext xmlns:c15="http://schemas.microsoft.com/office/drawing/2012/chart" uri="{02D57815-91ED-43cb-92C2-25804820EDAC}">
                  <c15:fullRef>
                    <c15:sqref>'Grafik Gehalte'!$AT$2:$AT$32</c15:sqref>
                  </c15:fullRef>
                </c:ext>
              </c:extLst>
              <c:f>'Grafik Gehalte'!$AT$12:$AT$20</c:f>
              <c:numCache>
                <c:formatCode>0.00</c:formatCode>
                <c:ptCount val="9"/>
                <c:pt idx="0">
                  <c:v>0</c:v>
                </c:pt>
                <c:pt idx="1">
                  <c:v>0</c:v>
                </c:pt>
                <c:pt idx="2">
                  <c:v>0.7636666666666666</c:v>
                </c:pt>
                <c:pt idx="3">
                  <c:v>0</c:v>
                </c:pt>
                <c:pt idx="4">
                  <c:v>0</c:v>
                </c:pt>
                <c:pt idx="5">
                  <c:v>0</c:v>
                </c:pt>
                <c:pt idx="6">
                  <c:v>0</c:v>
                </c:pt>
                <c:pt idx="7">
                  <c:v>0</c:v>
                </c:pt>
                <c:pt idx="8">
                  <c:v>0</c:v>
                </c:pt>
              </c:numCache>
            </c:numRef>
          </c:val>
          <c:extLst>
            <c:ext xmlns:c16="http://schemas.microsoft.com/office/drawing/2014/chart" uri="{C3380CC4-5D6E-409C-BE32-E72D297353CC}">
              <c16:uniqueId val="{00000001-B278-430B-B37F-674C904AAA0C}"/>
            </c:ext>
          </c:extLst>
        </c:ser>
        <c:ser>
          <c:idx val="2"/>
          <c:order val="2"/>
          <c:tx>
            <c:strRef>
              <c:f>'Grafik Gehalte'!$AU$1</c:f>
              <c:strCache>
                <c:ptCount val="1"/>
                <c:pt idx="0">
                  <c:v>n-PFSAs</c:v>
                </c:pt>
              </c:strCache>
            </c:strRef>
          </c:tx>
          <c:spPr>
            <a:solidFill>
              <a:schemeClr val="accent3"/>
            </a:solidFill>
            <a:ln>
              <a:noFill/>
            </a:ln>
            <a:effectLst/>
          </c:spPr>
          <c:invertIfNegative val="0"/>
          <c:errBars>
            <c:errBarType val="both"/>
            <c:errValType val="cust"/>
            <c:noEndCap val="0"/>
            <c:plus>
              <c:numRef>
                <c:extLst>
                  <c:ext xmlns:c15="http://schemas.microsoft.com/office/drawing/2012/chart" uri="{02D57815-91ED-43cb-92C2-25804820EDAC}">
                    <c15:fullRef>
                      <c15:sqref>'Grafik Gehalte'!$BB$2:$BB$32</c15:sqref>
                    </c15:fullRef>
                  </c:ext>
                </c:extLst>
                <c:f>'Grafik Gehalte'!$BB$12:$BB$20</c:f>
                <c:numCache>
                  <c:formatCode>General</c:formatCode>
                  <c:ptCount val="9"/>
                  <c:pt idx="0">
                    <c:v>0</c:v>
                  </c:pt>
                  <c:pt idx="1">
                    <c:v>2.349709391014601</c:v>
                  </c:pt>
                  <c:pt idx="2">
                    <c:v>49.831195024357605</c:v>
                  </c:pt>
                  <c:pt idx="3">
                    <c:v>77.187974436148991</c:v>
                  </c:pt>
                  <c:pt idx="4">
                    <c:v>131.85069005002069</c:v>
                  </c:pt>
                  <c:pt idx="5">
                    <c:v>151.94049727442652</c:v>
                  </c:pt>
                  <c:pt idx="6">
                    <c:v>56.510666287190581</c:v>
                  </c:pt>
                  <c:pt idx="7">
                    <c:v>8.3912199483878549</c:v>
                  </c:pt>
                  <c:pt idx="8">
                    <c:v>8.5499098240858356</c:v>
                  </c:pt>
                </c:numCache>
              </c:numRef>
            </c:plus>
            <c:minus>
              <c:numRef>
                <c:extLst>
                  <c:ext xmlns:c15="http://schemas.microsoft.com/office/drawing/2012/chart" uri="{02D57815-91ED-43cb-92C2-25804820EDAC}">
                    <c15:fullRef>
                      <c15:sqref>'Grafik Gehalte'!$BB$2:$BB$32</c15:sqref>
                    </c15:fullRef>
                  </c:ext>
                </c:extLst>
                <c:f>'Grafik Gehalte'!$BB$12:$BB$20</c:f>
                <c:numCache>
                  <c:formatCode>General</c:formatCode>
                  <c:ptCount val="9"/>
                  <c:pt idx="0">
                    <c:v>0</c:v>
                  </c:pt>
                  <c:pt idx="1">
                    <c:v>2.349709391014601</c:v>
                  </c:pt>
                  <c:pt idx="2">
                    <c:v>49.831195024357605</c:v>
                  </c:pt>
                  <c:pt idx="3">
                    <c:v>77.187974436148991</c:v>
                  </c:pt>
                  <c:pt idx="4">
                    <c:v>131.85069005002069</c:v>
                  </c:pt>
                  <c:pt idx="5">
                    <c:v>151.94049727442652</c:v>
                  </c:pt>
                  <c:pt idx="6">
                    <c:v>56.510666287190581</c:v>
                  </c:pt>
                  <c:pt idx="7">
                    <c:v>8.3912199483878549</c:v>
                  </c:pt>
                  <c:pt idx="8">
                    <c:v>8.5499098240858356</c:v>
                  </c:pt>
                </c:numCache>
              </c:numRef>
            </c:minus>
            <c:spPr>
              <a:noFill/>
              <a:ln w="9525" cap="flat" cmpd="sng" algn="ctr">
                <a:solidFill>
                  <a:schemeClr val="tx1">
                    <a:lumMod val="65000"/>
                    <a:lumOff val="35000"/>
                  </a:schemeClr>
                </a:solidFill>
                <a:round/>
              </a:ln>
              <a:effectLst/>
            </c:spPr>
          </c:errBars>
          <c:cat>
            <c:numRef>
              <c:extLst>
                <c:ext xmlns:c15="http://schemas.microsoft.com/office/drawing/2012/chart" uri="{02D57815-91ED-43cb-92C2-25804820EDAC}">
                  <c15:fullRef>
                    <c15:sqref>'Grafik Gehalte'!$C$2:$C$32</c15:sqref>
                  </c15:fullRef>
                </c:ext>
              </c:extLst>
              <c:f>'Grafik Gehalte'!$C$12:$C$20</c:f>
              <c:numCache>
                <c:formatCode>General</c:formatCode>
                <c:ptCount val="9"/>
                <c:pt idx="0">
                  <c:v>1</c:v>
                </c:pt>
                <c:pt idx="1">
                  <c:v>5</c:v>
                </c:pt>
                <c:pt idx="2">
                  <c:v>17</c:v>
                </c:pt>
                <c:pt idx="3">
                  <c:v>38</c:v>
                </c:pt>
                <c:pt idx="4">
                  <c:v>57</c:v>
                </c:pt>
                <c:pt idx="5">
                  <c:v>61</c:v>
                </c:pt>
                <c:pt idx="6">
                  <c:v>73</c:v>
                </c:pt>
                <c:pt idx="7">
                  <c:v>101</c:v>
                </c:pt>
                <c:pt idx="8">
                  <c:v>136</c:v>
                </c:pt>
              </c:numCache>
            </c:numRef>
          </c:cat>
          <c:val>
            <c:numRef>
              <c:extLst>
                <c:ext xmlns:c15="http://schemas.microsoft.com/office/drawing/2012/chart" uri="{02D57815-91ED-43cb-92C2-25804820EDAC}">
                  <c15:fullRef>
                    <c15:sqref>'Grafik Gehalte'!$AU$2:$AU$32</c15:sqref>
                  </c15:fullRef>
                </c:ext>
              </c:extLst>
              <c:f>'Grafik Gehalte'!$AU$12:$AU$20</c:f>
              <c:numCache>
                <c:formatCode>0.00</c:formatCode>
                <c:ptCount val="9"/>
                <c:pt idx="0">
                  <c:v>0</c:v>
                </c:pt>
                <c:pt idx="1">
                  <c:v>10.368666666666668</c:v>
                </c:pt>
                <c:pt idx="2">
                  <c:v>182.87566666666663</c:v>
                </c:pt>
                <c:pt idx="3">
                  <c:v>473.67233333333331</c:v>
                </c:pt>
                <c:pt idx="4">
                  <c:v>506.61</c:v>
                </c:pt>
                <c:pt idx="5">
                  <c:v>455.05800000000005</c:v>
                </c:pt>
                <c:pt idx="6">
                  <c:v>345.33849999999995</c:v>
                </c:pt>
                <c:pt idx="7">
                  <c:v>129.79166666666669</c:v>
                </c:pt>
                <c:pt idx="8">
                  <c:v>51.821166666666663</c:v>
                </c:pt>
              </c:numCache>
            </c:numRef>
          </c:val>
          <c:extLst>
            <c:ext xmlns:c16="http://schemas.microsoft.com/office/drawing/2014/chart" uri="{C3380CC4-5D6E-409C-BE32-E72D297353CC}">
              <c16:uniqueId val="{00000002-B278-430B-B37F-674C904AAA0C}"/>
            </c:ext>
          </c:extLst>
        </c:ser>
        <c:ser>
          <c:idx val="3"/>
          <c:order val="3"/>
          <c:tx>
            <c:strRef>
              <c:f>'Grafik Gehalte'!$AV$1</c:f>
              <c:strCache>
                <c:ptCount val="1"/>
                <c:pt idx="0">
                  <c:v>br-PFSAs</c:v>
                </c:pt>
              </c:strCache>
            </c:strRef>
          </c:tx>
          <c:spPr>
            <a:pattFill prst="dkUpDiag">
              <a:fgClr>
                <a:schemeClr val="accent3"/>
              </a:fgClr>
              <a:bgClr>
                <a:schemeClr val="bg1">
                  <a:lumMod val="95000"/>
                </a:schemeClr>
              </a:bgClr>
            </a:pattFill>
            <a:ln>
              <a:noFill/>
            </a:ln>
            <a:effectLst/>
          </c:spPr>
          <c:invertIfNegative val="0"/>
          <c:errBars>
            <c:errBarType val="both"/>
            <c:errValType val="cust"/>
            <c:noEndCap val="0"/>
            <c:plus>
              <c:numRef>
                <c:extLst>
                  <c:ext xmlns:c15="http://schemas.microsoft.com/office/drawing/2012/chart" uri="{02D57815-91ED-43cb-92C2-25804820EDAC}">
                    <c15:fullRef>
                      <c15:sqref>'Grafik Gehalte'!$BC$2:$BC$32</c15:sqref>
                    </c15:fullRef>
                  </c:ext>
                </c:extLst>
                <c:f>'Grafik Gehalte'!$BC$12:$BC$20</c:f>
                <c:numCache>
                  <c:formatCode>General</c:formatCode>
                  <c:ptCount val="9"/>
                  <c:pt idx="0">
                    <c:v>0</c:v>
                  </c:pt>
                  <c:pt idx="1">
                    <c:v>2.6133338010203602</c:v>
                  </c:pt>
                  <c:pt idx="2">
                    <c:v>101.76944760912613</c:v>
                  </c:pt>
                  <c:pt idx="3">
                    <c:v>269.96152508212487</c:v>
                  </c:pt>
                  <c:pt idx="4">
                    <c:v>165.25960014944781</c:v>
                  </c:pt>
                  <c:pt idx="5">
                    <c:v>148.23296385157462</c:v>
                  </c:pt>
                  <c:pt idx="6">
                    <c:v>159.90165457208036</c:v>
                  </c:pt>
                  <c:pt idx="7">
                    <c:v>9.5940293933258349</c:v>
                  </c:pt>
                  <c:pt idx="8">
                    <c:v>19.485289271653112</c:v>
                  </c:pt>
                </c:numCache>
              </c:numRef>
            </c:plus>
            <c:minus>
              <c:numRef>
                <c:extLst>
                  <c:ext xmlns:c15="http://schemas.microsoft.com/office/drawing/2012/chart" uri="{02D57815-91ED-43cb-92C2-25804820EDAC}">
                    <c15:fullRef>
                      <c15:sqref>'Grafik Gehalte'!$BC$2:$BC$32</c15:sqref>
                    </c15:fullRef>
                  </c:ext>
                </c:extLst>
                <c:f>'Grafik Gehalte'!$BC$12:$BC$20</c:f>
                <c:numCache>
                  <c:formatCode>General</c:formatCode>
                  <c:ptCount val="9"/>
                  <c:pt idx="0">
                    <c:v>0</c:v>
                  </c:pt>
                  <c:pt idx="1">
                    <c:v>2.6133338010203602</c:v>
                  </c:pt>
                  <c:pt idx="2">
                    <c:v>101.76944760912613</c:v>
                  </c:pt>
                  <c:pt idx="3">
                    <c:v>269.96152508212487</c:v>
                  </c:pt>
                  <c:pt idx="4">
                    <c:v>165.25960014944781</c:v>
                  </c:pt>
                  <c:pt idx="5">
                    <c:v>148.23296385157462</c:v>
                  </c:pt>
                  <c:pt idx="6">
                    <c:v>159.90165457208036</c:v>
                  </c:pt>
                  <c:pt idx="7">
                    <c:v>9.5940293933258349</c:v>
                  </c:pt>
                  <c:pt idx="8">
                    <c:v>19.485289271653112</c:v>
                  </c:pt>
                </c:numCache>
              </c:numRef>
            </c:minus>
            <c:spPr>
              <a:noFill/>
              <a:ln w="9525" cap="flat" cmpd="sng" algn="ctr">
                <a:solidFill>
                  <a:schemeClr val="tx1">
                    <a:lumMod val="65000"/>
                    <a:lumOff val="35000"/>
                  </a:schemeClr>
                </a:solidFill>
                <a:round/>
              </a:ln>
              <a:effectLst/>
            </c:spPr>
          </c:errBars>
          <c:cat>
            <c:numRef>
              <c:extLst>
                <c:ext xmlns:c15="http://schemas.microsoft.com/office/drawing/2012/chart" uri="{02D57815-91ED-43cb-92C2-25804820EDAC}">
                  <c15:fullRef>
                    <c15:sqref>'Grafik Gehalte'!$C$2:$C$32</c15:sqref>
                  </c15:fullRef>
                </c:ext>
              </c:extLst>
              <c:f>'Grafik Gehalte'!$C$12:$C$20</c:f>
              <c:numCache>
                <c:formatCode>General</c:formatCode>
                <c:ptCount val="9"/>
                <c:pt idx="0">
                  <c:v>1</c:v>
                </c:pt>
                <c:pt idx="1">
                  <c:v>5</c:v>
                </c:pt>
                <c:pt idx="2">
                  <c:v>17</c:v>
                </c:pt>
                <c:pt idx="3">
                  <c:v>38</c:v>
                </c:pt>
                <c:pt idx="4">
                  <c:v>57</c:v>
                </c:pt>
                <c:pt idx="5">
                  <c:v>61</c:v>
                </c:pt>
                <c:pt idx="6">
                  <c:v>73</c:v>
                </c:pt>
                <c:pt idx="7">
                  <c:v>101</c:v>
                </c:pt>
                <c:pt idx="8">
                  <c:v>136</c:v>
                </c:pt>
              </c:numCache>
            </c:numRef>
          </c:cat>
          <c:val>
            <c:numRef>
              <c:extLst>
                <c:ext xmlns:c15="http://schemas.microsoft.com/office/drawing/2012/chart" uri="{02D57815-91ED-43cb-92C2-25804820EDAC}">
                  <c15:fullRef>
                    <c15:sqref>'Grafik Gehalte'!$AV$2:$AV$32</c15:sqref>
                  </c15:fullRef>
                </c:ext>
              </c:extLst>
              <c:f>'Grafik Gehalte'!$AV$12:$AV$20</c:f>
              <c:numCache>
                <c:formatCode>0.00</c:formatCode>
                <c:ptCount val="9"/>
                <c:pt idx="0">
                  <c:v>0</c:v>
                </c:pt>
                <c:pt idx="1">
                  <c:v>18.780500000000004</c:v>
                </c:pt>
                <c:pt idx="2">
                  <c:v>332.74</c:v>
                </c:pt>
                <c:pt idx="3">
                  <c:v>604.33699999999999</c:v>
                </c:pt>
                <c:pt idx="4">
                  <c:v>1013.2644999999999</c:v>
                </c:pt>
                <c:pt idx="5">
                  <c:v>829.21333333333337</c:v>
                </c:pt>
                <c:pt idx="6">
                  <c:v>401.85333333333335</c:v>
                </c:pt>
                <c:pt idx="7">
                  <c:v>178.28999999999996</c:v>
                </c:pt>
                <c:pt idx="8">
                  <c:v>72.259</c:v>
                </c:pt>
              </c:numCache>
            </c:numRef>
          </c:val>
          <c:extLst>
            <c:ext xmlns:c16="http://schemas.microsoft.com/office/drawing/2014/chart" uri="{C3380CC4-5D6E-409C-BE32-E72D297353CC}">
              <c16:uniqueId val="{00000003-B278-430B-B37F-674C904AAA0C}"/>
            </c:ext>
          </c:extLst>
        </c:ser>
        <c:dLbls>
          <c:showLegendKey val="0"/>
          <c:showVal val="0"/>
          <c:showCatName val="0"/>
          <c:showSerName val="0"/>
          <c:showPercent val="0"/>
          <c:showBubbleSize val="0"/>
        </c:dLbls>
        <c:gapWidth val="150"/>
        <c:axId val="570454720"/>
        <c:axId val="570458048"/>
      </c:barChart>
      <c:catAx>
        <c:axId val="570454720"/>
        <c:scaling>
          <c:orientation val="minMax"/>
        </c:scaling>
        <c:delete val="0"/>
        <c:axPos val="b"/>
        <c:title>
          <c:tx>
            <c:rich>
              <a:bodyPr rot="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US"/>
                  <a:t>Day</a:t>
                </a:r>
              </a:p>
            </c:rich>
          </c:tx>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none"/>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570458048"/>
        <c:crosses val="autoZero"/>
        <c:auto val="1"/>
        <c:lblAlgn val="ctr"/>
        <c:lblOffset val="100"/>
        <c:noMultiLvlLbl val="0"/>
      </c:catAx>
      <c:valAx>
        <c:axId val="5704580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570454720"/>
        <c:crosses val="autoZero"/>
        <c:crossBetween val="between"/>
      </c:valAx>
      <c:spPr>
        <a:noFill/>
        <a:ln>
          <a:solidFill>
            <a:sysClr val="windowText" lastClr="000000"/>
          </a:solid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8740157499999996" l="0.7" r="0.7" t="0.78740157499999996" header="0.3" footer="0.3"/>
    <c:pageSetup/>
  </c:printSettings>
  <c:userShapes r:id="rId3"/>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US" sz="1600" b="1"/>
              <a:t>Milk</a:t>
            </a:r>
          </a:p>
        </c:rich>
      </c:tx>
      <c:layout>
        <c:manualLayout>
          <c:xMode val="edge"/>
          <c:yMode val="edge"/>
          <c:x val="0.51268928074138365"/>
          <c:y val="2.7597696121318169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autoTitleDeleted val="0"/>
    <c:plotArea>
      <c:layout>
        <c:manualLayout>
          <c:layoutTarget val="inner"/>
          <c:xMode val="edge"/>
          <c:yMode val="edge"/>
          <c:x val="0.17641666666666667"/>
          <c:y val="0.25555592009332168"/>
          <c:w val="0.79302777777777778"/>
          <c:h val="0.51425889472149311"/>
        </c:manualLayout>
      </c:layout>
      <c:barChart>
        <c:barDir val="col"/>
        <c:grouping val="clustered"/>
        <c:varyColors val="0"/>
        <c:ser>
          <c:idx val="0"/>
          <c:order val="0"/>
          <c:tx>
            <c:strRef>
              <c:f>'Grafik Gehalte'!$AS$1</c:f>
              <c:strCache>
                <c:ptCount val="1"/>
                <c:pt idx="0">
                  <c:v>n-PFCAs</c:v>
                </c:pt>
              </c:strCache>
            </c:strRef>
          </c:tx>
          <c:spPr>
            <a:solidFill>
              <a:schemeClr val="accent4"/>
            </a:solidFill>
            <a:ln>
              <a:noFill/>
            </a:ln>
            <a:effectLst/>
          </c:spPr>
          <c:invertIfNegative val="0"/>
          <c:errBars>
            <c:errBarType val="both"/>
            <c:errValType val="cust"/>
            <c:noEndCap val="0"/>
            <c:plus>
              <c:numRef>
                <c:extLst>
                  <c:ext xmlns:c15="http://schemas.microsoft.com/office/drawing/2012/chart" uri="{02D57815-91ED-43cb-92C2-25804820EDAC}">
                    <c15:fullRef>
                      <c15:sqref>'Grafik Gehalte'!$AZ$2:$AZ$32</c15:sqref>
                    </c15:fullRef>
                  </c:ext>
                </c:extLst>
                <c:f>'Grafik Gehalte'!$AZ$2:$AZ$11</c:f>
                <c:numCache>
                  <c:formatCode>General</c:formatCode>
                  <c:ptCount val="10"/>
                  <c:pt idx="0">
                    <c:v>9.6065132580350002E-3</c:v>
                  </c:pt>
                  <c:pt idx="1">
                    <c:v>0.95306446352048912</c:v>
                  </c:pt>
                  <c:pt idx="2">
                    <c:v>1.0600899207972128</c:v>
                  </c:pt>
                  <c:pt idx="3">
                    <c:v>8.8270113122027968E-2</c:v>
                  </c:pt>
                  <c:pt idx="4">
                    <c:v>0.1927459706767275</c:v>
                  </c:pt>
                  <c:pt idx="5">
                    <c:v>0.21997773679469632</c:v>
                  </c:pt>
                  <c:pt idx="6">
                    <c:v>3.9079475940230611E-2</c:v>
                  </c:pt>
                  <c:pt idx="7">
                    <c:v>3.4251693415629079E-2</c:v>
                  </c:pt>
                  <c:pt idx="8">
                    <c:v>2.1342380380947271E-2</c:v>
                  </c:pt>
                  <c:pt idx="9">
                    <c:v>8.1950315739682412E-3</c:v>
                  </c:pt>
                </c:numCache>
              </c:numRef>
            </c:plus>
            <c:minus>
              <c:numRef>
                <c:extLst>
                  <c:ext xmlns:c15="http://schemas.microsoft.com/office/drawing/2012/chart" uri="{02D57815-91ED-43cb-92C2-25804820EDAC}">
                    <c15:fullRef>
                      <c15:sqref>'Grafik Gehalte'!$AZ$2:$AZ$32</c15:sqref>
                    </c15:fullRef>
                  </c:ext>
                </c:extLst>
                <c:f>'Grafik Gehalte'!$AZ$2:$AZ$11</c:f>
                <c:numCache>
                  <c:formatCode>General</c:formatCode>
                  <c:ptCount val="10"/>
                  <c:pt idx="0">
                    <c:v>9.6065132580350002E-3</c:v>
                  </c:pt>
                  <c:pt idx="1">
                    <c:v>0.95306446352048912</c:v>
                  </c:pt>
                  <c:pt idx="2">
                    <c:v>1.0600899207972128</c:v>
                  </c:pt>
                  <c:pt idx="3">
                    <c:v>8.8270113122027968E-2</c:v>
                  </c:pt>
                  <c:pt idx="4">
                    <c:v>0.1927459706767275</c:v>
                  </c:pt>
                  <c:pt idx="5">
                    <c:v>0.21997773679469632</c:v>
                  </c:pt>
                  <c:pt idx="6">
                    <c:v>3.9079475940230611E-2</c:v>
                  </c:pt>
                  <c:pt idx="7">
                    <c:v>3.4251693415629079E-2</c:v>
                  </c:pt>
                  <c:pt idx="8">
                    <c:v>2.1342380380947271E-2</c:v>
                  </c:pt>
                  <c:pt idx="9">
                    <c:v>8.1950315739682412E-3</c:v>
                  </c:pt>
                </c:numCache>
              </c:numRef>
            </c:minus>
            <c:spPr>
              <a:noFill/>
              <a:ln w="9525" cap="flat" cmpd="sng" algn="ctr">
                <a:solidFill>
                  <a:schemeClr val="tx1">
                    <a:lumMod val="65000"/>
                    <a:lumOff val="35000"/>
                  </a:schemeClr>
                </a:solidFill>
                <a:round/>
              </a:ln>
              <a:effectLst/>
            </c:spPr>
          </c:errBars>
          <c:cat>
            <c:numRef>
              <c:extLst>
                <c:ext xmlns:c15="http://schemas.microsoft.com/office/drawing/2012/chart" uri="{02D57815-91ED-43cb-92C2-25804820EDAC}">
                  <c15:fullRef>
                    <c15:sqref>'Grafik Gehalte'!$C$2:$C$32</c15:sqref>
                  </c15:fullRef>
                </c:ext>
              </c:extLst>
              <c:f>'Grafik Gehalte'!$C$2:$C$11</c:f>
              <c:numCache>
                <c:formatCode>General</c:formatCode>
                <c:ptCount val="10"/>
                <c:pt idx="0">
                  <c:v>1</c:v>
                </c:pt>
                <c:pt idx="1">
                  <c:v>5</c:v>
                </c:pt>
                <c:pt idx="2">
                  <c:v>17</c:v>
                </c:pt>
                <c:pt idx="3">
                  <c:v>38</c:v>
                </c:pt>
                <c:pt idx="4">
                  <c:v>54</c:v>
                </c:pt>
                <c:pt idx="5">
                  <c:v>57</c:v>
                </c:pt>
                <c:pt idx="6">
                  <c:v>61</c:v>
                </c:pt>
                <c:pt idx="7">
                  <c:v>73</c:v>
                </c:pt>
                <c:pt idx="8">
                  <c:v>101</c:v>
                </c:pt>
                <c:pt idx="9">
                  <c:v>136</c:v>
                </c:pt>
              </c:numCache>
            </c:numRef>
          </c:cat>
          <c:val>
            <c:numRef>
              <c:extLst>
                <c:ext xmlns:c15="http://schemas.microsoft.com/office/drawing/2012/chart" uri="{02D57815-91ED-43cb-92C2-25804820EDAC}">
                  <c15:fullRef>
                    <c15:sqref>'Grafik Gehalte'!$AS$2:$AS$32</c15:sqref>
                  </c15:fullRef>
                </c:ext>
              </c:extLst>
              <c:f>'Grafik Gehalte'!$AS$2:$AS$11</c:f>
              <c:numCache>
                <c:formatCode>0.00</c:formatCode>
                <c:ptCount val="10"/>
                <c:pt idx="0">
                  <c:v>1.6603733270025168E-2</c:v>
                </c:pt>
                <c:pt idx="1">
                  <c:v>0.96905885565398597</c:v>
                </c:pt>
                <c:pt idx="2">
                  <c:v>2.6210656832205195</c:v>
                </c:pt>
                <c:pt idx="3">
                  <c:v>0.81647935210571654</c:v>
                </c:pt>
                <c:pt idx="4">
                  <c:v>1.1339133550074485</c:v>
                </c:pt>
                <c:pt idx="5">
                  <c:v>0.60300296258098496</c:v>
                </c:pt>
                <c:pt idx="6">
                  <c:v>0.13260176452026765</c:v>
                </c:pt>
                <c:pt idx="7">
                  <c:v>0.13717897514713184</c:v>
                </c:pt>
                <c:pt idx="8">
                  <c:v>7.2401910030151104E-2</c:v>
                </c:pt>
                <c:pt idx="9">
                  <c:v>1.7594491344180355E-2</c:v>
                </c:pt>
              </c:numCache>
            </c:numRef>
          </c:val>
          <c:extLst>
            <c:ext xmlns:c16="http://schemas.microsoft.com/office/drawing/2014/chart" uri="{C3380CC4-5D6E-409C-BE32-E72D297353CC}">
              <c16:uniqueId val="{00000000-D45B-4411-A16F-D297A71B2193}"/>
            </c:ext>
          </c:extLst>
        </c:ser>
        <c:ser>
          <c:idx val="1"/>
          <c:order val="1"/>
          <c:tx>
            <c:strRef>
              <c:f>'Grafik Gehalte'!$AT$1</c:f>
              <c:strCache>
                <c:ptCount val="1"/>
                <c:pt idx="0">
                  <c:v>br-PFCAs</c:v>
                </c:pt>
              </c:strCache>
            </c:strRef>
          </c:tx>
          <c:spPr>
            <a:pattFill prst="dkUpDiag">
              <a:fgClr>
                <a:schemeClr val="accent4"/>
              </a:fgClr>
              <a:bgClr>
                <a:schemeClr val="bg1">
                  <a:lumMod val="95000"/>
                </a:schemeClr>
              </a:bgClr>
            </a:pattFill>
            <a:ln>
              <a:noFill/>
            </a:ln>
            <a:effectLst/>
          </c:spPr>
          <c:invertIfNegative val="0"/>
          <c:errBars>
            <c:errBarType val="both"/>
            <c:errValType val="cust"/>
            <c:noEndCap val="0"/>
            <c:plus>
              <c:numRef>
                <c:extLst>
                  <c:ext xmlns:c15="http://schemas.microsoft.com/office/drawing/2012/chart" uri="{02D57815-91ED-43cb-92C2-25804820EDAC}">
                    <c15:fullRef>
                      <c15:sqref>'Grafik Gehalte'!$BA$2:$BA$32</c15:sqref>
                    </c15:fullRef>
                  </c:ext>
                </c:extLst>
                <c:f>'Grafik Gehalte'!$BA$2:$BA$11</c:f>
                <c:numCache>
                  <c:formatCode>General</c:formatCode>
                  <c:ptCount val="10"/>
                  <c:pt idx="0">
                    <c:v>2.2915561066460012E-5</c:v>
                  </c:pt>
                  <c:pt idx="1">
                    <c:v>1.3085013061825764E-2</c:v>
                  </c:pt>
                  <c:pt idx="2">
                    <c:v>3.7180207714688142E-2</c:v>
                  </c:pt>
                  <c:pt idx="3">
                    <c:v>3.4394041804707745E-2</c:v>
                  </c:pt>
                  <c:pt idx="4">
                    <c:v>1.1770957841105961E-2</c:v>
                  </c:pt>
                  <c:pt idx="5">
                    <c:v>2.7575411464292651E-2</c:v>
                  </c:pt>
                  <c:pt idx="6">
                    <c:v>1.2530429767873177E-2</c:v>
                  </c:pt>
                  <c:pt idx="7">
                    <c:v>8.9240976239579727E-3</c:v>
                  </c:pt>
                  <c:pt idx="8">
                    <c:v>4.8787556969136598E-3</c:v>
                  </c:pt>
                  <c:pt idx="9">
                    <c:v>4.1379234155166479E-3</c:v>
                  </c:pt>
                </c:numCache>
              </c:numRef>
            </c:plus>
            <c:minus>
              <c:numRef>
                <c:extLst>
                  <c:ext xmlns:c15="http://schemas.microsoft.com/office/drawing/2012/chart" uri="{02D57815-91ED-43cb-92C2-25804820EDAC}">
                    <c15:fullRef>
                      <c15:sqref>'Grafik Gehalte'!$BA$2:$BA$32</c15:sqref>
                    </c15:fullRef>
                  </c:ext>
                </c:extLst>
                <c:f>'Grafik Gehalte'!$BA$2:$BA$11</c:f>
                <c:numCache>
                  <c:formatCode>General</c:formatCode>
                  <c:ptCount val="10"/>
                  <c:pt idx="0">
                    <c:v>2.2915561066460012E-5</c:v>
                  </c:pt>
                  <c:pt idx="1">
                    <c:v>1.3085013061825764E-2</c:v>
                  </c:pt>
                  <c:pt idx="2">
                    <c:v>3.7180207714688142E-2</c:v>
                  </c:pt>
                  <c:pt idx="3">
                    <c:v>3.4394041804707745E-2</c:v>
                  </c:pt>
                  <c:pt idx="4">
                    <c:v>1.1770957841105961E-2</c:v>
                  </c:pt>
                  <c:pt idx="5">
                    <c:v>2.7575411464292651E-2</c:v>
                  </c:pt>
                  <c:pt idx="6">
                    <c:v>1.2530429767873177E-2</c:v>
                  </c:pt>
                  <c:pt idx="7">
                    <c:v>8.9240976239579727E-3</c:v>
                  </c:pt>
                  <c:pt idx="8">
                    <c:v>4.8787556969136598E-3</c:v>
                  </c:pt>
                  <c:pt idx="9">
                    <c:v>4.1379234155166479E-3</c:v>
                  </c:pt>
                </c:numCache>
              </c:numRef>
            </c:minus>
            <c:spPr>
              <a:noFill/>
              <a:ln w="9525" cap="flat" cmpd="sng" algn="ctr">
                <a:solidFill>
                  <a:schemeClr val="tx1">
                    <a:lumMod val="65000"/>
                    <a:lumOff val="35000"/>
                  </a:schemeClr>
                </a:solidFill>
                <a:round/>
              </a:ln>
              <a:effectLst/>
            </c:spPr>
          </c:errBars>
          <c:cat>
            <c:numRef>
              <c:extLst>
                <c:ext xmlns:c15="http://schemas.microsoft.com/office/drawing/2012/chart" uri="{02D57815-91ED-43cb-92C2-25804820EDAC}">
                  <c15:fullRef>
                    <c15:sqref>'Grafik Gehalte'!$C$2:$C$32</c15:sqref>
                  </c15:fullRef>
                </c:ext>
              </c:extLst>
              <c:f>'Grafik Gehalte'!$C$2:$C$11</c:f>
              <c:numCache>
                <c:formatCode>General</c:formatCode>
                <c:ptCount val="10"/>
                <c:pt idx="0">
                  <c:v>1</c:v>
                </c:pt>
                <c:pt idx="1">
                  <c:v>5</c:v>
                </c:pt>
                <c:pt idx="2">
                  <c:v>17</c:v>
                </c:pt>
                <c:pt idx="3">
                  <c:v>38</c:v>
                </c:pt>
                <c:pt idx="4">
                  <c:v>54</c:v>
                </c:pt>
                <c:pt idx="5">
                  <c:v>57</c:v>
                </c:pt>
                <c:pt idx="6">
                  <c:v>61</c:v>
                </c:pt>
                <c:pt idx="7">
                  <c:v>73</c:v>
                </c:pt>
                <c:pt idx="8">
                  <c:v>101</c:v>
                </c:pt>
                <c:pt idx="9">
                  <c:v>136</c:v>
                </c:pt>
              </c:numCache>
            </c:numRef>
          </c:cat>
          <c:val>
            <c:numRef>
              <c:extLst>
                <c:ext xmlns:c15="http://schemas.microsoft.com/office/drawing/2012/chart" uri="{02D57815-91ED-43cb-92C2-25804820EDAC}">
                  <c15:fullRef>
                    <c15:sqref>'Grafik Gehalte'!$AT$2:$AT$32</c15:sqref>
                  </c15:fullRef>
                </c:ext>
              </c:extLst>
              <c:f>'Grafik Gehalte'!$AT$2:$AT$11</c:f>
              <c:numCache>
                <c:formatCode>0.00</c:formatCode>
                <c:ptCount val="10"/>
                <c:pt idx="0">
                  <c:v>1.3230305350351995E-5</c:v>
                </c:pt>
                <c:pt idx="1">
                  <c:v>1.3034249599007685E-2</c:v>
                </c:pt>
                <c:pt idx="2">
                  <c:v>9.9114383308741172E-2</c:v>
                </c:pt>
                <c:pt idx="3">
                  <c:v>9.2985906513161215E-2</c:v>
                </c:pt>
                <c:pt idx="4">
                  <c:v>7.6866054560726496E-2</c:v>
                </c:pt>
                <c:pt idx="5">
                  <c:v>8.6402557918525968E-2</c:v>
                </c:pt>
                <c:pt idx="6">
                  <c:v>5.5262969880048467E-2</c:v>
                </c:pt>
                <c:pt idx="7">
                  <c:v>4.5065748153588825E-2</c:v>
                </c:pt>
                <c:pt idx="8">
                  <c:v>2.1552878333521475E-2</c:v>
                </c:pt>
                <c:pt idx="9">
                  <c:v>2.3890311978345923E-3</c:v>
                </c:pt>
              </c:numCache>
            </c:numRef>
          </c:val>
          <c:extLst>
            <c:ext xmlns:c16="http://schemas.microsoft.com/office/drawing/2014/chart" uri="{C3380CC4-5D6E-409C-BE32-E72D297353CC}">
              <c16:uniqueId val="{00000001-D45B-4411-A16F-D297A71B2193}"/>
            </c:ext>
          </c:extLst>
        </c:ser>
        <c:ser>
          <c:idx val="2"/>
          <c:order val="2"/>
          <c:tx>
            <c:strRef>
              <c:f>'Grafik Gehalte'!$AU$1</c:f>
              <c:strCache>
                <c:ptCount val="1"/>
                <c:pt idx="0">
                  <c:v>n-PFSAs</c:v>
                </c:pt>
              </c:strCache>
            </c:strRef>
          </c:tx>
          <c:spPr>
            <a:solidFill>
              <a:schemeClr val="accent3"/>
            </a:solidFill>
            <a:ln>
              <a:noFill/>
            </a:ln>
            <a:effectLst/>
          </c:spPr>
          <c:invertIfNegative val="0"/>
          <c:errBars>
            <c:errBarType val="both"/>
            <c:errValType val="cust"/>
            <c:noEndCap val="0"/>
            <c:plus>
              <c:numRef>
                <c:extLst>
                  <c:ext xmlns:c15="http://schemas.microsoft.com/office/drawing/2012/chart" uri="{02D57815-91ED-43cb-92C2-25804820EDAC}">
                    <c15:fullRef>
                      <c15:sqref>'Grafik Gehalte'!$BB$2:$BB$32</c15:sqref>
                    </c15:fullRef>
                  </c:ext>
                </c:extLst>
                <c:f>'Grafik Gehalte'!$BB$2:$BB$11</c:f>
                <c:numCache>
                  <c:formatCode>General</c:formatCode>
                  <c:ptCount val="10"/>
                  <c:pt idx="0">
                    <c:v>0</c:v>
                  </c:pt>
                  <c:pt idx="1">
                    <c:v>1.2720638111124059</c:v>
                  </c:pt>
                  <c:pt idx="2">
                    <c:v>5.8007955152512913</c:v>
                  </c:pt>
                  <c:pt idx="3">
                    <c:v>9.7533782804662756</c:v>
                  </c:pt>
                  <c:pt idx="4">
                    <c:v>3.8120307401643294</c:v>
                  </c:pt>
                  <c:pt idx="5">
                    <c:v>5.8646010249585414</c:v>
                  </c:pt>
                  <c:pt idx="6">
                    <c:v>5.5239581260292248</c:v>
                  </c:pt>
                  <c:pt idx="7">
                    <c:v>3.6192717924839193</c:v>
                  </c:pt>
                  <c:pt idx="8">
                    <c:v>2.1242155434919954</c:v>
                  </c:pt>
                  <c:pt idx="9">
                    <c:v>0.53671713853202263</c:v>
                  </c:pt>
                </c:numCache>
              </c:numRef>
            </c:plus>
            <c:minus>
              <c:numRef>
                <c:extLst>
                  <c:ext xmlns:c15="http://schemas.microsoft.com/office/drawing/2012/chart" uri="{02D57815-91ED-43cb-92C2-25804820EDAC}">
                    <c15:fullRef>
                      <c15:sqref>'Grafik Gehalte'!$BB$2:$BB$32</c15:sqref>
                    </c15:fullRef>
                  </c:ext>
                </c:extLst>
                <c:f>'Grafik Gehalte'!$BB$2:$BB$11</c:f>
                <c:numCache>
                  <c:formatCode>General</c:formatCode>
                  <c:ptCount val="10"/>
                  <c:pt idx="0">
                    <c:v>0</c:v>
                  </c:pt>
                  <c:pt idx="1">
                    <c:v>1.2720638111124059</c:v>
                  </c:pt>
                  <c:pt idx="2">
                    <c:v>5.8007955152512913</c:v>
                  </c:pt>
                  <c:pt idx="3">
                    <c:v>9.7533782804662756</c:v>
                  </c:pt>
                  <c:pt idx="4">
                    <c:v>3.8120307401643294</c:v>
                  </c:pt>
                  <c:pt idx="5">
                    <c:v>5.8646010249585414</c:v>
                  </c:pt>
                  <c:pt idx="6">
                    <c:v>5.5239581260292248</c:v>
                  </c:pt>
                  <c:pt idx="7">
                    <c:v>3.6192717924839193</c:v>
                  </c:pt>
                  <c:pt idx="8">
                    <c:v>2.1242155434919954</c:v>
                  </c:pt>
                  <c:pt idx="9">
                    <c:v>0.53671713853202263</c:v>
                  </c:pt>
                </c:numCache>
              </c:numRef>
            </c:minus>
            <c:spPr>
              <a:noFill/>
              <a:ln w="9525" cap="flat" cmpd="sng" algn="ctr">
                <a:solidFill>
                  <a:schemeClr val="tx1">
                    <a:lumMod val="65000"/>
                    <a:lumOff val="35000"/>
                  </a:schemeClr>
                </a:solidFill>
                <a:round/>
              </a:ln>
              <a:effectLst/>
            </c:spPr>
          </c:errBars>
          <c:cat>
            <c:numRef>
              <c:extLst>
                <c:ext xmlns:c15="http://schemas.microsoft.com/office/drawing/2012/chart" uri="{02D57815-91ED-43cb-92C2-25804820EDAC}">
                  <c15:fullRef>
                    <c15:sqref>'Grafik Gehalte'!$C$2:$C$32</c15:sqref>
                  </c15:fullRef>
                </c:ext>
              </c:extLst>
              <c:f>'Grafik Gehalte'!$C$2:$C$11</c:f>
              <c:numCache>
                <c:formatCode>General</c:formatCode>
                <c:ptCount val="10"/>
                <c:pt idx="0">
                  <c:v>1</c:v>
                </c:pt>
                <c:pt idx="1">
                  <c:v>5</c:v>
                </c:pt>
                <c:pt idx="2">
                  <c:v>17</c:v>
                </c:pt>
                <c:pt idx="3">
                  <c:v>38</c:v>
                </c:pt>
                <c:pt idx="4">
                  <c:v>54</c:v>
                </c:pt>
                <c:pt idx="5">
                  <c:v>57</c:v>
                </c:pt>
                <c:pt idx="6">
                  <c:v>61</c:v>
                </c:pt>
                <c:pt idx="7">
                  <c:v>73</c:v>
                </c:pt>
                <c:pt idx="8">
                  <c:v>101</c:v>
                </c:pt>
                <c:pt idx="9">
                  <c:v>136</c:v>
                </c:pt>
              </c:numCache>
            </c:numRef>
          </c:cat>
          <c:val>
            <c:numRef>
              <c:extLst>
                <c:ext xmlns:c15="http://schemas.microsoft.com/office/drawing/2012/chart" uri="{02D57815-91ED-43cb-92C2-25804820EDAC}">
                  <c15:fullRef>
                    <c15:sqref>'Grafik Gehalte'!$AU$2:$AU$32</c15:sqref>
                  </c15:fullRef>
                </c:ext>
              </c:extLst>
              <c:f>'Grafik Gehalte'!$AU$2:$AU$11</c:f>
              <c:numCache>
                <c:formatCode>0.00</c:formatCode>
                <c:ptCount val="10"/>
                <c:pt idx="0">
                  <c:v>0</c:v>
                </c:pt>
                <c:pt idx="1">
                  <c:v>1.6164793109135771</c:v>
                </c:pt>
                <c:pt idx="2">
                  <c:v>15.427790007672302</c:v>
                </c:pt>
                <c:pt idx="3">
                  <c:v>24.90126781998444</c:v>
                </c:pt>
                <c:pt idx="4">
                  <c:v>25.538704447596952</c:v>
                </c:pt>
                <c:pt idx="5">
                  <c:v>29.503618205212053</c:v>
                </c:pt>
                <c:pt idx="6">
                  <c:v>19.91887883908581</c:v>
                </c:pt>
                <c:pt idx="7">
                  <c:v>20.805332737952011</c:v>
                </c:pt>
                <c:pt idx="8">
                  <c:v>9.7843455354849063</c:v>
                </c:pt>
                <c:pt idx="9">
                  <c:v>2.2565918385562256</c:v>
                </c:pt>
              </c:numCache>
            </c:numRef>
          </c:val>
          <c:extLst>
            <c:ext xmlns:c16="http://schemas.microsoft.com/office/drawing/2014/chart" uri="{C3380CC4-5D6E-409C-BE32-E72D297353CC}">
              <c16:uniqueId val="{00000002-D45B-4411-A16F-D297A71B2193}"/>
            </c:ext>
          </c:extLst>
        </c:ser>
        <c:ser>
          <c:idx val="3"/>
          <c:order val="3"/>
          <c:tx>
            <c:strRef>
              <c:f>'Grafik Gehalte'!$AV$1</c:f>
              <c:strCache>
                <c:ptCount val="1"/>
                <c:pt idx="0">
                  <c:v>br-PFSAs</c:v>
                </c:pt>
              </c:strCache>
            </c:strRef>
          </c:tx>
          <c:spPr>
            <a:pattFill prst="dkUpDiag">
              <a:fgClr>
                <a:schemeClr val="accent3"/>
              </a:fgClr>
              <a:bgClr>
                <a:schemeClr val="bg1">
                  <a:lumMod val="95000"/>
                </a:schemeClr>
              </a:bgClr>
            </a:pattFill>
            <a:ln>
              <a:noFill/>
            </a:ln>
            <a:effectLst/>
          </c:spPr>
          <c:invertIfNegative val="0"/>
          <c:errBars>
            <c:errBarType val="both"/>
            <c:errValType val="cust"/>
            <c:noEndCap val="0"/>
            <c:plus>
              <c:numRef>
                <c:extLst>
                  <c:ext xmlns:c15="http://schemas.microsoft.com/office/drawing/2012/chart" uri="{02D57815-91ED-43cb-92C2-25804820EDAC}">
                    <c15:fullRef>
                      <c15:sqref>'Grafik Gehalte'!$BC$2:$BC$32</c15:sqref>
                    </c15:fullRef>
                  </c:ext>
                </c:extLst>
                <c:f>'Grafik Gehalte'!$BC$2:$BC$11</c:f>
                <c:numCache>
                  <c:formatCode>General</c:formatCode>
                  <c:ptCount val="10"/>
                  <c:pt idx="0">
                    <c:v>0</c:v>
                  </c:pt>
                  <c:pt idx="1">
                    <c:v>1.1435876887882113</c:v>
                  </c:pt>
                  <c:pt idx="2">
                    <c:v>6.559965183624497</c:v>
                  </c:pt>
                  <c:pt idx="3">
                    <c:v>11.885149355934777</c:v>
                  </c:pt>
                  <c:pt idx="4">
                    <c:v>4.2628424915208916</c:v>
                  </c:pt>
                  <c:pt idx="5">
                    <c:v>6.6051556319261522</c:v>
                  </c:pt>
                  <c:pt idx="6">
                    <c:v>5.2043749486045074</c:v>
                  </c:pt>
                  <c:pt idx="7">
                    <c:v>3.9904198914708431</c:v>
                  </c:pt>
                  <c:pt idx="8">
                    <c:v>1.6520505869727959</c:v>
                  </c:pt>
                  <c:pt idx="9">
                    <c:v>0.58153109990650076</c:v>
                  </c:pt>
                </c:numCache>
              </c:numRef>
            </c:plus>
            <c:minus>
              <c:numRef>
                <c:extLst>
                  <c:ext xmlns:c15="http://schemas.microsoft.com/office/drawing/2012/chart" uri="{02D57815-91ED-43cb-92C2-25804820EDAC}">
                    <c15:fullRef>
                      <c15:sqref>'Grafik Gehalte'!$BC$2:$BC$32</c15:sqref>
                    </c15:fullRef>
                  </c:ext>
                </c:extLst>
                <c:f>'Grafik Gehalte'!$BC$2:$BC$11</c:f>
                <c:numCache>
                  <c:formatCode>General</c:formatCode>
                  <c:ptCount val="10"/>
                  <c:pt idx="0">
                    <c:v>0</c:v>
                  </c:pt>
                  <c:pt idx="1">
                    <c:v>1.1435876887882113</c:v>
                  </c:pt>
                  <c:pt idx="2">
                    <c:v>6.559965183624497</c:v>
                  </c:pt>
                  <c:pt idx="3">
                    <c:v>11.885149355934777</c:v>
                  </c:pt>
                  <c:pt idx="4">
                    <c:v>4.2628424915208916</c:v>
                  </c:pt>
                  <c:pt idx="5">
                    <c:v>6.6051556319261522</c:v>
                  </c:pt>
                  <c:pt idx="6">
                    <c:v>5.2043749486045074</c:v>
                  </c:pt>
                  <c:pt idx="7">
                    <c:v>3.9904198914708431</c:v>
                  </c:pt>
                  <c:pt idx="8">
                    <c:v>1.6520505869727959</c:v>
                  </c:pt>
                  <c:pt idx="9">
                    <c:v>0.58153109990650076</c:v>
                  </c:pt>
                </c:numCache>
              </c:numRef>
            </c:minus>
            <c:spPr>
              <a:noFill/>
              <a:ln w="9525" cap="flat" cmpd="sng" algn="ctr">
                <a:solidFill>
                  <a:schemeClr val="tx1">
                    <a:lumMod val="65000"/>
                    <a:lumOff val="35000"/>
                  </a:schemeClr>
                </a:solidFill>
                <a:round/>
              </a:ln>
              <a:effectLst/>
            </c:spPr>
          </c:errBars>
          <c:cat>
            <c:numRef>
              <c:extLst>
                <c:ext xmlns:c15="http://schemas.microsoft.com/office/drawing/2012/chart" uri="{02D57815-91ED-43cb-92C2-25804820EDAC}">
                  <c15:fullRef>
                    <c15:sqref>'Grafik Gehalte'!$C$2:$C$32</c15:sqref>
                  </c15:fullRef>
                </c:ext>
              </c:extLst>
              <c:f>'Grafik Gehalte'!$C$2:$C$11</c:f>
              <c:numCache>
                <c:formatCode>General</c:formatCode>
                <c:ptCount val="10"/>
                <c:pt idx="0">
                  <c:v>1</c:v>
                </c:pt>
                <c:pt idx="1">
                  <c:v>5</c:v>
                </c:pt>
                <c:pt idx="2">
                  <c:v>17</c:v>
                </c:pt>
                <c:pt idx="3">
                  <c:v>38</c:v>
                </c:pt>
                <c:pt idx="4">
                  <c:v>54</c:v>
                </c:pt>
                <c:pt idx="5">
                  <c:v>57</c:v>
                </c:pt>
                <c:pt idx="6">
                  <c:v>61</c:v>
                </c:pt>
                <c:pt idx="7">
                  <c:v>73</c:v>
                </c:pt>
                <c:pt idx="8">
                  <c:v>101</c:v>
                </c:pt>
                <c:pt idx="9">
                  <c:v>136</c:v>
                </c:pt>
              </c:numCache>
            </c:numRef>
          </c:cat>
          <c:val>
            <c:numRef>
              <c:extLst>
                <c:ext xmlns:c15="http://schemas.microsoft.com/office/drawing/2012/chart" uri="{02D57815-91ED-43cb-92C2-25804820EDAC}">
                  <c15:fullRef>
                    <c15:sqref>'Grafik Gehalte'!$AV$2:$AV$32</c15:sqref>
                  </c15:fullRef>
                </c:ext>
              </c:extLst>
              <c:f>'Grafik Gehalte'!$AV$2:$AV$11</c:f>
              <c:numCache>
                <c:formatCode>0.00</c:formatCode>
                <c:ptCount val="10"/>
                <c:pt idx="0">
                  <c:v>0</c:v>
                </c:pt>
                <c:pt idx="1">
                  <c:v>1.4261854085549623</c:v>
                </c:pt>
                <c:pt idx="2">
                  <c:v>14.771313024248157</c:v>
                </c:pt>
                <c:pt idx="3">
                  <c:v>24.877112025132206</c:v>
                </c:pt>
                <c:pt idx="4">
                  <c:v>25.649450865717096</c:v>
                </c:pt>
                <c:pt idx="5">
                  <c:v>29.423833218032104</c:v>
                </c:pt>
                <c:pt idx="6">
                  <c:v>16.563398283665112</c:v>
                </c:pt>
                <c:pt idx="7">
                  <c:v>17.915218549524457</c:v>
                </c:pt>
                <c:pt idx="8">
                  <c:v>7.5779848816422684</c:v>
                </c:pt>
                <c:pt idx="9">
                  <c:v>1.6396443551364981</c:v>
                </c:pt>
              </c:numCache>
            </c:numRef>
          </c:val>
          <c:extLst>
            <c:ext xmlns:c16="http://schemas.microsoft.com/office/drawing/2014/chart" uri="{C3380CC4-5D6E-409C-BE32-E72D297353CC}">
              <c16:uniqueId val="{00000003-D45B-4411-A16F-D297A71B2193}"/>
            </c:ext>
          </c:extLst>
        </c:ser>
        <c:dLbls>
          <c:showLegendKey val="0"/>
          <c:showVal val="0"/>
          <c:showCatName val="0"/>
          <c:showSerName val="0"/>
          <c:showPercent val="0"/>
          <c:showBubbleSize val="0"/>
        </c:dLbls>
        <c:gapWidth val="150"/>
        <c:axId val="570454720"/>
        <c:axId val="570458048"/>
      </c:barChart>
      <c:catAx>
        <c:axId val="570454720"/>
        <c:scaling>
          <c:orientation val="minMax"/>
        </c:scaling>
        <c:delete val="0"/>
        <c:axPos val="b"/>
        <c:title>
          <c:tx>
            <c:rich>
              <a:bodyPr rot="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US"/>
                  <a:t>Day</a:t>
                </a:r>
              </a:p>
            </c:rich>
          </c:tx>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none"/>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570458048"/>
        <c:crosses val="autoZero"/>
        <c:auto val="1"/>
        <c:lblAlgn val="ctr"/>
        <c:lblOffset val="100"/>
        <c:noMultiLvlLbl val="0"/>
      </c:catAx>
      <c:valAx>
        <c:axId val="570458048"/>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US"/>
                  <a:t>PFAA content (µg/kg)</a:t>
                </a:r>
              </a:p>
            </c:rich>
          </c:tx>
          <c:layout>
            <c:manualLayout>
              <c:xMode val="edge"/>
              <c:yMode val="edge"/>
              <c:x val="4.1685556196323394E-2"/>
              <c:y val="0.25555592009332168"/>
            </c:manualLayout>
          </c:layout>
          <c:overlay val="0"/>
          <c:spPr>
            <a:noFill/>
            <a:ln>
              <a:noFill/>
            </a:ln>
            <a:effectLst/>
          </c:spPr>
          <c:txPr>
            <a:bodyPr rot="-540000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570454720"/>
        <c:crosses val="autoZero"/>
        <c:crossBetween val="between"/>
      </c:valAx>
      <c:spPr>
        <a:noFill/>
        <a:ln>
          <a:solidFill>
            <a:sysClr val="windowText" lastClr="000000"/>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8740157499999996" l="0.7" r="0.7" t="0.78740157499999996" header="0.3" footer="0.3"/>
    <c:pageSetup/>
  </c:printSettings>
  <c:userShapes r:id="rId3"/>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US" sz="1600" b="1"/>
              <a:t>Urine</a:t>
            </a:r>
          </a:p>
        </c:rich>
      </c:tx>
      <c:layout>
        <c:manualLayout>
          <c:xMode val="edge"/>
          <c:yMode val="edge"/>
          <c:x val="0.36770998104158237"/>
          <c:y val="2.7597696121318169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autoTitleDeleted val="0"/>
    <c:plotArea>
      <c:layout>
        <c:manualLayout>
          <c:layoutTarget val="inner"/>
          <c:xMode val="edge"/>
          <c:yMode val="edge"/>
          <c:x val="9.6416666666666664E-2"/>
          <c:y val="0.25555592009332168"/>
          <c:w val="0.68421872265966754"/>
          <c:h val="0.51425889472149311"/>
        </c:manualLayout>
      </c:layout>
      <c:barChart>
        <c:barDir val="col"/>
        <c:grouping val="clustered"/>
        <c:varyColors val="0"/>
        <c:ser>
          <c:idx val="0"/>
          <c:order val="0"/>
          <c:tx>
            <c:strRef>
              <c:f>'Grafik Gehalte'!$AS$1</c:f>
              <c:strCache>
                <c:ptCount val="1"/>
                <c:pt idx="0">
                  <c:v>n-PFCAs</c:v>
                </c:pt>
              </c:strCache>
            </c:strRef>
          </c:tx>
          <c:spPr>
            <a:solidFill>
              <a:schemeClr val="accent4"/>
            </a:solidFill>
            <a:ln>
              <a:noFill/>
            </a:ln>
            <a:effectLst/>
          </c:spPr>
          <c:invertIfNegative val="0"/>
          <c:errBars>
            <c:errBarType val="both"/>
            <c:errValType val="cust"/>
            <c:noEndCap val="0"/>
            <c:plus>
              <c:numRef>
                <c:extLst>
                  <c:ext xmlns:c15="http://schemas.microsoft.com/office/drawing/2012/chart" uri="{02D57815-91ED-43cb-92C2-25804820EDAC}">
                    <c15:fullRef>
                      <c15:sqref>'Grafik Gehalte'!$AZ$2:$AZ$32</c15:sqref>
                    </c15:fullRef>
                  </c:ext>
                </c:extLst>
                <c:f>'Grafik Gehalte'!$AZ$21:$AZ$26</c:f>
                <c:numCache>
                  <c:formatCode>General</c:formatCode>
                  <c:ptCount val="6"/>
                  <c:pt idx="0">
                    <c:v>1.168874993316223</c:v>
                  </c:pt>
                  <c:pt idx="1">
                    <c:v>21.869522998627559</c:v>
                  </c:pt>
                  <c:pt idx="2">
                    <c:v>58.962771345040231</c:v>
                  </c:pt>
                  <c:pt idx="3">
                    <c:v>37.259543955836001</c:v>
                  </c:pt>
                  <c:pt idx="4">
                    <c:v>0.26673582436560711</c:v>
                  </c:pt>
                  <c:pt idx="5">
                    <c:v>0</c:v>
                  </c:pt>
                </c:numCache>
              </c:numRef>
            </c:plus>
            <c:minus>
              <c:numRef>
                <c:extLst>
                  <c:ext xmlns:c15="http://schemas.microsoft.com/office/drawing/2012/chart" uri="{02D57815-91ED-43cb-92C2-25804820EDAC}">
                    <c15:fullRef>
                      <c15:sqref>'Grafik Gehalte'!$AZ$2:$AZ$32</c15:sqref>
                    </c15:fullRef>
                  </c:ext>
                </c:extLst>
                <c:f>'Grafik Gehalte'!$AZ$21:$AZ$26</c:f>
                <c:numCache>
                  <c:formatCode>General</c:formatCode>
                  <c:ptCount val="6"/>
                  <c:pt idx="0">
                    <c:v>1.168874993316223</c:v>
                  </c:pt>
                  <c:pt idx="1">
                    <c:v>21.869522998627559</c:v>
                  </c:pt>
                  <c:pt idx="2">
                    <c:v>58.962771345040231</c:v>
                  </c:pt>
                  <c:pt idx="3">
                    <c:v>37.259543955836001</c:v>
                  </c:pt>
                  <c:pt idx="4">
                    <c:v>0.26673582436560711</c:v>
                  </c:pt>
                  <c:pt idx="5">
                    <c:v>0</c:v>
                  </c:pt>
                </c:numCache>
              </c:numRef>
            </c:minus>
            <c:spPr>
              <a:noFill/>
              <a:ln w="9525" cap="flat" cmpd="sng" algn="ctr">
                <a:solidFill>
                  <a:schemeClr val="tx1">
                    <a:lumMod val="65000"/>
                    <a:lumOff val="35000"/>
                  </a:schemeClr>
                </a:solidFill>
                <a:round/>
              </a:ln>
              <a:effectLst/>
            </c:spPr>
          </c:errBars>
          <c:cat>
            <c:numRef>
              <c:extLst>
                <c:ext xmlns:c15="http://schemas.microsoft.com/office/drawing/2012/chart" uri="{02D57815-91ED-43cb-92C2-25804820EDAC}">
                  <c15:fullRef>
                    <c15:sqref>'Grafik Gehalte'!$C$2:$C$32</c15:sqref>
                  </c15:fullRef>
                </c:ext>
              </c:extLst>
              <c:f>'Grafik Gehalte'!$C$21:$C$26</c:f>
              <c:numCache>
                <c:formatCode>General</c:formatCode>
                <c:ptCount val="6"/>
                <c:pt idx="0">
                  <c:v>1</c:v>
                </c:pt>
                <c:pt idx="1">
                  <c:v>5</c:v>
                </c:pt>
                <c:pt idx="2">
                  <c:v>17</c:v>
                </c:pt>
                <c:pt idx="3">
                  <c:v>57</c:v>
                </c:pt>
                <c:pt idx="4">
                  <c:v>61</c:v>
                </c:pt>
                <c:pt idx="5">
                  <c:v>136</c:v>
                </c:pt>
              </c:numCache>
            </c:numRef>
          </c:cat>
          <c:val>
            <c:numRef>
              <c:extLst>
                <c:ext xmlns:c15="http://schemas.microsoft.com/office/drawing/2012/chart" uri="{02D57815-91ED-43cb-92C2-25804820EDAC}">
                  <c15:fullRef>
                    <c15:sqref>'Grafik Gehalte'!$AS$2:$AS$32</c15:sqref>
                  </c15:fullRef>
                </c:ext>
              </c:extLst>
              <c:f>'Grafik Gehalte'!$AS$21:$AS$26</c:f>
              <c:numCache>
                <c:formatCode>0.00</c:formatCode>
                <c:ptCount val="6"/>
                <c:pt idx="0">
                  <c:v>1.8499999999999999</c:v>
                </c:pt>
                <c:pt idx="1">
                  <c:v>47.963666666666661</c:v>
                </c:pt>
                <c:pt idx="2">
                  <c:v>110.27833333333334</c:v>
                </c:pt>
                <c:pt idx="3">
                  <c:v>43.401666666666671</c:v>
                </c:pt>
                <c:pt idx="4">
                  <c:v>0.61599999999999999</c:v>
                </c:pt>
                <c:pt idx="5">
                  <c:v>0</c:v>
                </c:pt>
              </c:numCache>
            </c:numRef>
          </c:val>
          <c:extLst>
            <c:ext xmlns:c16="http://schemas.microsoft.com/office/drawing/2014/chart" uri="{C3380CC4-5D6E-409C-BE32-E72D297353CC}">
              <c16:uniqueId val="{00000000-7DC0-4995-ADAB-735F6C0B60DB}"/>
            </c:ext>
          </c:extLst>
        </c:ser>
        <c:ser>
          <c:idx val="1"/>
          <c:order val="1"/>
          <c:tx>
            <c:strRef>
              <c:f>'Grafik Gehalte'!$AT$1</c:f>
              <c:strCache>
                <c:ptCount val="1"/>
                <c:pt idx="0">
                  <c:v>br-PFCAs</c:v>
                </c:pt>
              </c:strCache>
            </c:strRef>
          </c:tx>
          <c:spPr>
            <a:pattFill prst="dkUpDiag">
              <a:fgClr>
                <a:schemeClr val="accent4"/>
              </a:fgClr>
              <a:bgClr>
                <a:schemeClr val="bg1">
                  <a:lumMod val="95000"/>
                </a:schemeClr>
              </a:bgClr>
            </a:pattFill>
            <a:ln>
              <a:noFill/>
            </a:ln>
            <a:effectLst/>
          </c:spPr>
          <c:invertIfNegative val="0"/>
          <c:errBars>
            <c:errBarType val="both"/>
            <c:errValType val="cust"/>
            <c:noEndCap val="0"/>
            <c:plus>
              <c:numRef>
                <c:extLst>
                  <c:ext xmlns:c15="http://schemas.microsoft.com/office/drawing/2012/chart" uri="{02D57815-91ED-43cb-92C2-25804820EDAC}">
                    <c15:fullRef>
                      <c15:sqref>'Grafik Gehalte'!$BA$2:$BA$32</c15:sqref>
                    </c15:fullRef>
                  </c:ext>
                </c:extLst>
                <c:f>'Grafik Gehalte'!$BA$21:$BA$26</c:f>
                <c:numCache>
                  <c:formatCode>General</c:formatCode>
                  <c:ptCount val="6"/>
                  <c:pt idx="0">
                    <c:v>0</c:v>
                  </c:pt>
                  <c:pt idx="1">
                    <c:v>2.3081279616823669</c:v>
                  </c:pt>
                  <c:pt idx="2">
                    <c:v>2.4281905300037718</c:v>
                  </c:pt>
                  <c:pt idx="3">
                    <c:v>1.3331129687689636</c:v>
                  </c:pt>
                  <c:pt idx="4">
                    <c:v>0</c:v>
                  </c:pt>
                  <c:pt idx="5">
                    <c:v>0</c:v>
                  </c:pt>
                </c:numCache>
              </c:numRef>
            </c:plus>
            <c:minus>
              <c:numRef>
                <c:extLst>
                  <c:ext xmlns:c15="http://schemas.microsoft.com/office/drawing/2012/chart" uri="{02D57815-91ED-43cb-92C2-25804820EDAC}">
                    <c15:fullRef>
                      <c15:sqref>'Grafik Gehalte'!$BA$2:$BA$32</c15:sqref>
                    </c15:fullRef>
                  </c:ext>
                </c:extLst>
                <c:f>'Grafik Gehalte'!$BA$21:$BA$26</c:f>
                <c:numCache>
                  <c:formatCode>General</c:formatCode>
                  <c:ptCount val="6"/>
                  <c:pt idx="0">
                    <c:v>0</c:v>
                  </c:pt>
                  <c:pt idx="1">
                    <c:v>2.3081279616823669</c:v>
                  </c:pt>
                  <c:pt idx="2">
                    <c:v>2.4281905300037718</c:v>
                  </c:pt>
                  <c:pt idx="3">
                    <c:v>1.3331129687689636</c:v>
                  </c:pt>
                  <c:pt idx="4">
                    <c:v>0</c:v>
                  </c:pt>
                  <c:pt idx="5">
                    <c:v>0</c:v>
                  </c:pt>
                </c:numCache>
              </c:numRef>
            </c:minus>
            <c:spPr>
              <a:noFill/>
              <a:ln w="9525" cap="flat" cmpd="sng" algn="ctr">
                <a:solidFill>
                  <a:schemeClr val="tx1">
                    <a:lumMod val="65000"/>
                    <a:lumOff val="35000"/>
                  </a:schemeClr>
                </a:solidFill>
                <a:round/>
              </a:ln>
              <a:effectLst/>
            </c:spPr>
          </c:errBars>
          <c:cat>
            <c:numRef>
              <c:extLst>
                <c:ext xmlns:c15="http://schemas.microsoft.com/office/drawing/2012/chart" uri="{02D57815-91ED-43cb-92C2-25804820EDAC}">
                  <c15:fullRef>
                    <c15:sqref>'Grafik Gehalte'!$C$2:$C$32</c15:sqref>
                  </c15:fullRef>
                </c:ext>
              </c:extLst>
              <c:f>'Grafik Gehalte'!$C$21:$C$26</c:f>
              <c:numCache>
                <c:formatCode>General</c:formatCode>
                <c:ptCount val="6"/>
                <c:pt idx="0">
                  <c:v>1</c:v>
                </c:pt>
                <c:pt idx="1">
                  <c:v>5</c:v>
                </c:pt>
                <c:pt idx="2">
                  <c:v>17</c:v>
                </c:pt>
                <c:pt idx="3">
                  <c:v>57</c:v>
                </c:pt>
                <c:pt idx="4">
                  <c:v>61</c:v>
                </c:pt>
                <c:pt idx="5">
                  <c:v>136</c:v>
                </c:pt>
              </c:numCache>
            </c:numRef>
          </c:cat>
          <c:val>
            <c:numRef>
              <c:extLst>
                <c:ext xmlns:c15="http://schemas.microsoft.com/office/drawing/2012/chart" uri="{02D57815-91ED-43cb-92C2-25804820EDAC}">
                  <c15:fullRef>
                    <c15:sqref>'Grafik Gehalte'!$AT$2:$AT$32</c15:sqref>
                  </c15:fullRef>
                </c:ext>
              </c:extLst>
              <c:f>'Grafik Gehalte'!$AT$21:$AT$26</c:f>
              <c:numCache>
                <c:formatCode>0.00</c:formatCode>
                <c:ptCount val="6"/>
                <c:pt idx="0">
                  <c:v>0</c:v>
                </c:pt>
                <c:pt idx="1">
                  <c:v>3.7716666666666665</c:v>
                </c:pt>
                <c:pt idx="2">
                  <c:v>5.7526666666666664</c:v>
                </c:pt>
                <c:pt idx="3">
                  <c:v>1.5516666666666665</c:v>
                </c:pt>
                <c:pt idx="4">
                  <c:v>0</c:v>
                </c:pt>
                <c:pt idx="5">
                  <c:v>0</c:v>
                </c:pt>
              </c:numCache>
            </c:numRef>
          </c:val>
          <c:extLst>
            <c:ext xmlns:c16="http://schemas.microsoft.com/office/drawing/2014/chart" uri="{C3380CC4-5D6E-409C-BE32-E72D297353CC}">
              <c16:uniqueId val="{00000001-7DC0-4995-ADAB-735F6C0B60DB}"/>
            </c:ext>
          </c:extLst>
        </c:ser>
        <c:ser>
          <c:idx val="2"/>
          <c:order val="2"/>
          <c:tx>
            <c:strRef>
              <c:f>'Grafik Gehalte'!$AU$1</c:f>
              <c:strCache>
                <c:ptCount val="1"/>
                <c:pt idx="0">
                  <c:v>n-PFSAs</c:v>
                </c:pt>
              </c:strCache>
            </c:strRef>
          </c:tx>
          <c:spPr>
            <a:solidFill>
              <a:schemeClr val="accent3"/>
            </a:solidFill>
            <a:ln>
              <a:noFill/>
            </a:ln>
            <a:effectLst/>
          </c:spPr>
          <c:invertIfNegative val="0"/>
          <c:errBars>
            <c:errBarType val="both"/>
            <c:errValType val="cust"/>
            <c:noEndCap val="0"/>
            <c:plus>
              <c:numRef>
                <c:extLst>
                  <c:ext xmlns:c15="http://schemas.microsoft.com/office/drawing/2012/chart" uri="{02D57815-91ED-43cb-92C2-25804820EDAC}">
                    <c15:fullRef>
                      <c15:sqref>'Grafik Gehalte'!$BB$2:$BB$32</c15:sqref>
                    </c15:fullRef>
                  </c:ext>
                </c:extLst>
                <c:f>'Grafik Gehalte'!$BB$21:$BB$26</c:f>
                <c:numCache>
                  <c:formatCode>General</c:formatCode>
                  <c:ptCount val="6"/>
                  <c:pt idx="0">
                    <c:v>0</c:v>
                  </c:pt>
                  <c:pt idx="1">
                    <c:v>0</c:v>
                  </c:pt>
                  <c:pt idx="2">
                    <c:v>2.1691981633486135</c:v>
                  </c:pt>
                  <c:pt idx="3">
                    <c:v>1.2307172895815677</c:v>
                  </c:pt>
                  <c:pt idx="4">
                    <c:v>1.0284712866677415</c:v>
                  </c:pt>
                  <c:pt idx="5">
                    <c:v>0</c:v>
                  </c:pt>
                </c:numCache>
              </c:numRef>
            </c:plus>
            <c:minus>
              <c:numRef>
                <c:extLst>
                  <c:ext xmlns:c15="http://schemas.microsoft.com/office/drawing/2012/chart" uri="{02D57815-91ED-43cb-92C2-25804820EDAC}">
                    <c15:fullRef>
                      <c15:sqref>'Grafik Gehalte'!$BB$2:$BB$32</c15:sqref>
                    </c15:fullRef>
                  </c:ext>
                </c:extLst>
                <c:f>'Grafik Gehalte'!$BB$21:$BB$26</c:f>
                <c:numCache>
                  <c:formatCode>General</c:formatCode>
                  <c:ptCount val="6"/>
                  <c:pt idx="0">
                    <c:v>0</c:v>
                  </c:pt>
                  <c:pt idx="1">
                    <c:v>0</c:v>
                  </c:pt>
                  <c:pt idx="2">
                    <c:v>2.1691981633486135</c:v>
                  </c:pt>
                  <c:pt idx="3">
                    <c:v>1.2307172895815677</c:v>
                  </c:pt>
                  <c:pt idx="4">
                    <c:v>1.0284712866677415</c:v>
                  </c:pt>
                  <c:pt idx="5">
                    <c:v>0</c:v>
                  </c:pt>
                </c:numCache>
              </c:numRef>
            </c:minus>
            <c:spPr>
              <a:noFill/>
              <a:ln w="9525" cap="flat" cmpd="sng" algn="ctr">
                <a:solidFill>
                  <a:schemeClr val="tx1">
                    <a:lumMod val="65000"/>
                    <a:lumOff val="35000"/>
                  </a:schemeClr>
                </a:solidFill>
                <a:round/>
              </a:ln>
              <a:effectLst/>
            </c:spPr>
          </c:errBars>
          <c:cat>
            <c:numRef>
              <c:extLst>
                <c:ext xmlns:c15="http://schemas.microsoft.com/office/drawing/2012/chart" uri="{02D57815-91ED-43cb-92C2-25804820EDAC}">
                  <c15:fullRef>
                    <c15:sqref>'Grafik Gehalte'!$C$2:$C$32</c15:sqref>
                  </c15:fullRef>
                </c:ext>
              </c:extLst>
              <c:f>'Grafik Gehalte'!$C$21:$C$26</c:f>
              <c:numCache>
                <c:formatCode>General</c:formatCode>
                <c:ptCount val="6"/>
                <c:pt idx="0">
                  <c:v>1</c:v>
                </c:pt>
                <c:pt idx="1">
                  <c:v>5</c:v>
                </c:pt>
                <c:pt idx="2">
                  <c:v>17</c:v>
                </c:pt>
                <c:pt idx="3">
                  <c:v>57</c:v>
                </c:pt>
                <c:pt idx="4">
                  <c:v>61</c:v>
                </c:pt>
                <c:pt idx="5">
                  <c:v>136</c:v>
                </c:pt>
              </c:numCache>
            </c:numRef>
          </c:cat>
          <c:val>
            <c:numRef>
              <c:extLst>
                <c:ext xmlns:c15="http://schemas.microsoft.com/office/drawing/2012/chart" uri="{02D57815-91ED-43cb-92C2-25804820EDAC}">
                  <c15:fullRef>
                    <c15:sqref>'Grafik Gehalte'!$AU$2:$AU$32</c15:sqref>
                  </c15:fullRef>
                </c:ext>
              </c:extLst>
              <c:f>'Grafik Gehalte'!$AU$21:$AU$26</c:f>
              <c:numCache>
                <c:formatCode>0.00</c:formatCode>
                <c:ptCount val="6"/>
                <c:pt idx="0">
                  <c:v>0</c:v>
                </c:pt>
                <c:pt idx="1">
                  <c:v>0</c:v>
                </c:pt>
                <c:pt idx="2">
                  <c:v>4.8764999999999992</c:v>
                </c:pt>
                <c:pt idx="3">
                  <c:v>2.2398333333333333</c:v>
                </c:pt>
                <c:pt idx="4">
                  <c:v>2.347833333333333</c:v>
                </c:pt>
                <c:pt idx="5">
                  <c:v>0</c:v>
                </c:pt>
              </c:numCache>
            </c:numRef>
          </c:val>
          <c:extLst>
            <c:ext xmlns:c16="http://schemas.microsoft.com/office/drawing/2014/chart" uri="{C3380CC4-5D6E-409C-BE32-E72D297353CC}">
              <c16:uniqueId val="{00000002-7DC0-4995-ADAB-735F6C0B60DB}"/>
            </c:ext>
          </c:extLst>
        </c:ser>
        <c:ser>
          <c:idx val="3"/>
          <c:order val="3"/>
          <c:tx>
            <c:strRef>
              <c:f>'Grafik Gehalte'!$AV$1</c:f>
              <c:strCache>
                <c:ptCount val="1"/>
                <c:pt idx="0">
                  <c:v>br-PFSAs</c:v>
                </c:pt>
              </c:strCache>
            </c:strRef>
          </c:tx>
          <c:spPr>
            <a:pattFill prst="dkUpDiag">
              <a:fgClr>
                <a:schemeClr val="accent3"/>
              </a:fgClr>
              <a:bgClr>
                <a:schemeClr val="bg1">
                  <a:lumMod val="95000"/>
                </a:schemeClr>
              </a:bgClr>
            </a:pattFill>
            <a:ln>
              <a:noFill/>
            </a:ln>
            <a:effectLst/>
          </c:spPr>
          <c:invertIfNegative val="0"/>
          <c:errBars>
            <c:errBarType val="both"/>
            <c:errValType val="cust"/>
            <c:noEndCap val="0"/>
            <c:plus>
              <c:numRef>
                <c:extLst>
                  <c:ext xmlns:c15="http://schemas.microsoft.com/office/drawing/2012/chart" uri="{02D57815-91ED-43cb-92C2-25804820EDAC}">
                    <c15:fullRef>
                      <c15:sqref>'Grafik Gehalte'!$BC$2:$BC$32</c15:sqref>
                    </c15:fullRef>
                  </c:ext>
                </c:extLst>
                <c:f>'Grafik Gehalte'!$BC$21:$BC$26</c:f>
                <c:numCache>
                  <c:formatCode>General</c:formatCode>
                  <c:ptCount val="6"/>
                  <c:pt idx="0">
                    <c:v>0</c:v>
                  </c:pt>
                  <c:pt idx="1">
                    <c:v>0</c:v>
                  </c:pt>
                  <c:pt idx="2">
                    <c:v>1.3690798004499227</c:v>
                  </c:pt>
                  <c:pt idx="3">
                    <c:v>0.81062121240441265</c:v>
                  </c:pt>
                  <c:pt idx="4">
                    <c:v>0.62230313152032257</c:v>
                  </c:pt>
                  <c:pt idx="5">
                    <c:v>0</c:v>
                  </c:pt>
                </c:numCache>
              </c:numRef>
            </c:plus>
            <c:minus>
              <c:numRef>
                <c:extLst>
                  <c:ext xmlns:c15="http://schemas.microsoft.com/office/drawing/2012/chart" uri="{02D57815-91ED-43cb-92C2-25804820EDAC}">
                    <c15:fullRef>
                      <c15:sqref>'Grafik Gehalte'!$BC$2:$BC$32</c15:sqref>
                    </c15:fullRef>
                  </c:ext>
                </c:extLst>
                <c:f>'Grafik Gehalte'!$BC$21:$BC$26</c:f>
                <c:numCache>
                  <c:formatCode>General</c:formatCode>
                  <c:ptCount val="6"/>
                  <c:pt idx="0">
                    <c:v>0</c:v>
                  </c:pt>
                  <c:pt idx="1">
                    <c:v>0</c:v>
                  </c:pt>
                  <c:pt idx="2">
                    <c:v>1.3690798004499227</c:v>
                  </c:pt>
                  <c:pt idx="3">
                    <c:v>0.81062121240441265</c:v>
                  </c:pt>
                  <c:pt idx="4">
                    <c:v>0.62230313152032257</c:v>
                  </c:pt>
                  <c:pt idx="5">
                    <c:v>0</c:v>
                  </c:pt>
                </c:numCache>
              </c:numRef>
            </c:minus>
            <c:spPr>
              <a:noFill/>
              <a:ln w="9525" cap="flat" cmpd="sng" algn="ctr">
                <a:solidFill>
                  <a:schemeClr val="tx1">
                    <a:lumMod val="65000"/>
                    <a:lumOff val="35000"/>
                  </a:schemeClr>
                </a:solidFill>
                <a:round/>
              </a:ln>
              <a:effectLst/>
            </c:spPr>
          </c:errBars>
          <c:cat>
            <c:numRef>
              <c:extLst>
                <c:ext xmlns:c15="http://schemas.microsoft.com/office/drawing/2012/chart" uri="{02D57815-91ED-43cb-92C2-25804820EDAC}">
                  <c15:fullRef>
                    <c15:sqref>'Grafik Gehalte'!$C$2:$C$32</c15:sqref>
                  </c15:fullRef>
                </c:ext>
              </c:extLst>
              <c:f>'Grafik Gehalte'!$C$21:$C$26</c:f>
              <c:numCache>
                <c:formatCode>General</c:formatCode>
                <c:ptCount val="6"/>
                <c:pt idx="0">
                  <c:v>1</c:v>
                </c:pt>
                <c:pt idx="1">
                  <c:v>5</c:v>
                </c:pt>
                <c:pt idx="2">
                  <c:v>17</c:v>
                </c:pt>
                <c:pt idx="3">
                  <c:v>57</c:v>
                </c:pt>
                <c:pt idx="4">
                  <c:v>61</c:v>
                </c:pt>
                <c:pt idx="5">
                  <c:v>136</c:v>
                </c:pt>
              </c:numCache>
            </c:numRef>
          </c:cat>
          <c:val>
            <c:numRef>
              <c:extLst>
                <c:ext xmlns:c15="http://schemas.microsoft.com/office/drawing/2012/chart" uri="{02D57815-91ED-43cb-92C2-25804820EDAC}">
                  <c15:fullRef>
                    <c15:sqref>'Grafik Gehalte'!$AV$2:$AV$32</c15:sqref>
                  </c15:fullRef>
                </c:ext>
              </c:extLst>
              <c:f>'Grafik Gehalte'!$AV$21:$AV$26</c:f>
              <c:numCache>
                <c:formatCode>0.00</c:formatCode>
                <c:ptCount val="6"/>
                <c:pt idx="0">
                  <c:v>0</c:v>
                </c:pt>
                <c:pt idx="1">
                  <c:v>0</c:v>
                </c:pt>
                <c:pt idx="2">
                  <c:v>2.8448333333333329</c:v>
                </c:pt>
                <c:pt idx="3">
                  <c:v>1.6795</c:v>
                </c:pt>
                <c:pt idx="4">
                  <c:v>1.4849999999999999</c:v>
                </c:pt>
                <c:pt idx="5">
                  <c:v>0</c:v>
                </c:pt>
              </c:numCache>
            </c:numRef>
          </c:val>
          <c:extLst>
            <c:ext xmlns:c16="http://schemas.microsoft.com/office/drawing/2014/chart" uri="{C3380CC4-5D6E-409C-BE32-E72D297353CC}">
              <c16:uniqueId val="{00000003-7DC0-4995-ADAB-735F6C0B60DB}"/>
            </c:ext>
          </c:extLst>
        </c:ser>
        <c:dLbls>
          <c:showLegendKey val="0"/>
          <c:showVal val="0"/>
          <c:showCatName val="0"/>
          <c:showSerName val="0"/>
          <c:showPercent val="0"/>
          <c:showBubbleSize val="0"/>
        </c:dLbls>
        <c:gapWidth val="150"/>
        <c:axId val="570454720"/>
        <c:axId val="570458048"/>
      </c:barChart>
      <c:catAx>
        <c:axId val="570454720"/>
        <c:scaling>
          <c:orientation val="minMax"/>
        </c:scaling>
        <c:delete val="0"/>
        <c:axPos val="b"/>
        <c:title>
          <c:tx>
            <c:rich>
              <a:bodyPr rot="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US"/>
                  <a:t>Day</a:t>
                </a:r>
              </a:p>
            </c:rich>
          </c:tx>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none"/>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570458048"/>
        <c:crosses val="autoZero"/>
        <c:auto val="1"/>
        <c:lblAlgn val="ctr"/>
        <c:lblOffset val="100"/>
        <c:noMultiLvlLbl val="0"/>
      </c:catAx>
      <c:valAx>
        <c:axId val="5704580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570454720"/>
        <c:crosses val="autoZero"/>
        <c:crossBetween val="between"/>
      </c:valAx>
      <c:spPr>
        <a:noFill/>
        <a:ln>
          <a:solidFill>
            <a:sysClr val="windowText" lastClr="000000"/>
          </a:solid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8740157499999996" l="0.7" r="0.7" t="0.78740157499999996" header="0.3" footer="0.3"/>
    <c:pageSetup/>
  </c:printSettings>
  <c:userShapes r:id="rId3"/>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US" sz="1600" b="1"/>
              <a:t>Feces</a:t>
            </a:r>
          </a:p>
        </c:rich>
      </c:tx>
      <c:layout>
        <c:manualLayout>
          <c:xMode val="edge"/>
          <c:yMode val="edge"/>
          <c:x val="0.51210351032362422"/>
          <c:y val="2.7597696570207525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autoTitleDeleted val="0"/>
    <c:plotArea>
      <c:layout>
        <c:manualLayout>
          <c:layoutTarget val="inner"/>
          <c:xMode val="edge"/>
          <c:yMode val="edge"/>
          <c:x val="0.15975"/>
          <c:y val="0.25555592009332168"/>
          <c:w val="0.80969444444444449"/>
          <c:h val="0.51425889472149311"/>
        </c:manualLayout>
      </c:layout>
      <c:barChart>
        <c:barDir val="col"/>
        <c:grouping val="clustered"/>
        <c:varyColors val="0"/>
        <c:ser>
          <c:idx val="0"/>
          <c:order val="0"/>
          <c:tx>
            <c:strRef>
              <c:f>'Grafik Gehalte'!$AS$1</c:f>
              <c:strCache>
                <c:ptCount val="1"/>
                <c:pt idx="0">
                  <c:v>n-PFCAs</c:v>
                </c:pt>
              </c:strCache>
            </c:strRef>
          </c:tx>
          <c:spPr>
            <a:solidFill>
              <a:schemeClr val="accent4"/>
            </a:solidFill>
            <a:ln>
              <a:noFill/>
            </a:ln>
            <a:effectLst/>
          </c:spPr>
          <c:invertIfNegative val="0"/>
          <c:errBars>
            <c:errBarType val="both"/>
            <c:errValType val="cust"/>
            <c:noEndCap val="0"/>
            <c:plus>
              <c:numRef>
                <c:extLst>
                  <c:ext xmlns:c15="http://schemas.microsoft.com/office/drawing/2012/chart" uri="{02D57815-91ED-43cb-92C2-25804820EDAC}">
                    <c15:fullRef>
                      <c15:sqref>'Grafik Gehalte'!$AZ$2:$AZ$32</c15:sqref>
                    </c15:fullRef>
                  </c:ext>
                </c:extLst>
                <c:f>'Grafik Gehalte'!$AZ$27:$AZ$32</c:f>
                <c:numCache>
                  <c:formatCode>General</c:formatCode>
                  <c:ptCount val="6"/>
                  <c:pt idx="0">
                    <c:v>0</c:v>
                  </c:pt>
                  <c:pt idx="1">
                    <c:v>5.3484600587458822</c:v>
                  </c:pt>
                  <c:pt idx="2">
                    <c:v>4.0266731615565714</c:v>
                  </c:pt>
                  <c:pt idx="3">
                    <c:v>1.9022946669745997</c:v>
                  </c:pt>
                  <c:pt idx="4">
                    <c:v>0</c:v>
                  </c:pt>
                  <c:pt idx="5">
                    <c:v>0</c:v>
                  </c:pt>
                </c:numCache>
              </c:numRef>
            </c:plus>
            <c:minus>
              <c:numRef>
                <c:extLst>
                  <c:ext xmlns:c15="http://schemas.microsoft.com/office/drawing/2012/chart" uri="{02D57815-91ED-43cb-92C2-25804820EDAC}">
                    <c15:fullRef>
                      <c15:sqref>'Grafik Gehalte'!$AZ$2:$AZ$32</c15:sqref>
                    </c15:fullRef>
                  </c:ext>
                </c:extLst>
                <c:f>'Grafik Gehalte'!$AZ$27:$AZ$32</c:f>
                <c:numCache>
                  <c:formatCode>General</c:formatCode>
                  <c:ptCount val="6"/>
                  <c:pt idx="0">
                    <c:v>0</c:v>
                  </c:pt>
                  <c:pt idx="1">
                    <c:v>5.3484600587458822</c:v>
                  </c:pt>
                  <c:pt idx="2">
                    <c:v>4.0266731615565714</c:v>
                  </c:pt>
                  <c:pt idx="3">
                    <c:v>1.9022946669745997</c:v>
                  </c:pt>
                  <c:pt idx="4">
                    <c:v>0</c:v>
                  </c:pt>
                  <c:pt idx="5">
                    <c:v>0</c:v>
                  </c:pt>
                </c:numCache>
              </c:numRef>
            </c:minus>
            <c:spPr>
              <a:noFill/>
              <a:ln w="9525" cap="flat" cmpd="sng" algn="ctr">
                <a:solidFill>
                  <a:schemeClr val="tx1">
                    <a:lumMod val="65000"/>
                    <a:lumOff val="35000"/>
                  </a:schemeClr>
                </a:solidFill>
                <a:round/>
              </a:ln>
              <a:effectLst/>
            </c:spPr>
          </c:errBars>
          <c:cat>
            <c:numRef>
              <c:extLst>
                <c:ext xmlns:c15="http://schemas.microsoft.com/office/drawing/2012/chart" uri="{02D57815-91ED-43cb-92C2-25804820EDAC}">
                  <c15:fullRef>
                    <c15:sqref>'Grafik Gehalte'!$C$2:$C$32</c15:sqref>
                  </c15:fullRef>
                </c:ext>
              </c:extLst>
              <c:f>'Grafik Gehalte'!$C$27:$C$32</c:f>
              <c:numCache>
                <c:formatCode>General</c:formatCode>
                <c:ptCount val="6"/>
                <c:pt idx="0">
                  <c:v>1</c:v>
                </c:pt>
                <c:pt idx="1">
                  <c:v>5</c:v>
                </c:pt>
                <c:pt idx="2">
                  <c:v>17</c:v>
                </c:pt>
                <c:pt idx="3">
                  <c:v>57</c:v>
                </c:pt>
                <c:pt idx="4">
                  <c:v>61</c:v>
                </c:pt>
                <c:pt idx="5">
                  <c:v>136</c:v>
                </c:pt>
              </c:numCache>
            </c:numRef>
          </c:cat>
          <c:val>
            <c:numRef>
              <c:extLst>
                <c:ext xmlns:c15="http://schemas.microsoft.com/office/drawing/2012/chart" uri="{02D57815-91ED-43cb-92C2-25804820EDAC}">
                  <c15:fullRef>
                    <c15:sqref>'Grafik Gehalte'!$AS$2:$AS$32</c15:sqref>
                  </c15:fullRef>
                </c:ext>
              </c:extLst>
              <c:f>'Grafik Gehalte'!$AS$27:$AS$32</c:f>
              <c:numCache>
                <c:formatCode>0.00</c:formatCode>
                <c:ptCount val="6"/>
                <c:pt idx="0">
                  <c:v>0</c:v>
                </c:pt>
                <c:pt idx="1">
                  <c:v>8.7533333333333339</c:v>
                </c:pt>
                <c:pt idx="2">
                  <c:v>8.3593333333333337</c:v>
                </c:pt>
                <c:pt idx="3">
                  <c:v>4.3666666666666671</c:v>
                </c:pt>
                <c:pt idx="4">
                  <c:v>0</c:v>
                </c:pt>
                <c:pt idx="5">
                  <c:v>0</c:v>
                </c:pt>
              </c:numCache>
            </c:numRef>
          </c:val>
          <c:extLst>
            <c:ext xmlns:c16="http://schemas.microsoft.com/office/drawing/2014/chart" uri="{C3380CC4-5D6E-409C-BE32-E72D297353CC}">
              <c16:uniqueId val="{00000000-DBD5-414F-B414-D3FCBCDBAB9D}"/>
            </c:ext>
          </c:extLst>
        </c:ser>
        <c:ser>
          <c:idx val="1"/>
          <c:order val="1"/>
          <c:tx>
            <c:strRef>
              <c:f>'Grafik Gehalte'!$AT$1</c:f>
              <c:strCache>
                <c:ptCount val="1"/>
                <c:pt idx="0">
                  <c:v>br-PFCAs</c:v>
                </c:pt>
              </c:strCache>
            </c:strRef>
          </c:tx>
          <c:spPr>
            <a:pattFill prst="dkUpDiag">
              <a:fgClr>
                <a:schemeClr val="accent4"/>
              </a:fgClr>
              <a:bgClr>
                <a:schemeClr val="bg1">
                  <a:lumMod val="95000"/>
                </a:schemeClr>
              </a:bgClr>
            </a:pattFill>
            <a:ln>
              <a:noFill/>
            </a:ln>
            <a:effectLst/>
          </c:spPr>
          <c:invertIfNegative val="0"/>
          <c:errBars>
            <c:errBarType val="both"/>
            <c:errValType val="cust"/>
            <c:noEndCap val="0"/>
            <c:plus>
              <c:numRef>
                <c:extLst>
                  <c:ext xmlns:c15="http://schemas.microsoft.com/office/drawing/2012/chart" uri="{02D57815-91ED-43cb-92C2-25804820EDAC}">
                    <c15:fullRef>
                      <c15:sqref>'Grafik Gehalte'!$BA$2:$BA$32</c15:sqref>
                    </c15:fullRef>
                  </c:ext>
                </c:extLst>
                <c:f>'Grafik Gehalte'!$BA$27:$BA$32</c:f>
                <c:numCache>
                  <c:formatCode>General</c:formatCode>
                  <c:ptCount val="6"/>
                  <c:pt idx="0">
                    <c:v>0</c:v>
                  </c:pt>
                  <c:pt idx="1">
                    <c:v>0</c:v>
                  </c:pt>
                  <c:pt idx="2">
                    <c:v>0</c:v>
                  </c:pt>
                  <c:pt idx="3">
                    <c:v>0</c:v>
                  </c:pt>
                  <c:pt idx="4">
                    <c:v>0</c:v>
                  </c:pt>
                  <c:pt idx="5">
                    <c:v>0</c:v>
                  </c:pt>
                </c:numCache>
              </c:numRef>
            </c:plus>
            <c:minus>
              <c:numRef>
                <c:extLst>
                  <c:ext xmlns:c15="http://schemas.microsoft.com/office/drawing/2012/chart" uri="{02D57815-91ED-43cb-92C2-25804820EDAC}">
                    <c15:fullRef>
                      <c15:sqref>'Grafik Gehalte'!$BA$2:$BA$32</c15:sqref>
                    </c15:fullRef>
                  </c:ext>
                </c:extLst>
                <c:f>'Grafik Gehalte'!$BA$27:$BA$32</c:f>
                <c:numCache>
                  <c:formatCode>General</c:formatCode>
                  <c:ptCount val="6"/>
                  <c:pt idx="0">
                    <c:v>0</c:v>
                  </c:pt>
                  <c:pt idx="1">
                    <c:v>0</c:v>
                  </c:pt>
                  <c:pt idx="2">
                    <c:v>0</c:v>
                  </c:pt>
                  <c:pt idx="3">
                    <c:v>0</c:v>
                  </c:pt>
                  <c:pt idx="4">
                    <c:v>0</c:v>
                  </c:pt>
                  <c:pt idx="5">
                    <c:v>0</c:v>
                  </c:pt>
                </c:numCache>
              </c:numRef>
            </c:minus>
            <c:spPr>
              <a:noFill/>
              <a:ln w="9525" cap="flat" cmpd="sng" algn="ctr">
                <a:solidFill>
                  <a:schemeClr val="tx1">
                    <a:lumMod val="65000"/>
                    <a:lumOff val="35000"/>
                  </a:schemeClr>
                </a:solidFill>
                <a:round/>
              </a:ln>
              <a:effectLst/>
            </c:spPr>
          </c:errBars>
          <c:cat>
            <c:numRef>
              <c:extLst>
                <c:ext xmlns:c15="http://schemas.microsoft.com/office/drawing/2012/chart" uri="{02D57815-91ED-43cb-92C2-25804820EDAC}">
                  <c15:fullRef>
                    <c15:sqref>'Grafik Gehalte'!$C$2:$C$32</c15:sqref>
                  </c15:fullRef>
                </c:ext>
              </c:extLst>
              <c:f>'Grafik Gehalte'!$C$27:$C$32</c:f>
              <c:numCache>
                <c:formatCode>General</c:formatCode>
                <c:ptCount val="6"/>
                <c:pt idx="0">
                  <c:v>1</c:v>
                </c:pt>
                <c:pt idx="1">
                  <c:v>5</c:v>
                </c:pt>
                <c:pt idx="2">
                  <c:v>17</c:v>
                </c:pt>
                <c:pt idx="3">
                  <c:v>57</c:v>
                </c:pt>
                <c:pt idx="4">
                  <c:v>61</c:v>
                </c:pt>
                <c:pt idx="5">
                  <c:v>136</c:v>
                </c:pt>
              </c:numCache>
            </c:numRef>
          </c:cat>
          <c:val>
            <c:numRef>
              <c:extLst>
                <c:ext xmlns:c15="http://schemas.microsoft.com/office/drawing/2012/chart" uri="{02D57815-91ED-43cb-92C2-25804820EDAC}">
                  <c15:fullRef>
                    <c15:sqref>'Grafik Gehalte'!$AT$2:$AT$32</c15:sqref>
                  </c15:fullRef>
                </c:ext>
              </c:extLst>
              <c:f>'Grafik Gehalte'!$AT$27:$AT$32</c:f>
              <c:numCache>
                <c:formatCode>0.00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1-DBD5-414F-B414-D3FCBCDBAB9D}"/>
            </c:ext>
          </c:extLst>
        </c:ser>
        <c:ser>
          <c:idx val="2"/>
          <c:order val="2"/>
          <c:tx>
            <c:strRef>
              <c:f>'Grafik Gehalte'!$AU$1</c:f>
              <c:strCache>
                <c:ptCount val="1"/>
                <c:pt idx="0">
                  <c:v>n-PFSAs</c:v>
                </c:pt>
              </c:strCache>
            </c:strRef>
          </c:tx>
          <c:spPr>
            <a:solidFill>
              <a:schemeClr val="accent3"/>
            </a:solidFill>
            <a:ln>
              <a:noFill/>
            </a:ln>
            <a:effectLst/>
          </c:spPr>
          <c:invertIfNegative val="0"/>
          <c:errBars>
            <c:errBarType val="both"/>
            <c:errValType val="cust"/>
            <c:noEndCap val="0"/>
            <c:plus>
              <c:numRef>
                <c:extLst>
                  <c:ext xmlns:c15="http://schemas.microsoft.com/office/drawing/2012/chart" uri="{02D57815-91ED-43cb-92C2-25804820EDAC}">
                    <c15:fullRef>
                      <c15:sqref>'Grafik Gehalte'!$BB$2:$BB$32</c15:sqref>
                    </c15:fullRef>
                  </c:ext>
                </c:extLst>
                <c:f>'Grafik Gehalte'!$BB$27:$BB$32</c:f>
                <c:numCache>
                  <c:formatCode>General</c:formatCode>
                  <c:ptCount val="6"/>
                  <c:pt idx="0">
                    <c:v>0</c:v>
                  </c:pt>
                  <c:pt idx="1">
                    <c:v>3.1739838826780455</c:v>
                  </c:pt>
                  <c:pt idx="2">
                    <c:v>23.961023950365732</c:v>
                  </c:pt>
                  <c:pt idx="3">
                    <c:v>29.994508318190515</c:v>
                  </c:pt>
                  <c:pt idx="4">
                    <c:v>36.159018498156172</c:v>
                  </c:pt>
                  <c:pt idx="5">
                    <c:v>3.0943241588430905</c:v>
                  </c:pt>
                </c:numCache>
              </c:numRef>
            </c:plus>
            <c:minus>
              <c:numRef>
                <c:extLst>
                  <c:ext xmlns:c15="http://schemas.microsoft.com/office/drawing/2012/chart" uri="{02D57815-91ED-43cb-92C2-25804820EDAC}">
                    <c15:fullRef>
                      <c15:sqref>'Grafik Gehalte'!$BB$2:$BB$32</c15:sqref>
                    </c15:fullRef>
                  </c:ext>
                </c:extLst>
                <c:f>'Grafik Gehalte'!$BB$27:$BB$32</c:f>
                <c:numCache>
                  <c:formatCode>General</c:formatCode>
                  <c:ptCount val="6"/>
                  <c:pt idx="0">
                    <c:v>0</c:v>
                  </c:pt>
                  <c:pt idx="1">
                    <c:v>3.1739838826780455</c:v>
                  </c:pt>
                  <c:pt idx="2">
                    <c:v>23.961023950365732</c:v>
                  </c:pt>
                  <c:pt idx="3">
                    <c:v>29.994508318190515</c:v>
                  </c:pt>
                  <c:pt idx="4">
                    <c:v>36.159018498156172</c:v>
                  </c:pt>
                  <c:pt idx="5">
                    <c:v>3.0943241588430905</c:v>
                  </c:pt>
                </c:numCache>
              </c:numRef>
            </c:minus>
            <c:spPr>
              <a:noFill/>
              <a:ln w="9525" cap="flat" cmpd="sng" algn="ctr">
                <a:solidFill>
                  <a:schemeClr val="tx1">
                    <a:lumMod val="65000"/>
                    <a:lumOff val="35000"/>
                  </a:schemeClr>
                </a:solidFill>
                <a:round/>
              </a:ln>
              <a:effectLst/>
            </c:spPr>
          </c:errBars>
          <c:cat>
            <c:numRef>
              <c:extLst>
                <c:ext xmlns:c15="http://schemas.microsoft.com/office/drawing/2012/chart" uri="{02D57815-91ED-43cb-92C2-25804820EDAC}">
                  <c15:fullRef>
                    <c15:sqref>'Grafik Gehalte'!$C$2:$C$32</c15:sqref>
                  </c15:fullRef>
                </c:ext>
              </c:extLst>
              <c:f>'Grafik Gehalte'!$C$27:$C$32</c:f>
              <c:numCache>
                <c:formatCode>General</c:formatCode>
                <c:ptCount val="6"/>
                <c:pt idx="0">
                  <c:v>1</c:v>
                </c:pt>
                <c:pt idx="1">
                  <c:v>5</c:v>
                </c:pt>
                <c:pt idx="2">
                  <c:v>17</c:v>
                </c:pt>
                <c:pt idx="3">
                  <c:v>57</c:v>
                </c:pt>
                <c:pt idx="4">
                  <c:v>61</c:v>
                </c:pt>
                <c:pt idx="5">
                  <c:v>136</c:v>
                </c:pt>
              </c:numCache>
            </c:numRef>
          </c:cat>
          <c:val>
            <c:numRef>
              <c:extLst>
                <c:ext xmlns:c15="http://schemas.microsoft.com/office/drawing/2012/chart" uri="{02D57815-91ED-43cb-92C2-25804820EDAC}">
                  <c15:fullRef>
                    <c15:sqref>'Grafik Gehalte'!$AU$2:$AU$32</c15:sqref>
                  </c15:fullRef>
                </c:ext>
              </c:extLst>
              <c:f>'Grafik Gehalte'!$AU$27:$AU$32</c:f>
              <c:numCache>
                <c:formatCode>0.00</c:formatCode>
                <c:ptCount val="6"/>
                <c:pt idx="0">
                  <c:v>0</c:v>
                </c:pt>
                <c:pt idx="1">
                  <c:v>6.4625000000000004</c:v>
                </c:pt>
                <c:pt idx="2">
                  <c:v>42.33</c:v>
                </c:pt>
                <c:pt idx="3">
                  <c:v>56.395333333333326</c:v>
                </c:pt>
                <c:pt idx="4">
                  <c:v>76.963333333333338</c:v>
                </c:pt>
                <c:pt idx="5">
                  <c:v>5.7840000000000007</c:v>
                </c:pt>
              </c:numCache>
            </c:numRef>
          </c:val>
          <c:extLst>
            <c:ext xmlns:c16="http://schemas.microsoft.com/office/drawing/2014/chart" uri="{C3380CC4-5D6E-409C-BE32-E72D297353CC}">
              <c16:uniqueId val="{00000002-DBD5-414F-B414-D3FCBCDBAB9D}"/>
            </c:ext>
          </c:extLst>
        </c:ser>
        <c:ser>
          <c:idx val="3"/>
          <c:order val="3"/>
          <c:tx>
            <c:strRef>
              <c:f>'Grafik Gehalte'!$AV$1</c:f>
              <c:strCache>
                <c:ptCount val="1"/>
                <c:pt idx="0">
                  <c:v>br-PFSAs</c:v>
                </c:pt>
              </c:strCache>
            </c:strRef>
          </c:tx>
          <c:spPr>
            <a:pattFill prst="dkUpDiag">
              <a:fgClr>
                <a:schemeClr val="accent3"/>
              </a:fgClr>
              <a:bgClr>
                <a:schemeClr val="bg1">
                  <a:lumMod val="95000"/>
                </a:schemeClr>
              </a:bgClr>
            </a:pattFill>
            <a:ln>
              <a:noFill/>
            </a:ln>
            <a:effectLst/>
          </c:spPr>
          <c:invertIfNegative val="0"/>
          <c:errBars>
            <c:errBarType val="both"/>
            <c:errValType val="cust"/>
            <c:noEndCap val="0"/>
            <c:plus>
              <c:numRef>
                <c:extLst>
                  <c:ext xmlns:c15="http://schemas.microsoft.com/office/drawing/2012/chart" uri="{02D57815-91ED-43cb-92C2-25804820EDAC}">
                    <c15:fullRef>
                      <c15:sqref>'Grafik Gehalte'!$BC$2:$BC$32</c15:sqref>
                    </c15:fullRef>
                  </c:ext>
                </c:extLst>
                <c:f>'Grafik Gehalte'!$BC$27:$BC$32</c:f>
                <c:numCache>
                  <c:formatCode>General</c:formatCode>
                  <c:ptCount val="6"/>
                  <c:pt idx="0">
                    <c:v>0</c:v>
                  </c:pt>
                  <c:pt idx="1">
                    <c:v>6.630222696109084</c:v>
                  </c:pt>
                  <c:pt idx="2">
                    <c:v>30.058695916281867</c:v>
                  </c:pt>
                  <c:pt idx="3">
                    <c:v>44.515209970862777</c:v>
                  </c:pt>
                  <c:pt idx="4">
                    <c:v>34.237393047478079</c:v>
                  </c:pt>
                  <c:pt idx="5">
                    <c:v>2.53464587023513</c:v>
                  </c:pt>
                </c:numCache>
              </c:numRef>
            </c:plus>
            <c:minus>
              <c:numRef>
                <c:extLst>
                  <c:ext xmlns:c15="http://schemas.microsoft.com/office/drawing/2012/chart" uri="{02D57815-91ED-43cb-92C2-25804820EDAC}">
                    <c15:fullRef>
                      <c15:sqref>'Grafik Gehalte'!$BC$2:$BC$32</c15:sqref>
                    </c15:fullRef>
                  </c:ext>
                </c:extLst>
                <c:f>'Grafik Gehalte'!$BC$27:$BC$32</c:f>
                <c:numCache>
                  <c:formatCode>General</c:formatCode>
                  <c:ptCount val="6"/>
                  <c:pt idx="0">
                    <c:v>0</c:v>
                  </c:pt>
                  <c:pt idx="1">
                    <c:v>6.630222696109084</c:v>
                  </c:pt>
                  <c:pt idx="2">
                    <c:v>30.058695916281867</c:v>
                  </c:pt>
                  <c:pt idx="3">
                    <c:v>44.515209970862777</c:v>
                  </c:pt>
                  <c:pt idx="4">
                    <c:v>34.237393047478079</c:v>
                  </c:pt>
                  <c:pt idx="5">
                    <c:v>2.53464587023513</c:v>
                  </c:pt>
                </c:numCache>
              </c:numRef>
            </c:minus>
            <c:spPr>
              <a:noFill/>
              <a:ln w="9525" cap="flat" cmpd="sng" algn="ctr">
                <a:solidFill>
                  <a:schemeClr val="tx1">
                    <a:lumMod val="65000"/>
                    <a:lumOff val="35000"/>
                  </a:schemeClr>
                </a:solidFill>
                <a:round/>
              </a:ln>
              <a:effectLst/>
            </c:spPr>
          </c:errBars>
          <c:cat>
            <c:numRef>
              <c:extLst>
                <c:ext xmlns:c15="http://schemas.microsoft.com/office/drawing/2012/chart" uri="{02D57815-91ED-43cb-92C2-25804820EDAC}">
                  <c15:fullRef>
                    <c15:sqref>'Grafik Gehalte'!$C$2:$C$32</c15:sqref>
                  </c15:fullRef>
                </c:ext>
              </c:extLst>
              <c:f>'Grafik Gehalte'!$C$27:$C$32</c:f>
              <c:numCache>
                <c:formatCode>General</c:formatCode>
                <c:ptCount val="6"/>
                <c:pt idx="0">
                  <c:v>1</c:v>
                </c:pt>
                <c:pt idx="1">
                  <c:v>5</c:v>
                </c:pt>
                <c:pt idx="2">
                  <c:v>17</c:v>
                </c:pt>
                <c:pt idx="3">
                  <c:v>57</c:v>
                </c:pt>
                <c:pt idx="4">
                  <c:v>61</c:v>
                </c:pt>
                <c:pt idx="5">
                  <c:v>136</c:v>
                </c:pt>
              </c:numCache>
            </c:numRef>
          </c:cat>
          <c:val>
            <c:numRef>
              <c:extLst>
                <c:ext xmlns:c15="http://schemas.microsoft.com/office/drawing/2012/chart" uri="{02D57815-91ED-43cb-92C2-25804820EDAC}">
                  <c15:fullRef>
                    <c15:sqref>'Grafik Gehalte'!$AV$2:$AV$32</c15:sqref>
                  </c15:fullRef>
                </c:ext>
              </c:extLst>
              <c:f>'Grafik Gehalte'!$AV$27:$AV$32</c:f>
              <c:numCache>
                <c:formatCode>0.00</c:formatCode>
                <c:ptCount val="6"/>
                <c:pt idx="0">
                  <c:v>0</c:v>
                </c:pt>
                <c:pt idx="1">
                  <c:v>14.026333333333334</c:v>
                </c:pt>
                <c:pt idx="2">
                  <c:v>62.650333333333336</c:v>
                </c:pt>
                <c:pt idx="3">
                  <c:v>86.083333333333329</c:v>
                </c:pt>
                <c:pt idx="4">
                  <c:v>69.444500000000005</c:v>
                </c:pt>
                <c:pt idx="5">
                  <c:v>4.4158333333333335</c:v>
                </c:pt>
              </c:numCache>
            </c:numRef>
          </c:val>
          <c:extLst>
            <c:ext xmlns:c16="http://schemas.microsoft.com/office/drawing/2014/chart" uri="{C3380CC4-5D6E-409C-BE32-E72D297353CC}">
              <c16:uniqueId val="{00000003-DBD5-414F-B414-D3FCBCDBAB9D}"/>
            </c:ext>
          </c:extLst>
        </c:ser>
        <c:dLbls>
          <c:showLegendKey val="0"/>
          <c:showVal val="0"/>
          <c:showCatName val="0"/>
          <c:showSerName val="0"/>
          <c:showPercent val="0"/>
          <c:showBubbleSize val="0"/>
        </c:dLbls>
        <c:gapWidth val="150"/>
        <c:axId val="570454720"/>
        <c:axId val="570458048"/>
      </c:barChart>
      <c:catAx>
        <c:axId val="570454720"/>
        <c:scaling>
          <c:orientation val="minMax"/>
        </c:scaling>
        <c:delete val="0"/>
        <c:axPos val="b"/>
        <c:title>
          <c:tx>
            <c:rich>
              <a:bodyPr rot="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US"/>
                  <a:t>Day</a:t>
                </a:r>
              </a:p>
            </c:rich>
          </c:tx>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none"/>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570458048"/>
        <c:crosses val="autoZero"/>
        <c:auto val="1"/>
        <c:lblAlgn val="ctr"/>
        <c:lblOffset val="100"/>
        <c:noMultiLvlLbl val="0"/>
      </c:catAx>
      <c:valAx>
        <c:axId val="570458048"/>
        <c:scaling>
          <c:orientation val="minMax"/>
          <c:max val="18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US"/>
                  <a:t>PFAA</a:t>
                </a:r>
                <a:r>
                  <a:rPr lang="en-US" baseline="0"/>
                  <a:t> </a:t>
                </a:r>
                <a:r>
                  <a:rPr lang="en-US"/>
                  <a:t>content (µg/kg)</a:t>
                </a:r>
              </a:p>
            </c:rich>
          </c:tx>
          <c:overlay val="0"/>
          <c:spPr>
            <a:noFill/>
            <a:ln>
              <a:noFill/>
            </a:ln>
            <a:effectLst/>
          </c:spPr>
          <c:txPr>
            <a:bodyPr rot="-540000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570454720"/>
        <c:crosses val="autoZero"/>
        <c:crossBetween val="between"/>
      </c:valAx>
      <c:spPr>
        <a:noFill/>
        <a:ln>
          <a:solidFill>
            <a:sysClr val="windowText" lastClr="000000"/>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8740157499999996" l="0.7" r="0.7" t="0.78740157499999996" header="0.3" footer="0.3"/>
    <c:pageSetup/>
  </c:printSettings>
  <c:userShapes r:id="rId3"/>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'Grafik Gehalte'!$D$1</c:f>
              <c:strCache>
                <c:ptCount val="1"/>
                <c:pt idx="0">
                  <c:v>n-PFBA</c:v>
                </c:pt>
              </c:strCache>
            </c:strRef>
          </c:tx>
          <c:spPr>
            <a:ln w="28575" cap="rnd">
              <a:solidFill>
                <a:schemeClr val="accent1"/>
              </a:solidFill>
              <a:round/>
            </a:ln>
            <a:effectLst/>
          </c:spPr>
          <c:marker>
            <c:symbol val="none"/>
          </c:marker>
          <c:cat>
            <c:multiLvlStrRef>
              <c:extLst>
                <c:ext xmlns:c15="http://schemas.microsoft.com/office/drawing/2012/chart" uri="{02D57815-91ED-43cb-92C2-25804820EDAC}">
                  <c15:fullRef>
                    <c15:sqref>'Grafik Gehalte'!$B$2:$C$32</c15:sqref>
                  </c15:fullRef>
                </c:ext>
              </c:extLst>
              <c:f>'Grafik Gehalte'!$B$12:$C$20</c:f>
              <c:multiLvlStrCache>
                <c:ptCount val="9"/>
                <c:lvl>
                  <c:pt idx="0">
                    <c:v>1</c:v>
                  </c:pt>
                  <c:pt idx="1">
                    <c:v>5</c:v>
                  </c:pt>
                  <c:pt idx="2">
                    <c:v>17</c:v>
                  </c:pt>
                  <c:pt idx="3">
                    <c:v>38</c:v>
                  </c:pt>
                  <c:pt idx="4">
                    <c:v>57</c:v>
                  </c:pt>
                  <c:pt idx="5">
                    <c:v>61</c:v>
                  </c:pt>
                  <c:pt idx="6">
                    <c:v>73</c:v>
                  </c:pt>
                  <c:pt idx="7">
                    <c:v>101</c:v>
                  </c:pt>
                  <c:pt idx="8">
                    <c:v>136</c:v>
                  </c:pt>
                </c:lvl>
                <c:lvl>
                  <c:pt idx="0">
                    <c:v>Serum</c:v>
                  </c:pt>
                </c:lvl>
              </c:multiLvlStrCache>
            </c:multiLvlStrRef>
          </c:cat>
          <c:val>
            <c:numRef>
              <c:extLst>
                <c:ext xmlns:c15="http://schemas.microsoft.com/office/drawing/2012/chart" uri="{02D57815-91ED-43cb-92C2-25804820EDAC}">
                  <c15:fullRef>
                    <c15:sqref>'Grafik Gehalte'!$D$2:$D$32</c15:sqref>
                  </c15:fullRef>
                </c:ext>
              </c:extLst>
              <c:f>'Grafik Gehalte'!$D$12:$D$20</c:f>
              <c:numCache>
                <c:formatCode>0.00</c:formatCode>
                <c:ptCount val="9"/>
                <c:pt idx="1">
                  <c:v>2.9333333333333336</c:v>
                </c:pt>
                <c:pt idx="2">
                  <c:v>8.3666666666666671</c:v>
                </c:pt>
                <c:pt idx="3">
                  <c:v>3.53</c:v>
                </c:pt>
                <c:pt idx="4">
                  <c:v>2.19</c:v>
                </c:pt>
              </c:numCache>
            </c:numRef>
          </c:val>
          <c:smooth val="0"/>
          <c:extLst>
            <c:ext xmlns:c16="http://schemas.microsoft.com/office/drawing/2014/chart" uri="{C3380CC4-5D6E-409C-BE32-E72D297353CC}">
              <c16:uniqueId val="{00000000-6721-4198-BFD3-1D40841D2C70}"/>
            </c:ext>
          </c:extLst>
        </c:ser>
        <c:ser>
          <c:idx val="1"/>
          <c:order val="1"/>
          <c:tx>
            <c:strRef>
              <c:f>'Grafik Gehalte'!$E$1</c:f>
              <c:strCache>
                <c:ptCount val="1"/>
                <c:pt idx="0">
                  <c:v>n-PFPeA </c:v>
                </c:pt>
              </c:strCache>
            </c:strRef>
          </c:tx>
          <c:spPr>
            <a:ln w="28575" cap="rnd">
              <a:solidFill>
                <a:schemeClr val="accent2"/>
              </a:solidFill>
              <a:round/>
            </a:ln>
            <a:effectLst/>
          </c:spPr>
          <c:marker>
            <c:symbol val="none"/>
          </c:marker>
          <c:cat>
            <c:multiLvlStrRef>
              <c:extLst>
                <c:ext xmlns:c15="http://schemas.microsoft.com/office/drawing/2012/chart" uri="{02D57815-91ED-43cb-92C2-25804820EDAC}">
                  <c15:fullRef>
                    <c15:sqref>'Grafik Gehalte'!$B$2:$C$32</c15:sqref>
                  </c15:fullRef>
                </c:ext>
              </c:extLst>
              <c:f>'Grafik Gehalte'!$B$12:$C$20</c:f>
              <c:multiLvlStrCache>
                <c:ptCount val="9"/>
                <c:lvl>
                  <c:pt idx="0">
                    <c:v>1</c:v>
                  </c:pt>
                  <c:pt idx="1">
                    <c:v>5</c:v>
                  </c:pt>
                  <c:pt idx="2">
                    <c:v>17</c:v>
                  </c:pt>
                  <c:pt idx="3">
                    <c:v>38</c:v>
                  </c:pt>
                  <c:pt idx="4">
                    <c:v>57</c:v>
                  </c:pt>
                  <c:pt idx="5">
                    <c:v>61</c:v>
                  </c:pt>
                  <c:pt idx="6">
                    <c:v>73</c:v>
                  </c:pt>
                  <c:pt idx="7">
                    <c:v>101</c:v>
                  </c:pt>
                  <c:pt idx="8">
                    <c:v>136</c:v>
                  </c:pt>
                </c:lvl>
                <c:lvl>
                  <c:pt idx="0">
                    <c:v>Serum</c:v>
                  </c:pt>
                </c:lvl>
              </c:multiLvlStrCache>
            </c:multiLvlStrRef>
          </c:cat>
          <c:val>
            <c:numRef>
              <c:extLst>
                <c:ext xmlns:c15="http://schemas.microsoft.com/office/drawing/2012/chart" uri="{02D57815-91ED-43cb-92C2-25804820EDAC}">
                  <c15:fullRef>
                    <c15:sqref>'Grafik Gehalte'!$E$2:$E$32</c15:sqref>
                  </c15:fullRef>
                </c:ext>
              </c:extLst>
              <c:f>'Grafik Gehalte'!$E$12:$E$20</c:f>
              <c:numCache>
                <c:formatCode>0.00</c:formatCode>
                <c:ptCount val="9"/>
              </c:numCache>
            </c:numRef>
          </c:val>
          <c:smooth val="0"/>
          <c:extLst>
            <c:ext xmlns:c16="http://schemas.microsoft.com/office/drawing/2014/chart" uri="{C3380CC4-5D6E-409C-BE32-E72D297353CC}">
              <c16:uniqueId val="{00000001-6721-4198-BFD3-1D40841D2C70}"/>
            </c:ext>
          </c:extLst>
        </c:ser>
        <c:ser>
          <c:idx val="2"/>
          <c:order val="2"/>
          <c:tx>
            <c:strRef>
              <c:f>'Grafik Gehalte'!$F$1</c:f>
              <c:strCache>
                <c:ptCount val="1"/>
                <c:pt idx="0">
                  <c:v>n-PFHxA </c:v>
                </c:pt>
              </c:strCache>
            </c:strRef>
          </c:tx>
          <c:spPr>
            <a:ln w="28575" cap="rnd">
              <a:solidFill>
                <a:schemeClr val="accent3"/>
              </a:solidFill>
              <a:round/>
            </a:ln>
            <a:effectLst/>
          </c:spPr>
          <c:marker>
            <c:symbol val="none"/>
          </c:marker>
          <c:cat>
            <c:multiLvlStrRef>
              <c:extLst>
                <c:ext xmlns:c15="http://schemas.microsoft.com/office/drawing/2012/chart" uri="{02D57815-91ED-43cb-92C2-25804820EDAC}">
                  <c15:fullRef>
                    <c15:sqref>'Grafik Gehalte'!$B$2:$C$32</c15:sqref>
                  </c15:fullRef>
                </c:ext>
              </c:extLst>
              <c:f>'Grafik Gehalte'!$B$12:$C$20</c:f>
              <c:multiLvlStrCache>
                <c:ptCount val="9"/>
                <c:lvl>
                  <c:pt idx="0">
                    <c:v>1</c:v>
                  </c:pt>
                  <c:pt idx="1">
                    <c:v>5</c:v>
                  </c:pt>
                  <c:pt idx="2">
                    <c:v>17</c:v>
                  </c:pt>
                  <c:pt idx="3">
                    <c:v>38</c:v>
                  </c:pt>
                  <c:pt idx="4">
                    <c:v>57</c:v>
                  </c:pt>
                  <c:pt idx="5">
                    <c:v>61</c:v>
                  </c:pt>
                  <c:pt idx="6">
                    <c:v>73</c:v>
                  </c:pt>
                  <c:pt idx="7">
                    <c:v>101</c:v>
                  </c:pt>
                  <c:pt idx="8">
                    <c:v>136</c:v>
                  </c:pt>
                </c:lvl>
                <c:lvl>
                  <c:pt idx="0">
                    <c:v>Serum</c:v>
                  </c:pt>
                </c:lvl>
              </c:multiLvlStrCache>
            </c:multiLvlStrRef>
          </c:cat>
          <c:val>
            <c:numRef>
              <c:extLst>
                <c:ext xmlns:c15="http://schemas.microsoft.com/office/drawing/2012/chart" uri="{02D57815-91ED-43cb-92C2-25804820EDAC}">
                  <c15:fullRef>
                    <c15:sqref>'Grafik Gehalte'!$F$2:$F$32</c15:sqref>
                  </c15:fullRef>
                </c:ext>
              </c:extLst>
              <c:f>'Grafik Gehalte'!$F$12:$F$20</c:f>
              <c:numCache>
                <c:formatCode>0.00</c:formatCode>
                <c:ptCount val="9"/>
              </c:numCache>
            </c:numRef>
          </c:val>
          <c:smooth val="0"/>
          <c:extLst>
            <c:ext xmlns:c16="http://schemas.microsoft.com/office/drawing/2014/chart" uri="{C3380CC4-5D6E-409C-BE32-E72D297353CC}">
              <c16:uniqueId val="{00000002-6721-4198-BFD3-1D40841D2C70}"/>
            </c:ext>
          </c:extLst>
        </c:ser>
        <c:ser>
          <c:idx val="3"/>
          <c:order val="3"/>
          <c:tx>
            <c:strRef>
              <c:f>'Grafik Gehalte'!$G$1</c:f>
              <c:strCache>
                <c:ptCount val="1"/>
                <c:pt idx="0">
                  <c:v>n-PFHpA </c:v>
                </c:pt>
              </c:strCache>
            </c:strRef>
          </c:tx>
          <c:spPr>
            <a:ln w="28575" cap="rnd">
              <a:solidFill>
                <a:schemeClr val="accent4"/>
              </a:solidFill>
              <a:round/>
            </a:ln>
            <a:effectLst/>
          </c:spPr>
          <c:marker>
            <c:symbol val="none"/>
          </c:marker>
          <c:cat>
            <c:multiLvlStrRef>
              <c:extLst>
                <c:ext xmlns:c15="http://schemas.microsoft.com/office/drawing/2012/chart" uri="{02D57815-91ED-43cb-92C2-25804820EDAC}">
                  <c15:fullRef>
                    <c15:sqref>'Grafik Gehalte'!$B$2:$C$32</c15:sqref>
                  </c15:fullRef>
                </c:ext>
              </c:extLst>
              <c:f>'Grafik Gehalte'!$B$12:$C$20</c:f>
              <c:multiLvlStrCache>
                <c:ptCount val="9"/>
                <c:lvl>
                  <c:pt idx="0">
                    <c:v>1</c:v>
                  </c:pt>
                  <c:pt idx="1">
                    <c:v>5</c:v>
                  </c:pt>
                  <c:pt idx="2">
                    <c:v>17</c:v>
                  </c:pt>
                  <c:pt idx="3">
                    <c:v>38</c:v>
                  </c:pt>
                  <c:pt idx="4">
                    <c:v>57</c:v>
                  </c:pt>
                  <c:pt idx="5">
                    <c:v>61</c:v>
                  </c:pt>
                  <c:pt idx="6">
                    <c:v>73</c:v>
                  </c:pt>
                  <c:pt idx="7">
                    <c:v>101</c:v>
                  </c:pt>
                  <c:pt idx="8">
                    <c:v>136</c:v>
                  </c:pt>
                </c:lvl>
                <c:lvl>
                  <c:pt idx="0">
                    <c:v>Serum</c:v>
                  </c:pt>
                </c:lvl>
              </c:multiLvlStrCache>
            </c:multiLvlStrRef>
          </c:cat>
          <c:val>
            <c:numRef>
              <c:extLst>
                <c:ext xmlns:c15="http://schemas.microsoft.com/office/drawing/2012/chart" uri="{02D57815-91ED-43cb-92C2-25804820EDAC}">
                  <c15:fullRef>
                    <c15:sqref>'Grafik Gehalte'!$G$2:$G$32</c15:sqref>
                  </c15:fullRef>
                </c:ext>
              </c:extLst>
              <c:f>'Grafik Gehalte'!$G$12:$G$20</c:f>
              <c:numCache>
                <c:formatCode>0.00</c:formatCode>
                <c:ptCount val="9"/>
              </c:numCache>
            </c:numRef>
          </c:val>
          <c:smooth val="0"/>
          <c:extLst>
            <c:ext xmlns:c16="http://schemas.microsoft.com/office/drawing/2014/chart" uri="{C3380CC4-5D6E-409C-BE32-E72D297353CC}">
              <c16:uniqueId val="{00000003-6721-4198-BFD3-1D40841D2C70}"/>
            </c:ext>
          </c:extLst>
        </c:ser>
        <c:ser>
          <c:idx val="4"/>
          <c:order val="4"/>
          <c:tx>
            <c:strRef>
              <c:f>'Grafik Gehalte'!$H$1</c:f>
              <c:strCache>
                <c:ptCount val="1"/>
                <c:pt idx="0">
                  <c:v>n-PFOA </c:v>
                </c:pt>
              </c:strCache>
            </c:strRef>
          </c:tx>
          <c:spPr>
            <a:ln w="28575" cap="rnd">
              <a:solidFill>
                <a:schemeClr val="accent5"/>
              </a:solidFill>
              <a:round/>
            </a:ln>
            <a:effectLst/>
          </c:spPr>
          <c:marker>
            <c:symbol val="none"/>
          </c:marker>
          <c:cat>
            <c:multiLvlStrRef>
              <c:extLst>
                <c:ext xmlns:c15="http://schemas.microsoft.com/office/drawing/2012/chart" uri="{02D57815-91ED-43cb-92C2-25804820EDAC}">
                  <c15:fullRef>
                    <c15:sqref>'Grafik Gehalte'!$B$2:$C$32</c15:sqref>
                  </c15:fullRef>
                </c:ext>
              </c:extLst>
              <c:f>'Grafik Gehalte'!$B$12:$C$20</c:f>
              <c:multiLvlStrCache>
                <c:ptCount val="9"/>
                <c:lvl>
                  <c:pt idx="0">
                    <c:v>1</c:v>
                  </c:pt>
                  <c:pt idx="1">
                    <c:v>5</c:v>
                  </c:pt>
                  <c:pt idx="2">
                    <c:v>17</c:v>
                  </c:pt>
                  <c:pt idx="3">
                    <c:v>38</c:v>
                  </c:pt>
                  <c:pt idx="4">
                    <c:v>57</c:v>
                  </c:pt>
                  <c:pt idx="5">
                    <c:v>61</c:v>
                  </c:pt>
                  <c:pt idx="6">
                    <c:v>73</c:v>
                  </c:pt>
                  <c:pt idx="7">
                    <c:v>101</c:v>
                  </c:pt>
                  <c:pt idx="8">
                    <c:v>136</c:v>
                  </c:pt>
                </c:lvl>
                <c:lvl>
                  <c:pt idx="0">
                    <c:v>Serum</c:v>
                  </c:pt>
                </c:lvl>
              </c:multiLvlStrCache>
            </c:multiLvlStrRef>
          </c:cat>
          <c:val>
            <c:numRef>
              <c:extLst>
                <c:ext xmlns:c15="http://schemas.microsoft.com/office/drawing/2012/chart" uri="{02D57815-91ED-43cb-92C2-25804820EDAC}">
                  <c15:fullRef>
                    <c15:sqref>'Grafik Gehalte'!$H$2:$H$32</c15:sqref>
                  </c15:fullRef>
                </c:ext>
              </c:extLst>
              <c:f>'Grafik Gehalte'!$H$12:$H$20</c:f>
              <c:numCache>
                <c:formatCode>0.00</c:formatCode>
                <c:ptCount val="9"/>
                <c:pt idx="1">
                  <c:v>2.82</c:v>
                </c:pt>
                <c:pt idx="2">
                  <c:v>10.766666666666666</c:v>
                </c:pt>
                <c:pt idx="3">
                  <c:v>2.0900000000000003</c:v>
                </c:pt>
                <c:pt idx="4">
                  <c:v>1.68</c:v>
                </c:pt>
              </c:numCache>
            </c:numRef>
          </c:val>
          <c:smooth val="0"/>
          <c:extLst>
            <c:ext xmlns:c16="http://schemas.microsoft.com/office/drawing/2014/chart" uri="{C3380CC4-5D6E-409C-BE32-E72D297353CC}">
              <c16:uniqueId val="{00000004-6721-4198-BFD3-1D40841D2C70}"/>
            </c:ext>
          </c:extLst>
        </c:ser>
        <c:ser>
          <c:idx val="5"/>
          <c:order val="5"/>
          <c:tx>
            <c:strRef>
              <c:f>'Grafik Gehalte'!$I$1</c:f>
              <c:strCache>
                <c:ptCount val="1"/>
                <c:pt idx="0">
                  <c:v>n-PFNA </c:v>
                </c:pt>
              </c:strCache>
            </c:strRef>
          </c:tx>
          <c:spPr>
            <a:ln w="28575" cap="rnd">
              <a:solidFill>
                <a:schemeClr val="accent6"/>
              </a:solidFill>
              <a:round/>
            </a:ln>
            <a:effectLst/>
          </c:spPr>
          <c:marker>
            <c:symbol val="none"/>
          </c:marker>
          <c:cat>
            <c:multiLvlStrRef>
              <c:extLst>
                <c:ext xmlns:c15="http://schemas.microsoft.com/office/drawing/2012/chart" uri="{02D57815-91ED-43cb-92C2-25804820EDAC}">
                  <c15:fullRef>
                    <c15:sqref>'Grafik Gehalte'!$B$2:$C$32</c15:sqref>
                  </c15:fullRef>
                </c:ext>
              </c:extLst>
              <c:f>'Grafik Gehalte'!$B$12:$C$20</c:f>
              <c:multiLvlStrCache>
                <c:ptCount val="9"/>
                <c:lvl>
                  <c:pt idx="0">
                    <c:v>1</c:v>
                  </c:pt>
                  <c:pt idx="1">
                    <c:v>5</c:v>
                  </c:pt>
                  <c:pt idx="2">
                    <c:v>17</c:v>
                  </c:pt>
                  <c:pt idx="3">
                    <c:v>38</c:v>
                  </c:pt>
                  <c:pt idx="4">
                    <c:v>57</c:v>
                  </c:pt>
                  <c:pt idx="5">
                    <c:v>61</c:v>
                  </c:pt>
                  <c:pt idx="6">
                    <c:v>73</c:v>
                  </c:pt>
                  <c:pt idx="7">
                    <c:v>101</c:v>
                  </c:pt>
                  <c:pt idx="8">
                    <c:v>136</c:v>
                  </c:pt>
                </c:lvl>
                <c:lvl>
                  <c:pt idx="0">
                    <c:v>Serum</c:v>
                  </c:pt>
                </c:lvl>
              </c:multiLvlStrCache>
            </c:multiLvlStrRef>
          </c:cat>
          <c:val>
            <c:numRef>
              <c:extLst>
                <c:ext xmlns:c15="http://schemas.microsoft.com/office/drawing/2012/chart" uri="{02D57815-91ED-43cb-92C2-25804820EDAC}">
                  <c15:fullRef>
                    <c15:sqref>'Grafik Gehalte'!$I$2:$I$32</c15:sqref>
                  </c15:fullRef>
                </c:ext>
              </c:extLst>
              <c:f>'Grafik Gehalte'!$I$12:$I$20</c:f>
              <c:numCache>
                <c:formatCode>0.00</c:formatCode>
                <c:ptCount val="9"/>
              </c:numCache>
            </c:numRef>
          </c:val>
          <c:smooth val="0"/>
          <c:extLst>
            <c:ext xmlns:c16="http://schemas.microsoft.com/office/drawing/2014/chart" uri="{C3380CC4-5D6E-409C-BE32-E72D297353CC}">
              <c16:uniqueId val="{00000005-6721-4198-BFD3-1D40841D2C70}"/>
            </c:ext>
          </c:extLst>
        </c:ser>
        <c:ser>
          <c:idx val="6"/>
          <c:order val="6"/>
          <c:tx>
            <c:strRef>
              <c:f>'Grafik Gehalte'!$J$1</c:f>
              <c:strCache>
                <c:ptCount val="1"/>
                <c:pt idx="0">
                  <c:v>n-PFDA </c:v>
                </c:pt>
              </c:strCache>
            </c:strRef>
          </c:tx>
          <c:spPr>
            <a:ln w="28575" cap="rnd">
              <a:solidFill>
                <a:schemeClr val="accent1">
                  <a:lumMod val="60000"/>
                </a:schemeClr>
              </a:solidFill>
              <a:round/>
            </a:ln>
            <a:effectLst/>
          </c:spPr>
          <c:marker>
            <c:symbol val="none"/>
          </c:marker>
          <c:cat>
            <c:multiLvlStrRef>
              <c:extLst>
                <c:ext xmlns:c15="http://schemas.microsoft.com/office/drawing/2012/chart" uri="{02D57815-91ED-43cb-92C2-25804820EDAC}">
                  <c15:fullRef>
                    <c15:sqref>'Grafik Gehalte'!$B$2:$C$32</c15:sqref>
                  </c15:fullRef>
                </c:ext>
              </c:extLst>
              <c:f>'Grafik Gehalte'!$B$12:$C$20</c:f>
              <c:multiLvlStrCache>
                <c:ptCount val="9"/>
                <c:lvl>
                  <c:pt idx="0">
                    <c:v>1</c:v>
                  </c:pt>
                  <c:pt idx="1">
                    <c:v>5</c:v>
                  </c:pt>
                  <c:pt idx="2">
                    <c:v>17</c:v>
                  </c:pt>
                  <c:pt idx="3">
                    <c:v>38</c:v>
                  </c:pt>
                  <c:pt idx="4">
                    <c:v>57</c:v>
                  </c:pt>
                  <c:pt idx="5">
                    <c:v>61</c:v>
                  </c:pt>
                  <c:pt idx="6">
                    <c:v>73</c:v>
                  </c:pt>
                  <c:pt idx="7">
                    <c:v>101</c:v>
                  </c:pt>
                  <c:pt idx="8">
                    <c:v>136</c:v>
                  </c:pt>
                </c:lvl>
                <c:lvl>
                  <c:pt idx="0">
                    <c:v>Serum</c:v>
                  </c:pt>
                </c:lvl>
              </c:multiLvlStrCache>
            </c:multiLvlStrRef>
          </c:cat>
          <c:val>
            <c:numRef>
              <c:extLst>
                <c:ext xmlns:c15="http://schemas.microsoft.com/office/drawing/2012/chart" uri="{02D57815-91ED-43cb-92C2-25804820EDAC}">
                  <c15:fullRef>
                    <c15:sqref>'Grafik Gehalte'!$J$2:$J$32</c15:sqref>
                  </c15:fullRef>
                </c:ext>
              </c:extLst>
              <c:f>'Grafik Gehalte'!$J$12:$J$20</c:f>
              <c:numCache>
                <c:formatCode>0.00</c:formatCode>
                <c:ptCount val="9"/>
                <c:pt idx="2">
                  <c:v>1.0296666666666667</c:v>
                </c:pt>
                <c:pt idx="3">
                  <c:v>2.36</c:v>
                </c:pt>
                <c:pt idx="4">
                  <c:v>2.97</c:v>
                </c:pt>
                <c:pt idx="5">
                  <c:v>2.4766666666666666</c:v>
                </c:pt>
                <c:pt idx="6">
                  <c:v>1.6066666666666667</c:v>
                </c:pt>
                <c:pt idx="7">
                  <c:v>0.71966666666666657</c:v>
                </c:pt>
              </c:numCache>
            </c:numRef>
          </c:val>
          <c:smooth val="0"/>
          <c:extLst>
            <c:ext xmlns:c16="http://schemas.microsoft.com/office/drawing/2014/chart" uri="{C3380CC4-5D6E-409C-BE32-E72D297353CC}">
              <c16:uniqueId val="{00000006-6721-4198-BFD3-1D40841D2C70}"/>
            </c:ext>
          </c:extLst>
        </c:ser>
        <c:ser>
          <c:idx val="7"/>
          <c:order val="7"/>
          <c:tx>
            <c:strRef>
              <c:f>'Grafik Gehalte'!$K$1</c:f>
              <c:strCache>
                <c:ptCount val="1"/>
                <c:pt idx="0">
                  <c:v>n-PFUnDA </c:v>
                </c:pt>
              </c:strCache>
            </c:strRef>
          </c:tx>
          <c:spPr>
            <a:ln w="28575" cap="rnd">
              <a:solidFill>
                <a:schemeClr val="accent2">
                  <a:lumMod val="60000"/>
                </a:schemeClr>
              </a:solidFill>
              <a:round/>
            </a:ln>
            <a:effectLst/>
          </c:spPr>
          <c:marker>
            <c:symbol val="none"/>
          </c:marker>
          <c:cat>
            <c:multiLvlStrRef>
              <c:extLst>
                <c:ext xmlns:c15="http://schemas.microsoft.com/office/drawing/2012/chart" uri="{02D57815-91ED-43cb-92C2-25804820EDAC}">
                  <c15:fullRef>
                    <c15:sqref>'Grafik Gehalte'!$B$2:$C$32</c15:sqref>
                  </c15:fullRef>
                </c:ext>
              </c:extLst>
              <c:f>'Grafik Gehalte'!$B$12:$C$20</c:f>
              <c:multiLvlStrCache>
                <c:ptCount val="9"/>
                <c:lvl>
                  <c:pt idx="0">
                    <c:v>1</c:v>
                  </c:pt>
                  <c:pt idx="1">
                    <c:v>5</c:v>
                  </c:pt>
                  <c:pt idx="2">
                    <c:v>17</c:v>
                  </c:pt>
                  <c:pt idx="3">
                    <c:v>38</c:v>
                  </c:pt>
                  <c:pt idx="4">
                    <c:v>57</c:v>
                  </c:pt>
                  <c:pt idx="5">
                    <c:v>61</c:v>
                  </c:pt>
                  <c:pt idx="6">
                    <c:v>73</c:v>
                  </c:pt>
                  <c:pt idx="7">
                    <c:v>101</c:v>
                  </c:pt>
                  <c:pt idx="8">
                    <c:v>136</c:v>
                  </c:pt>
                </c:lvl>
                <c:lvl>
                  <c:pt idx="0">
                    <c:v>Serum</c:v>
                  </c:pt>
                </c:lvl>
              </c:multiLvlStrCache>
            </c:multiLvlStrRef>
          </c:cat>
          <c:val>
            <c:numRef>
              <c:extLst>
                <c:ext xmlns:c15="http://schemas.microsoft.com/office/drawing/2012/chart" uri="{02D57815-91ED-43cb-92C2-25804820EDAC}">
                  <c15:fullRef>
                    <c15:sqref>'Grafik Gehalte'!$K$2:$K$32</c15:sqref>
                  </c15:fullRef>
                </c:ext>
              </c:extLst>
              <c:f>'Grafik Gehalte'!$K$12:$K$20</c:f>
              <c:numCache>
                <c:formatCode>0.00</c:formatCode>
                <c:ptCount val="9"/>
                <c:pt idx="2">
                  <c:v>0.72649999999999992</c:v>
                </c:pt>
                <c:pt idx="3">
                  <c:v>1.4566666666666668</c:v>
                </c:pt>
                <c:pt idx="4">
                  <c:v>2.0033333333333334</c:v>
                </c:pt>
                <c:pt idx="5">
                  <c:v>1.4766666666666666</c:v>
                </c:pt>
                <c:pt idx="6">
                  <c:v>0.95433333333333314</c:v>
                </c:pt>
              </c:numCache>
            </c:numRef>
          </c:val>
          <c:smooth val="0"/>
          <c:extLst>
            <c:ext xmlns:c16="http://schemas.microsoft.com/office/drawing/2014/chart" uri="{C3380CC4-5D6E-409C-BE32-E72D297353CC}">
              <c16:uniqueId val="{00000007-6721-4198-BFD3-1D40841D2C70}"/>
            </c:ext>
          </c:extLst>
        </c:ser>
        <c:ser>
          <c:idx val="8"/>
          <c:order val="8"/>
          <c:tx>
            <c:strRef>
              <c:f>'Grafik Gehalte'!$L$1</c:f>
              <c:strCache>
                <c:ptCount val="1"/>
                <c:pt idx="0">
                  <c:v>n-PFDoDA </c:v>
                </c:pt>
              </c:strCache>
            </c:strRef>
          </c:tx>
          <c:spPr>
            <a:ln w="28575" cap="rnd">
              <a:solidFill>
                <a:schemeClr val="accent3">
                  <a:lumMod val="60000"/>
                </a:schemeClr>
              </a:solidFill>
              <a:round/>
            </a:ln>
            <a:effectLst/>
          </c:spPr>
          <c:marker>
            <c:symbol val="none"/>
          </c:marker>
          <c:cat>
            <c:multiLvlStrRef>
              <c:extLst>
                <c:ext xmlns:c15="http://schemas.microsoft.com/office/drawing/2012/chart" uri="{02D57815-91ED-43cb-92C2-25804820EDAC}">
                  <c15:fullRef>
                    <c15:sqref>'Grafik Gehalte'!$B$2:$C$32</c15:sqref>
                  </c15:fullRef>
                </c:ext>
              </c:extLst>
              <c:f>'Grafik Gehalte'!$B$12:$C$20</c:f>
              <c:multiLvlStrCache>
                <c:ptCount val="9"/>
                <c:lvl>
                  <c:pt idx="0">
                    <c:v>1</c:v>
                  </c:pt>
                  <c:pt idx="1">
                    <c:v>5</c:v>
                  </c:pt>
                  <c:pt idx="2">
                    <c:v>17</c:v>
                  </c:pt>
                  <c:pt idx="3">
                    <c:v>38</c:v>
                  </c:pt>
                  <c:pt idx="4">
                    <c:v>57</c:v>
                  </c:pt>
                  <c:pt idx="5">
                    <c:v>61</c:v>
                  </c:pt>
                  <c:pt idx="6">
                    <c:v>73</c:v>
                  </c:pt>
                  <c:pt idx="7">
                    <c:v>101</c:v>
                  </c:pt>
                  <c:pt idx="8">
                    <c:v>136</c:v>
                  </c:pt>
                </c:lvl>
                <c:lvl>
                  <c:pt idx="0">
                    <c:v>Serum</c:v>
                  </c:pt>
                </c:lvl>
              </c:multiLvlStrCache>
            </c:multiLvlStrRef>
          </c:cat>
          <c:val>
            <c:numRef>
              <c:extLst>
                <c:ext xmlns:c15="http://schemas.microsoft.com/office/drawing/2012/chart" uri="{02D57815-91ED-43cb-92C2-25804820EDAC}">
                  <c15:fullRef>
                    <c15:sqref>'Grafik Gehalte'!$L$2:$L$32</c15:sqref>
                  </c15:fullRef>
                </c:ext>
              </c:extLst>
              <c:f>'Grafik Gehalte'!$L$12:$L$20</c:f>
              <c:numCache>
                <c:formatCode>0.00</c:formatCode>
                <c:ptCount val="9"/>
                <c:pt idx="2">
                  <c:v>1.0633333333333332</c:v>
                </c:pt>
                <c:pt idx="3">
                  <c:v>2.06</c:v>
                </c:pt>
                <c:pt idx="4">
                  <c:v>2.3800000000000003</c:v>
                </c:pt>
                <c:pt idx="5">
                  <c:v>1.7566666666666668</c:v>
                </c:pt>
                <c:pt idx="6">
                  <c:v>0.91966666666666663</c:v>
                </c:pt>
              </c:numCache>
            </c:numRef>
          </c:val>
          <c:smooth val="0"/>
          <c:extLst>
            <c:ext xmlns:c16="http://schemas.microsoft.com/office/drawing/2014/chart" uri="{C3380CC4-5D6E-409C-BE32-E72D297353CC}">
              <c16:uniqueId val="{00000008-6721-4198-BFD3-1D40841D2C70}"/>
            </c:ext>
          </c:extLst>
        </c:ser>
        <c:ser>
          <c:idx val="9"/>
          <c:order val="9"/>
          <c:tx>
            <c:strRef>
              <c:f>'Grafik Gehalte'!$M$1</c:f>
              <c:strCache>
                <c:ptCount val="1"/>
                <c:pt idx="0">
                  <c:v>n-PFTrDA </c:v>
                </c:pt>
              </c:strCache>
            </c:strRef>
          </c:tx>
          <c:spPr>
            <a:ln w="28575" cap="rnd">
              <a:solidFill>
                <a:schemeClr val="accent4">
                  <a:lumMod val="60000"/>
                </a:schemeClr>
              </a:solidFill>
              <a:round/>
            </a:ln>
            <a:effectLst/>
          </c:spPr>
          <c:marker>
            <c:symbol val="none"/>
          </c:marker>
          <c:cat>
            <c:multiLvlStrRef>
              <c:extLst>
                <c:ext xmlns:c15="http://schemas.microsoft.com/office/drawing/2012/chart" uri="{02D57815-91ED-43cb-92C2-25804820EDAC}">
                  <c15:fullRef>
                    <c15:sqref>'Grafik Gehalte'!$B$2:$C$32</c15:sqref>
                  </c15:fullRef>
                </c:ext>
              </c:extLst>
              <c:f>'Grafik Gehalte'!$B$12:$C$20</c:f>
              <c:multiLvlStrCache>
                <c:ptCount val="9"/>
                <c:lvl>
                  <c:pt idx="0">
                    <c:v>1</c:v>
                  </c:pt>
                  <c:pt idx="1">
                    <c:v>5</c:v>
                  </c:pt>
                  <c:pt idx="2">
                    <c:v>17</c:v>
                  </c:pt>
                  <c:pt idx="3">
                    <c:v>38</c:v>
                  </c:pt>
                  <c:pt idx="4">
                    <c:v>57</c:v>
                  </c:pt>
                  <c:pt idx="5">
                    <c:v>61</c:v>
                  </c:pt>
                  <c:pt idx="6">
                    <c:v>73</c:v>
                  </c:pt>
                  <c:pt idx="7">
                    <c:v>101</c:v>
                  </c:pt>
                  <c:pt idx="8">
                    <c:v>136</c:v>
                  </c:pt>
                </c:lvl>
                <c:lvl>
                  <c:pt idx="0">
                    <c:v>Serum</c:v>
                  </c:pt>
                </c:lvl>
              </c:multiLvlStrCache>
            </c:multiLvlStrRef>
          </c:cat>
          <c:val>
            <c:numRef>
              <c:extLst>
                <c:ext xmlns:c15="http://schemas.microsoft.com/office/drawing/2012/chart" uri="{02D57815-91ED-43cb-92C2-25804820EDAC}">
                  <c15:fullRef>
                    <c15:sqref>'Grafik Gehalte'!$M$2:$M$32</c15:sqref>
                  </c15:fullRef>
                </c:ext>
              </c:extLst>
              <c:f>'Grafik Gehalte'!$M$12:$M$20</c:f>
              <c:numCache>
                <c:formatCode>0.00</c:formatCode>
                <c:ptCount val="9"/>
                <c:pt idx="2">
                  <c:v>1.216</c:v>
                </c:pt>
                <c:pt idx="3">
                  <c:v>1.4799999999999998</c:v>
                </c:pt>
                <c:pt idx="4">
                  <c:v>1.5599999999999998</c:v>
                </c:pt>
                <c:pt idx="5">
                  <c:v>0.89300000000000013</c:v>
                </c:pt>
              </c:numCache>
            </c:numRef>
          </c:val>
          <c:smooth val="0"/>
          <c:extLst>
            <c:ext xmlns:c16="http://schemas.microsoft.com/office/drawing/2014/chart" uri="{C3380CC4-5D6E-409C-BE32-E72D297353CC}">
              <c16:uniqueId val="{00000009-6721-4198-BFD3-1D40841D2C70}"/>
            </c:ext>
          </c:extLst>
        </c:ser>
        <c:ser>
          <c:idx val="10"/>
          <c:order val="10"/>
          <c:tx>
            <c:strRef>
              <c:f>'Grafik Gehalte'!$N$1</c:f>
              <c:strCache>
                <c:ptCount val="1"/>
                <c:pt idx="0">
                  <c:v>n-PFTeDA </c:v>
                </c:pt>
              </c:strCache>
            </c:strRef>
          </c:tx>
          <c:spPr>
            <a:ln w="28575" cap="rnd">
              <a:solidFill>
                <a:schemeClr val="accent5">
                  <a:lumMod val="60000"/>
                </a:schemeClr>
              </a:solidFill>
              <a:round/>
            </a:ln>
            <a:effectLst/>
          </c:spPr>
          <c:marker>
            <c:symbol val="none"/>
          </c:marker>
          <c:cat>
            <c:multiLvlStrRef>
              <c:extLst>
                <c:ext xmlns:c15="http://schemas.microsoft.com/office/drawing/2012/chart" uri="{02D57815-91ED-43cb-92C2-25804820EDAC}">
                  <c15:fullRef>
                    <c15:sqref>'Grafik Gehalte'!$B$2:$C$32</c15:sqref>
                  </c15:fullRef>
                </c:ext>
              </c:extLst>
              <c:f>'Grafik Gehalte'!$B$12:$C$20</c:f>
              <c:multiLvlStrCache>
                <c:ptCount val="9"/>
                <c:lvl>
                  <c:pt idx="0">
                    <c:v>1</c:v>
                  </c:pt>
                  <c:pt idx="1">
                    <c:v>5</c:v>
                  </c:pt>
                  <c:pt idx="2">
                    <c:v>17</c:v>
                  </c:pt>
                  <c:pt idx="3">
                    <c:v>38</c:v>
                  </c:pt>
                  <c:pt idx="4">
                    <c:v>57</c:v>
                  </c:pt>
                  <c:pt idx="5">
                    <c:v>61</c:v>
                  </c:pt>
                  <c:pt idx="6">
                    <c:v>73</c:v>
                  </c:pt>
                  <c:pt idx="7">
                    <c:v>101</c:v>
                  </c:pt>
                  <c:pt idx="8">
                    <c:v>136</c:v>
                  </c:pt>
                </c:lvl>
                <c:lvl>
                  <c:pt idx="0">
                    <c:v>Serum</c:v>
                  </c:pt>
                </c:lvl>
              </c:multiLvlStrCache>
            </c:multiLvlStrRef>
          </c:cat>
          <c:val>
            <c:numRef>
              <c:extLst>
                <c:ext xmlns:c15="http://schemas.microsoft.com/office/drawing/2012/chart" uri="{02D57815-91ED-43cb-92C2-25804820EDAC}">
                  <c15:fullRef>
                    <c15:sqref>'Grafik Gehalte'!$N$2:$N$32</c15:sqref>
                  </c15:fullRef>
                </c:ext>
              </c:extLst>
              <c:f>'Grafik Gehalte'!$N$12:$N$20</c:f>
              <c:numCache>
                <c:formatCode>0.00</c:formatCode>
                <c:ptCount val="9"/>
                <c:pt idx="2">
                  <c:v>0.95950000000000002</c:v>
                </c:pt>
                <c:pt idx="3">
                  <c:v>0.67</c:v>
                </c:pt>
                <c:pt idx="4">
                  <c:v>0.66999999999999993</c:v>
                </c:pt>
              </c:numCache>
            </c:numRef>
          </c:val>
          <c:smooth val="0"/>
          <c:extLst>
            <c:ext xmlns:c16="http://schemas.microsoft.com/office/drawing/2014/chart" uri="{C3380CC4-5D6E-409C-BE32-E72D297353CC}">
              <c16:uniqueId val="{0000000A-6721-4198-BFD3-1D40841D2C70}"/>
            </c:ext>
          </c:extLst>
        </c:ser>
        <c:ser>
          <c:idx val="21"/>
          <c:order val="21"/>
          <c:tx>
            <c:strRef>
              <c:f>'Grafik Gehalte'!$Y$1</c:f>
              <c:strCache>
                <c:ptCount val="1"/>
                <c:pt idx="0">
                  <c:v>br-PFHxA</c:v>
                </c:pt>
              </c:strCache>
            </c:strRef>
          </c:tx>
          <c:spPr>
            <a:ln w="28575" cap="rnd">
              <a:solidFill>
                <a:schemeClr val="accent4">
                  <a:lumMod val="80000"/>
                </a:schemeClr>
              </a:solidFill>
              <a:round/>
            </a:ln>
            <a:effectLst/>
          </c:spPr>
          <c:marker>
            <c:symbol val="none"/>
          </c:marker>
          <c:cat>
            <c:multiLvlStrRef>
              <c:extLst>
                <c:ext xmlns:c15="http://schemas.microsoft.com/office/drawing/2012/chart" uri="{02D57815-91ED-43cb-92C2-25804820EDAC}">
                  <c15:fullRef>
                    <c15:sqref>'Grafik Gehalte'!$B$2:$C$32</c15:sqref>
                  </c15:fullRef>
                </c:ext>
              </c:extLst>
              <c:f>'Grafik Gehalte'!$B$12:$C$20</c:f>
              <c:multiLvlStrCache>
                <c:ptCount val="9"/>
                <c:lvl>
                  <c:pt idx="0">
                    <c:v>1</c:v>
                  </c:pt>
                  <c:pt idx="1">
                    <c:v>5</c:v>
                  </c:pt>
                  <c:pt idx="2">
                    <c:v>17</c:v>
                  </c:pt>
                  <c:pt idx="3">
                    <c:v>38</c:v>
                  </c:pt>
                  <c:pt idx="4">
                    <c:v>57</c:v>
                  </c:pt>
                  <c:pt idx="5">
                    <c:v>61</c:v>
                  </c:pt>
                  <c:pt idx="6">
                    <c:v>73</c:v>
                  </c:pt>
                  <c:pt idx="7">
                    <c:v>101</c:v>
                  </c:pt>
                  <c:pt idx="8">
                    <c:v>136</c:v>
                  </c:pt>
                </c:lvl>
                <c:lvl>
                  <c:pt idx="0">
                    <c:v>Serum</c:v>
                  </c:pt>
                </c:lvl>
              </c:multiLvlStrCache>
            </c:multiLvlStrRef>
          </c:cat>
          <c:val>
            <c:numRef>
              <c:extLst>
                <c:ext xmlns:c15="http://schemas.microsoft.com/office/drawing/2012/chart" uri="{02D57815-91ED-43cb-92C2-25804820EDAC}">
                  <c15:fullRef>
                    <c15:sqref>'Grafik Gehalte'!$Y$2:$Y$32</c15:sqref>
                  </c15:fullRef>
                </c:ext>
              </c:extLst>
              <c:f>'Grafik Gehalte'!$Y$12:$Y$20</c:f>
              <c:numCache>
                <c:formatCode>0.00</c:formatCode>
                <c:ptCount val="9"/>
              </c:numCache>
            </c:numRef>
          </c:val>
          <c:smooth val="0"/>
          <c:extLst>
            <c:ext xmlns:c16="http://schemas.microsoft.com/office/drawing/2014/chart" uri="{C3380CC4-5D6E-409C-BE32-E72D297353CC}">
              <c16:uniqueId val="{00000015-6721-4198-BFD3-1D40841D2C70}"/>
            </c:ext>
          </c:extLst>
        </c:ser>
        <c:ser>
          <c:idx val="22"/>
          <c:order val="22"/>
          <c:tx>
            <c:strRef>
              <c:f>'Grafik Gehalte'!$Z$1</c:f>
              <c:strCache>
                <c:ptCount val="1"/>
                <c:pt idx="0">
                  <c:v>br-PFHpA </c:v>
                </c:pt>
              </c:strCache>
            </c:strRef>
          </c:tx>
          <c:spPr>
            <a:ln w="28575" cap="rnd">
              <a:solidFill>
                <a:schemeClr val="accent5">
                  <a:lumMod val="80000"/>
                </a:schemeClr>
              </a:solidFill>
              <a:round/>
            </a:ln>
            <a:effectLst/>
          </c:spPr>
          <c:marker>
            <c:symbol val="none"/>
          </c:marker>
          <c:cat>
            <c:multiLvlStrRef>
              <c:extLst>
                <c:ext xmlns:c15="http://schemas.microsoft.com/office/drawing/2012/chart" uri="{02D57815-91ED-43cb-92C2-25804820EDAC}">
                  <c15:fullRef>
                    <c15:sqref>'Grafik Gehalte'!$B$2:$C$32</c15:sqref>
                  </c15:fullRef>
                </c:ext>
              </c:extLst>
              <c:f>'Grafik Gehalte'!$B$12:$C$20</c:f>
              <c:multiLvlStrCache>
                <c:ptCount val="9"/>
                <c:lvl>
                  <c:pt idx="0">
                    <c:v>1</c:v>
                  </c:pt>
                  <c:pt idx="1">
                    <c:v>5</c:v>
                  </c:pt>
                  <c:pt idx="2">
                    <c:v>17</c:v>
                  </c:pt>
                  <c:pt idx="3">
                    <c:v>38</c:v>
                  </c:pt>
                  <c:pt idx="4">
                    <c:v>57</c:v>
                  </c:pt>
                  <c:pt idx="5">
                    <c:v>61</c:v>
                  </c:pt>
                  <c:pt idx="6">
                    <c:v>73</c:v>
                  </c:pt>
                  <c:pt idx="7">
                    <c:v>101</c:v>
                  </c:pt>
                  <c:pt idx="8">
                    <c:v>136</c:v>
                  </c:pt>
                </c:lvl>
                <c:lvl>
                  <c:pt idx="0">
                    <c:v>Serum</c:v>
                  </c:pt>
                </c:lvl>
              </c:multiLvlStrCache>
            </c:multiLvlStrRef>
          </c:cat>
          <c:val>
            <c:numRef>
              <c:extLst>
                <c:ext xmlns:c15="http://schemas.microsoft.com/office/drawing/2012/chart" uri="{02D57815-91ED-43cb-92C2-25804820EDAC}">
                  <c15:fullRef>
                    <c15:sqref>'Grafik Gehalte'!$Z$2:$Z$32</c15:sqref>
                  </c15:fullRef>
                </c:ext>
              </c:extLst>
              <c:f>'Grafik Gehalte'!$Z$12:$Z$20</c:f>
              <c:numCache>
                <c:formatCode>0.00</c:formatCode>
                <c:ptCount val="9"/>
              </c:numCache>
            </c:numRef>
          </c:val>
          <c:smooth val="0"/>
          <c:extLst>
            <c:ext xmlns:c16="http://schemas.microsoft.com/office/drawing/2014/chart" uri="{C3380CC4-5D6E-409C-BE32-E72D297353CC}">
              <c16:uniqueId val="{00000016-6721-4198-BFD3-1D40841D2C70}"/>
            </c:ext>
          </c:extLst>
        </c:ser>
        <c:ser>
          <c:idx val="23"/>
          <c:order val="23"/>
          <c:tx>
            <c:strRef>
              <c:f>'Grafik Gehalte'!$AA$1</c:f>
              <c:strCache>
                <c:ptCount val="1"/>
                <c:pt idx="0">
                  <c:v>br-PFOA </c:v>
                </c:pt>
              </c:strCache>
            </c:strRef>
          </c:tx>
          <c:spPr>
            <a:ln w="28575" cap="rnd">
              <a:solidFill>
                <a:schemeClr val="accent6">
                  <a:lumMod val="80000"/>
                </a:schemeClr>
              </a:solidFill>
              <a:round/>
            </a:ln>
            <a:effectLst/>
          </c:spPr>
          <c:marker>
            <c:symbol val="none"/>
          </c:marker>
          <c:cat>
            <c:multiLvlStrRef>
              <c:extLst>
                <c:ext xmlns:c15="http://schemas.microsoft.com/office/drawing/2012/chart" uri="{02D57815-91ED-43cb-92C2-25804820EDAC}">
                  <c15:fullRef>
                    <c15:sqref>'Grafik Gehalte'!$B$2:$C$32</c15:sqref>
                  </c15:fullRef>
                </c:ext>
              </c:extLst>
              <c:f>'Grafik Gehalte'!$B$12:$C$20</c:f>
              <c:multiLvlStrCache>
                <c:ptCount val="9"/>
                <c:lvl>
                  <c:pt idx="0">
                    <c:v>1</c:v>
                  </c:pt>
                  <c:pt idx="1">
                    <c:v>5</c:v>
                  </c:pt>
                  <c:pt idx="2">
                    <c:v>17</c:v>
                  </c:pt>
                  <c:pt idx="3">
                    <c:v>38</c:v>
                  </c:pt>
                  <c:pt idx="4">
                    <c:v>57</c:v>
                  </c:pt>
                  <c:pt idx="5">
                    <c:v>61</c:v>
                  </c:pt>
                  <c:pt idx="6">
                    <c:v>73</c:v>
                  </c:pt>
                  <c:pt idx="7">
                    <c:v>101</c:v>
                  </c:pt>
                  <c:pt idx="8">
                    <c:v>136</c:v>
                  </c:pt>
                </c:lvl>
                <c:lvl>
                  <c:pt idx="0">
                    <c:v>Serum</c:v>
                  </c:pt>
                </c:lvl>
              </c:multiLvlStrCache>
            </c:multiLvlStrRef>
          </c:cat>
          <c:val>
            <c:numRef>
              <c:extLst>
                <c:ext xmlns:c15="http://schemas.microsoft.com/office/drawing/2012/chart" uri="{02D57815-91ED-43cb-92C2-25804820EDAC}">
                  <c15:fullRef>
                    <c15:sqref>'Grafik Gehalte'!$AA$2:$AA$32</c15:sqref>
                  </c15:fullRef>
                </c:ext>
              </c:extLst>
              <c:f>'Grafik Gehalte'!$AA$12:$AA$20</c:f>
              <c:numCache>
                <c:formatCode>0.00</c:formatCode>
                <c:ptCount val="9"/>
                <c:pt idx="2">
                  <c:v>0.7636666666666666</c:v>
                </c:pt>
              </c:numCache>
            </c:numRef>
          </c:val>
          <c:smooth val="0"/>
          <c:extLst>
            <c:ext xmlns:c16="http://schemas.microsoft.com/office/drawing/2014/chart" uri="{C3380CC4-5D6E-409C-BE32-E72D297353CC}">
              <c16:uniqueId val="{00000017-6721-4198-BFD3-1D40841D2C70}"/>
            </c:ext>
          </c:extLst>
        </c:ser>
        <c:ser>
          <c:idx val="24"/>
          <c:order val="24"/>
          <c:tx>
            <c:strRef>
              <c:f>'Grafik Gehalte'!$AB$1</c:f>
              <c:strCache>
                <c:ptCount val="1"/>
                <c:pt idx="0">
                  <c:v>br-PFNA </c:v>
                </c:pt>
              </c:strCache>
            </c:strRef>
          </c:tx>
          <c:spPr>
            <a:ln w="28575" cap="rnd">
              <a:solidFill>
                <a:schemeClr val="accent1">
                  <a:lumMod val="60000"/>
                  <a:lumOff val="40000"/>
                </a:schemeClr>
              </a:solidFill>
              <a:round/>
            </a:ln>
            <a:effectLst/>
          </c:spPr>
          <c:marker>
            <c:symbol val="none"/>
          </c:marker>
          <c:cat>
            <c:multiLvlStrRef>
              <c:extLst>
                <c:ext xmlns:c15="http://schemas.microsoft.com/office/drawing/2012/chart" uri="{02D57815-91ED-43cb-92C2-25804820EDAC}">
                  <c15:fullRef>
                    <c15:sqref>'Grafik Gehalte'!$B$2:$C$32</c15:sqref>
                  </c15:fullRef>
                </c:ext>
              </c:extLst>
              <c:f>'Grafik Gehalte'!$B$12:$C$20</c:f>
              <c:multiLvlStrCache>
                <c:ptCount val="9"/>
                <c:lvl>
                  <c:pt idx="0">
                    <c:v>1</c:v>
                  </c:pt>
                  <c:pt idx="1">
                    <c:v>5</c:v>
                  </c:pt>
                  <c:pt idx="2">
                    <c:v>17</c:v>
                  </c:pt>
                  <c:pt idx="3">
                    <c:v>38</c:v>
                  </c:pt>
                  <c:pt idx="4">
                    <c:v>57</c:v>
                  </c:pt>
                  <c:pt idx="5">
                    <c:v>61</c:v>
                  </c:pt>
                  <c:pt idx="6">
                    <c:v>73</c:v>
                  </c:pt>
                  <c:pt idx="7">
                    <c:v>101</c:v>
                  </c:pt>
                  <c:pt idx="8">
                    <c:v>136</c:v>
                  </c:pt>
                </c:lvl>
                <c:lvl>
                  <c:pt idx="0">
                    <c:v>Serum</c:v>
                  </c:pt>
                </c:lvl>
              </c:multiLvlStrCache>
            </c:multiLvlStrRef>
          </c:cat>
          <c:val>
            <c:numRef>
              <c:extLst>
                <c:ext xmlns:c15="http://schemas.microsoft.com/office/drawing/2012/chart" uri="{02D57815-91ED-43cb-92C2-25804820EDAC}">
                  <c15:fullRef>
                    <c15:sqref>'Grafik Gehalte'!$AB$2:$AB$32</c15:sqref>
                  </c15:fullRef>
                </c:ext>
              </c:extLst>
              <c:f>'Grafik Gehalte'!$AB$12:$AB$20</c:f>
              <c:numCache>
                <c:formatCode>0.00</c:formatCode>
                <c:ptCount val="9"/>
              </c:numCache>
            </c:numRef>
          </c:val>
          <c:smooth val="0"/>
          <c:extLst>
            <c:ext xmlns:c16="http://schemas.microsoft.com/office/drawing/2014/chart" uri="{C3380CC4-5D6E-409C-BE32-E72D297353CC}">
              <c16:uniqueId val="{00000018-6721-4198-BFD3-1D40841D2C70}"/>
            </c:ext>
          </c:extLst>
        </c:ser>
        <c:ser>
          <c:idx val="25"/>
          <c:order val="25"/>
          <c:tx>
            <c:strRef>
              <c:f>'Grafik Gehalte'!$AC$1</c:f>
              <c:strCache>
                <c:ptCount val="1"/>
                <c:pt idx="0">
                  <c:v>br-PFDA </c:v>
                </c:pt>
              </c:strCache>
            </c:strRef>
          </c:tx>
          <c:spPr>
            <a:ln w="28575" cap="rnd">
              <a:solidFill>
                <a:schemeClr val="accent2">
                  <a:lumMod val="60000"/>
                  <a:lumOff val="40000"/>
                </a:schemeClr>
              </a:solidFill>
              <a:round/>
            </a:ln>
            <a:effectLst/>
          </c:spPr>
          <c:marker>
            <c:symbol val="none"/>
          </c:marker>
          <c:cat>
            <c:multiLvlStrRef>
              <c:extLst>
                <c:ext xmlns:c15="http://schemas.microsoft.com/office/drawing/2012/chart" uri="{02D57815-91ED-43cb-92C2-25804820EDAC}">
                  <c15:fullRef>
                    <c15:sqref>'Grafik Gehalte'!$B$2:$C$32</c15:sqref>
                  </c15:fullRef>
                </c:ext>
              </c:extLst>
              <c:f>'Grafik Gehalte'!$B$12:$C$20</c:f>
              <c:multiLvlStrCache>
                <c:ptCount val="9"/>
                <c:lvl>
                  <c:pt idx="0">
                    <c:v>1</c:v>
                  </c:pt>
                  <c:pt idx="1">
                    <c:v>5</c:v>
                  </c:pt>
                  <c:pt idx="2">
                    <c:v>17</c:v>
                  </c:pt>
                  <c:pt idx="3">
                    <c:v>38</c:v>
                  </c:pt>
                  <c:pt idx="4">
                    <c:v>57</c:v>
                  </c:pt>
                  <c:pt idx="5">
                    <c:v>61</c:v>
                  </c:pt>
                  <c:pt idx="6">
                    <c:v>73</c:v>
                  </c:pt>
                  <c:pt idx="7">
                    <c:v>101</c:v>
                  </c:pt>
                  <c:pt idx="8">
                    <c:v>136</c:v>
                  </c:pt>
                </c:lvl>
                <c:lvl>
                  <c:pt idx="0">
                    <c:v>Serum</c:v>
                  </c:pt>
                </c:lvl>
              </c:multiLvlStrCache>
            </c:multiLvlStrRef>
          </c:cat>
          <c:val>
            <c:numRef>
              <c:extLst>
                <c:ext xmlns:c15="http://schemas.microsoft.com/office/drawing/2012/chart" uri="{02D57815-91ED-43cb-92C2-25804820EDAC}">
                  <c15:fullRef>
                    <c15:sqref>'Grafik Gehalte'!$AC$2:$AC$32</c15:sqref>
                  </c15:fullRef>
                </c:ext>
              </c:extLst>
              <c:f>'Grafik Gehalte'!$AC$12:$AC$20</c:f>
              <c:numCache>
                <c:formatCode>0.00</c:formatCode>
                <c:ptCount val="9"/>
              </c:numCache>
            </c:numRef>
          </c:val>
          <c:smooth val="0"/>
          <c:extLst>
            <c:ext xmlns:c16="http://schemas.microsoft.com/office/drawing/2014/chart" uri="{C3380CC4-5D6E-409C-BE32-E72D297353CC}">
              <c16:uniqueId val="{00000019-6721-4198-BFD3-1D40841D2C70}"/>
            </c:ext>
          </c:extLst>
        </c:ser>
        <c:ser>
          <c:idx val="26"/>
          <c:order val="26"/>
          <c:tx>
            <c:strRef>
              <c:f>'Grafik Gehalte'!$AD$1</c:f>
              <c:strCache>
                <c:ptCount val="1"/>
                <c:pt idx="0">
                  <c:v>br-PFUnDA </c:v>
                </c:pt>
              </c:strCache>
            </c:strRef>
          </c:tx>
          <c:spPr>
            <a:ln w="28575" cap="rnd">
              <a:solidFill>
                <a:schemeClr val="accent3">
                  <a:lumMod val="60000"/>
                  <a:lumOff val="40000"/>
                </a:schemeClr>
              </a:solidFill>
              <a:round/>
            </a:ln>
            <a:effectLst/>
          </c:spPr>
          <c:marker>
            <c:symbol val="none"/>
          </c:marker>
          <c:cat>
            <c:multiLvlStrRef>
              <c:extLst>
                <c:ext xmlns:c15="http://schemas.microsoft.com/office/drawing/2012/chart" uri="{02D57815-91ED-43cb-92C2-25804820EDAC}">
                  <c15:fullRef>
                    <c15:sqref>'Grafik Gehalte'!$B$2:$C$32</c15:sqref>
                  </c15:fullRef>
                </c:ext>
              </c:extLst>
              <c:f>'Grafik Gehalte'!$B$12:$C$20</c:f>
              <c:multiLvlStrCache>
                <c:ptCount val="9"/>
                <c:lvl>
                  <c:pt idx="0">
                    <c:v>1</c:v>
                  </c:pt>
                  <c:pt idx="1">
                    <c:v>5</c:v>
                  </c:pt>
                  <c:pt idx="2">
                    <c:v>17</c:v>
                  </c:pt>
                  <c:pt idx="3">
                    <c:v>38</c:v>
                  </c:pt>
                  <c:pt idx="4">
                    <c:v>57</c:v>
                  </c:pt>
                  <c:pt idx="5">
                    <c:v>61</c:v>
                  </c:pt>
                  <c:pt idx="6">
                    <c:v>73</c:v>
                  </c:pt>
                  <c:pt idx="7">
                    <c:v>101</c:v>
                  </c:pt>
                  <c:pt idx="8">
                    <c:v>136</c:v>
                  </c:pt>
                </c:lvl>
                <c:lvl>
                  <c:pt idx="0">
                    <c:v>Serum</c:v>
                  </c:pt>
                </c:lvl>
              </c:multiLvlStrCache>
            </c:multiLvlStrRef>
          </c:cat>
          <c:val>
            <c:numRef>
              <c:extLst>
                <c:ext xmlns:c15="http://schemas.microsoft.com/office/drawing/2012/chart" uri="{02D57815-91ED-43cb-92C2-25804820EDAC}">
                  <c15:fullRef>
                    <c15:sqref>'Grafik Gehalte'!$AD$2:$AD$32</c15:sqref>
                  </c15:fullRef>
                </c:ext>
              </c:extLst>
              <c:f>'Grafik Gehalte'!$AD$12:$AD$20</c:f>
              <c:numCache>
                <c:formatCode>0.00</c:formatCode>
                <c:ptCount val="9"/>
              </c:numCache>
            </c:numRef>
          </c:val>
          <c:smooth val="0"/>
          <c:extLst>
            <c:ext xmlns:c16="http://schemas.microsoft.com/office/drawing/2014/chart" uri="{C3380CC4-5D6E-409C-BE32-E72D297353CC}">
              <c16:uniqueId val="{0000001A-6721-4198-BFD3-1D40841D2C70}"/>
            </c:ext>
          </c:extLst>
        </c:ser>
        <c:ser>
          <c:idx val="27"/>
          <c:order val="27"/>
          <c:tx>
            <c:strRef>
              <c:f>'Grafik Gehalte'!$AE$1</c:f>
              <c:strCache>
                <c:ptCount val="1"/>
                <c:pt idx="0">
                  <c:v>br-PFDoDA </c:v>
                </c:pt>
              </c:strCache>
            </c:strRef>
          </c:tx>
          <c:spPr>
            <a:ln w="28575" cap="rnd">
              <a:solidFill>
                <a:schemeClr val="accent4">
                  <a:lumMod val="60000"/>
                  <a:lumOff val="40000"/>
                </a:schemeClr>
              </a:solidFill>
              <a:round/>
            </a:ln>
            <a:effectLst/>
          </c:spPr>
          <c:marker>
            <c:symbol val="none"/>
          </c:marker>
          <c:cat>
            <c:multiLvlStrRef>
              <c:extLst>
                <c:ext xmlns:c15="http://schemas.microsoft.com/office/drawing/2012/chart" uri="{02D57815-91ED-43cb-92C2-25804820EDAC}">
                  <c15:fullRef>
                    <c15:sqref>'Grafik Gehalte'!$B$2:$C$32</c15:sqref>
                  </c15:fullRef>
                </c:ext>
              </c:extLst>
              <c:f>'Grafik Gehalte'!$B$12:$C$20</c:f>
              <c:multiLvlStrCache>
                <c:ptCount val="9"/>
                <c:lvl>
                  <c:pt idx="0">
                    <c:v>1</c:v>
                  </c:pt>
                  <c:pt idx="1">
                    <c:v>5</c:v>
                  </c:pt>
                  <c:pt idx="2">
                    <c:v>17</c:v>
                  </c:pt>
                  <c:pt idx="3">
                    <c:v>38</c:v>
                  </c:pt>
                  <c:pt idx="4">
                    <c:v>57</c:v>
                  </c:pt>
                  <c:pt idx="5">
                    <c:v>61</c:v>
                  </c:pt>
                  <c:pt idx="6">
                    <c:v>73</c:v>
                  </c:pt>
                  <c:pt idx="7">
                    <c:v>101</c:v>
                  </c:pt>
                  <c:pt idx="8">
                    <c:v>136</c:v>
                  </c:pt>
                </c:lvl>
                <c:lvl>
                  <c:pt idx="0">
                    <c:v>Serum</c:v>
                  </c:pt>
                </c:lvl>
              </c:multiLvlStrCache>
            </c:multiLvlStrRef>
          </c:cat>
          <c:val>
            <c:numRef>
              <c:extLst>
                <c:ext xmlns:c15="http://schemas.microsoft.com/office/drawing/2012/chart" uri="{02D57815-91ED-43cb-92C2-25804820EDAC}">
                  <c15:fullRef>
                    <c15:sqref>'Grafik Gehalte'!$AE$2:$AE$32</c15:sqref>
                  </c15:fullRef>
                </c:ext>
              </c:extLst>
              <c:f>'Grafik Gehalte'!$AE$12:$AE$20</c:f>
              <c:numCache>
                <c:formatCode>0.00</c:formatCode>
                <c:ptCount val="9"/>
              </c:numCache>
            </c:numRef>
          </c:val>
          <c:smooth val="0"/>
          <c:extLst>
            <c:ext xmlns:c16="http://schemas.microsoft.com/office/drawing/2014/chart" uri="{C3380CC4-5D6E-409C-BE32-E72D297353CC}">
              <c16:uniqueId val="{0000001B-6721-4198-BFD3-1D40841D2C70}"/>
            </c:ext>
          </c:extLst>
        </c:ser>
        <c:ser>
          <c:idx val="28"/>
          <c:order val="28"/>
          <c:tx>
            <c:strRef>
              <c:f>'Grafik Gehalte'!$AF$1</c:f>
              <c:strCache>
                <c:ptCount val="1"/>
                <c:pt idx="0">
                  <c:v>br-PFTrDA </c:v>
                </c:pt>
              </c:strCache>
            </c:strRef>
          </c:tx>
          <c:spPr>
            <a:ln w="28575" cap="rnd">
              <a:solidFill>
                <a:schemeClr val="accent5">
                  <a:lumMod val="60000"/>
                  <a:lumOff val="40000"/>
                </a:schemeClr>
              </a:solidFill>
              <a:round/>
            </a:ln>
            <a:effectLst/>
          </c:spPr>
          <c:marker>
            <c:symbol val="none"/>
          </c:marker>
          <c:cat>
            <c:multiLvlStrRef>
              <c:extLst>
                <c:ext xmlns:c15="http://schemas.microsoft.com/office/drawing/2012/chart" uri="{02D57815-91ED-43cb-92C2-25804820EDAC}">
                  <c15:fullRef>
                    <c15:sqref>'Grafik Gehalte'!$B$2:$C$32</c15:sqref>
                  </c15:fullRef>
                </c:ext>
              </c:extLst>
              <c:f>'Grafik Gehalte'!$B$12:$C$20</c:f>
              <c:multiLvlStrCache>
                <c:ptCount val="9"/>
                <c:lvl>
                  <c:pt idx="0">
                    <c:v>1</c:v>
                  </c:pt>
                  <c:pt idx="1">
                    <c:v>5</c:v>
                  </c:pt>
                  <c:pt idx="2">
                    <c:v>17</c:v>
                  </c:pt>
                  <c:pt idx="3">
                    <c:v>38</c:v>
                  </c:pt>
                  <c:pt idx="4">
                    <c:v>57</c:v>
                  </c:pt>
                  <c:pt idx="5">
                    <c:v>61</c:v>
                  </c:pt>
                  <c:pt idx="6">
                    <c:v>73</c:v>
                  </c:pt>
                  <c:pt idx="7">
                    <c:v>101</c:v>
                  </c:pt>
                  <c:pt idx="8">
                    <c:v>136</c:v>
                  </c:pt>
                </c:lvl>
                <c:lvl>
                  <c:pt idx="0">
                    <c:v>Serum</c:v>
                  </c:pt>
                </c:lvl>
              </c:multiLvlStrCache>
            </c:multiLvlStrRef>
          </c:cat>
          <c:val>
            <c:numRef>
              <c:extLst>
                <c:ext xmlns:c15="http://schemas.microsoft.com/office/drawing/2012/chart" uri="{02D57815-91ED-43cb-92C2-25804820EDAC}">
                  <c15:fullRef>
                    <c15:sqref>'Grafik Gehalte'!$AF$2:$AF$32</c15:sqref>
                  </c15:fullRef>
                </c:ext>
              </c:extLst>
              <c:f>'Grafik Gehalte'!$AF$12:$AF$20</c:f>
              <c:numCache>
                <c:formatCode>0.00</c:formatCode>
                <c:ptCount val="9"/>
              </c:numCache>
            </c:numRef>
          </c:val>
          <c:smooth val="0"/>
          <c:extLst>
            <c:ext xmlns:c16="http://schemas.microsoft.com/office/drawing/2014/chart" uri="{C3380CC4-5D6E-409C-BE32-E72D297353CC}">
              <c16:uniqueId val="{0000001C-6721-4198-BFD3-1D40841D2C70}"/>
            </c:ext>
          </c:extLst>
        </c:ser>
        <c:ser>
          <c:idx val="29"/>
          <c:order val="29"/>
          <c:tx>
            <c:strRef>
              <c:f>'Grafik Gehalte'!$AG$1</c:f>
              <c:strCache>
                <c:ptCount val="1"/>
                <c:pt idx="0">
                  <c:v>br-PFTeDA </c:v>
                </c:pt>
              </c:strCache>
            </c:strRef>
          </c:tx>
          <c:spPr>
            <a:ln w="28575" cap="rnd">
              <a:solidFill>
                <a:schemeClr val="accent6">
                  <a:lumMod val="60000"/>
                  <a:lumOff val="40000"/>
                </a:schemeClr>
              </a:solidFill>
              <a:round/>
            </a:ln>
            <a:effectLst/>
          </c:spPr>
          <c:marker>
            <c:symbol val="none"/>
          </c:marker>
          <c:cat>
            <c:multiLvlStrRef>
              <c:extLst>
                <c:ext xmlns:c15="http://schemas.microsoft.com/office/drawing/2012/chart" uri="{02D57815-91ED-43cb-92C2-25804820EDAC}">
                  <c15:fullRef>
                    <c15:sqref>'Grafik Gehalte'!$B$2:$C$32</c15:sqref>
                  </c15:fullRef>
                </c:ext>
              </c:extLst>
              <c:f>'Grafik Gehalte'!$B$12:$C$20</c:f>
              <c:multiLvlStrCache>
                <c:ptCount val="9"/>
                <c:lvl>
                  <c:pt idx="0">
                    <c:v>1</c:v>
                  </c:pt>
                  <c:pt idx="1">
                    <c:v>5</c:v>
                  </c:pt>
                  <c:pt idx="2">
                    <c:v>17</c:v>
                  </c:pt>
                  <c:pt idx="3">
                    <c:v>38</c:v>
                  </c:pt>
                  <c:pt idx="4">
                    <c:v>57</c:v>
                  </c:pt>
                  <c:pt idx="5">
                    <c:v>61</c:v>
                  </c:pt>
                  <c:pt idx="6">
                    <c:v>73</c:v>
                  </c:pt>
                  <c:pt idx="7">
                    <c:v>101</c:v>
                  </c:pt>
                  <c:pt idx="8">
                    <c:v>136</c:v>
                  </c:pt>
                </c:lvl>
                <c:lvl>
                  <c:pt idx="0">
                    <c:v>Serum</c:v>
                  </c:pt>
                </c:lvl>
              </c:multiLvlStrCache>
            </c:multiLvlStrRef>
          </c:cat>
          <c:val>
            <c:numRef>
              <c:extLst>
                <c:ext xmlns:c15="http://schemas.microsoft.com/office/drawing/2012/chart" uri="{02D57815-91ED-43cb-92C2-25804820EDAC}">
                  <c15:fullRef>
                    <c15:sqref>'Grafik Gehalte'!$AG$2:$AG$32</c15:sqref>
                  </c15:fullRef>
                </c:ext>
              </c:extLst>
              <c:f>'Grafik Gehalte'!$AG$12:$AG$20</c:f>
              <c:numCache>
                <c:formatCode>0.00</c:formatCode>
                <c:ptCount val="9"/>
              </c:numCache>
            </c:numRef>
          </c:val>
          <c:smooth val="0"/>
          <c:extLst>
            <c:ext xmlns:c16="http://schemas.microsoft.com/office/drawing/2014/chart" uri="{C3380CC4-5D6E-409C-BE32-E72D297353CC}">
              <c16:uniqueId val="{0000001D-6721-4198-BFD3-1D40841D2C70}"/>
            </c:ext>
          </c:extLst>
        </c:ser>
        <c:dLbls>
          <c:showLegendKey val="0"/>
          <c:showVal val="0"/>
          <c:showCatName val="0"/>
          <c:showSerName val="0"/>
          <c:showPercent val="0"/>
          <c:showBubbleSize val="0"/>
        </c:dLbls>
        <c:smooth val="0"/>
        <c:axId val="1308278703"/>
        <c:axId val="1308264559"/>
        <c:extLst>
          <c:ext xmlns:c15="http://schemas.microsoft.com/office/drawing/2012/chart" uri="{02D57815-91ED-43cb-92C2-25804820EDAC}">
            <c15:filteredLineSeries>
              <c15:ser>
                <c:idx val="11"/>
                <c:order val="11"/>
                <c:tx>
                  <c:strRef>
                    <c:extLst>
                      <c:ext uri="{02D57815-91ED-43cb-92C2-25804820EDAC}">
                        <c15:formulaRef>
                          <c15:sqref>'Grafik Gehalte'!$O$1</c15:sqref>
                        </c15:formulaRef>
                      </c:ext>
                    </c:extLst>
                    <c:strCache>
                      <c:ptCount val="1"/>
                      <c:pt idx="0">
                        <c:v>n-PFBS </c:v>
                      </c:pt>
                    </c:strCache>
                  </c:strRef>
                </c:tx>
                <c:spPr>
                  <a:ln w="28575" cap="rnd">
                    <a:solidFill>
                      <a:schemeClr val="accent6">
                        <a:lumMod val="60000"/>
                      </a:schemeClr>
                    </a:solidFill>
                    <a:round/>
                  </a:ln>
                  <a:effectLst/>
                </c:spPr>
                <c:marker>
                  <c:symbol val="none"/>
                </c:marker>
                <c:cat>
                  <c:multiLvlStrRef>
                    <c:extLst>
                      <c:ext uri="{02D57815-91ED-43cb-92C2-25804820EDAC}">
                        <c15:fullRef>
                          <c15:sqref>'Grafik Gehalte'!$B$2:$C$32</c15:sqref>
                        </c15:fullRef>
                        <c15:formulaRef>
                          <c15:sqref>'Grafik Gehalte'!$B$12:$C$20</c15:sqref>
                        </c15:formulaRef>
                      </c:ext>
                    </c:extLst>
                    <c:multiLvlStrCache>
                      <c:ptCount val="9"/>
                      <c:lvl>
                        <c:pt idx="0">
                          <c:v>1</c:v>
                        </c:pt>
                        <c:pt idx="1">
                          <c:v>5</c:v>
                        </c:pt>
                        <c:pt idx="2">
                          <c:v>17</c:v>
                        </c:pt>
                        <c:pt idx="3">
                          <c:v>38</c:v>
                        </c:pt>
                        <c:pt idx="4">
                          <c:v>57</c:v>
                        </c:pt>
                        <c:pt idx="5">
                          <c:v>61</c:v>
                        </c:pt>
                        <c:pt idx="6">
                          <c:v>73</c:v>
                        </c:pt>
                        <c:pt idx="7">
                          <c:v>101</c:v>
                        </c:pt>
                        <c:pt idx="8">
                          <c:v>136</c:v>
                        </c:pt>
                      </c:lvl>
                      <c:lvl>
                        <c:pt idx="0">
                          <c:v>Serum</c:v>
                        </c:pt>
                      </c:lvl>
                    </c:multiLvlStrCache>
                  </c:multiLvlStrRef>
                </c:cat>
                <c:val>
                  <c:numRef>
                    <c:extLst>
                      <c:ext uri="{02D57815-91ED-43cb-92C2-25804820EDAC}">
                        <c15:fullRef>
                          <c15:sqref>'Grafik Gehalte'!$O$2:$O$32</c15:sqref>
                        </c15:fullRef>
                        <c15:formulaRef>
                          <c15:sqref>'Grafik Gehalte'!$O$12:$O$20</c15:sqref>
                        </c15:formulaRef>
                      </c:ext>
                    </c:extLst>
                    <c:numCache>
                      <c:formatCode>0.00</c:formatCode>
                      <c:ptCount val="9"/>
                    </c:numCache>
                  </c:numRef>
                </c:val>
                <c:smooth val="0"/>
                <c:extLst>
                  <c:ext xmlns:c16="http://schemas.microsoft.com/office/drawing/2014/chart" uri="{C3380CC4-5D6E-409C-BE32-E72D297353CC}">
                    <c16:uniqueId val="{0000000B-6721-4198-BFD3-1D40841D2C70}"/>
                  </c:ext>
                </c:extLst>
              </c15:ser>
            </c15:filteredLineSeries>
            <c15:filteredLineSeries>
              <c15:ser>
                <c:idx val="12"/>
                <c:order val="12"/>
                <c:tx>
                  <c:strRef>
                    <c:extLst xmlns:c15="http://schemas.microsoft.com/office/drawing/2012/chart">
                      <c:ext xmlns:c15="http://schemas.microsoft.com/office/drawing/2012/chart" uri="{02D57815-91ED-43cb-92C2-25804820EDAC}">
                        <c15:formulaRef>
                          <c15:sqref>'Grafik Gehalte'!$P$1</c15:sqref>
                        </c15:formulaRef>
                      </c:ext>
                    </c:extLst>
                    <c:strCache>
                      <c:ptCount val="1"/>
                      <c:pt idx="0">
                        <c:v>n-PFPeS </c:v>
                      </c:pt>
                    </c:strCache>
                  </c:strRef>
                </c:tx>
                <c:spPr>
                  <a:ln w="28575" cap="rnd">
                    <a:solidFill>
                      <a:schemeClr val="accent1">
                        <a:lumMod val="80000"/>
                        <a:lumOff val="20000"/>
                      </a:schemeClr>
                    </a:solidFill>
                    <a:round/>
                  </a:ln>
                  <a:effectLst/>
                </c:spPr>
                <c:marker>
                  <c:symbol val="none"/>
                </c:marker>
                <c:cat>
                  <c:multiLvlStrRef>
                    <c:extLst>
                      <c:ext xmlns:c15="http://schemas.microsoft.com/office/drawing/2012/chart" uri="{02D57815-91ED-43cb-92C2-25804820EDAC}">
                        <c15:fullRef>
                          <c15:sqref>'Grafik Gehalte'!$B$2:$C$32</c15:sqref>
                        </c15:fullRef>
                        <c15:formulaRef>
                          <c15:sqref>'Grafik Gehalte'!$B$12:$C$20</c15:sqref>
                        </c15:formulaRef>
                      </c:ext>
                    </c:extLst>
                    <c:multiLvlStrCache>
                      <c:ptCount val="9"/>
                      <c:lvl>
                        <c:pt idx="0">
                          <c:v>1</c:v>
                        </c:pt>
                        <c:pt idx="1">
                          <c:v>5</c:v>
                        </c:pt>
                        <c:pt idx="2">
                          <c:v>17</c:v>
                        </c:pt>
                        <c:pt idx="3">
                          <c:v>38</c:v>
                        </c:pt>
                        <c:pt idx="4">
                          <c:v>57</c:v>
                        </c:pt>
                        <c:pt idx="5">
                          <c:v>61</c:v>
                        </c:pt>
                        <c:pt idx="6">
                          <c:v>73</c:v>
                        </c:pt>
                        <c:pt idx="7">
                          <c:v>101</c:v>
                        </c:pt>
                        <c:pt idx="8">
                          <c:v>136</c:v>
                        </c:pt>
                      </c:lvl>
                      <c:lvl>
                        <c:pt idx="0">
                          <c:v>Serum</c:v>
                        </c:pt>
                      </c:lvl>
                    </c:multiLvlStrCache>
                  </c:multiLvlStrRef>
                </c:cat>
                <c:val>
                  <c:numRef>
                    <c:extLst>
                      <c:ext xmlns:c15="http://schemas.microsoft.com/office/drawing/2012/chart" uri="{02D57815-91ED-43cb-92C2-25804820EDAC}">
                        <c15:fullRef>
                          <c15:sqref>'Grafik Gehalte'!$P$2:$P$32</c15:sqref>
                        </c15:fullRef>
                        <c15:formulaRef>
                          <c15:sqref>'Grafik Gehalte'!$P$12:$P$20</c15:sqref>
                        </c15:formulaRef>
                      </c:ext>
                    </c:extLst>
                    <c:numCache>
                      <c:formatCode>0.00</c:formatCode>
                      <c:ptCount val="9"/>
                    </c:numCache>
                  </c:numRef>
                </c:val>
                <c:smooth val="0"/>
                <c:extLst xmlns:c15="http://schemas.microsoft.com/office/drawing/2012/chart">
                  <c:ext xmlns:c16="http://schemas.microsoft.com/office/drawing/2014/chart" uri="{C3380CC4-5D6E-409C-BE32-E72D297353CC}">
                    <c16:uniqueId val="{0000000C-6721-4198-BFD3-1D40841D2C70}"/>
                  </c:ext>
                </c:extLst>
              </c15:ser>
            </c15:filteredLineSeries>
            <c15:filteredLineSeries>
              <c15:ser>
                <c:idx val="13"/>
                <c:order val="13"/>
                <c:tx>
                  <c:strRef>
                    <c:extLst xmlns:c15="http://schemas.microsoft.com/office/drawing/2012/chart">
                      <c:ext xmlns:c15="http://schemas.microsoft.com/office/drawing/2012/chart" uri="{02D57815-91ED-43cb-92C2-25804820EDAC}">
                        <c15:formulaRef>
                          <c15:sqref>'Grafik Gehalte'!$Q$1</c15:sqref>
                        </c15:formulaRef>
                      </c:ext>
                    </c:extLst>
                    <c:strCache>
                      <c:ptCount val="1"/>
                      <c:pt idx="0">
                        <c:v>n-PFHxS </c:v>
                      </c:pt>
                    </c:strCache>
                  </c:strRef>
                </c:tx>
                <c:spPr>
                  <a:ln w="28575" cap="rnd">
                    <a:solidFill>
                      <a:schemeClr val="accent2">
                        <a:lumMod val="80000"/>
                        <a:lumOff val="20000"/>
                      </a:schemeClr>
                    </a:solidFill>
                    <a:round/>
                  </a:ln>
                  <a:effectLst/>
                </c:spPr>
                <c:marker>
                  <c:symbol val="none"/>
                </c:marker>
                <c:cat>
                  <c:multiLvlStrRef>
                    <c:extLst>
                      <c:ext xmlns:c15="http://schemas.microsoft.com/office/drawing/2012/chart" uri="{02D57815-91ED-43cb-92C2-25804820EDAC}">
                        <c15:fullRef>
                          <c15:sqref>'Grafik Gehalte'!$B$2:$C$32</c15:sqref>
                        </c15:fullRef>
                        <c15:formulaRef>
                          <c15:sqref>'Grafik Gehalte'!$B$12:$C$20</c15:sqref>
                        </c15:formulaRef>
                      </c:ext>
                    </c:extLst>
                    <c:multiLvlStrCache>
                      <c:ptCount val="9"/>
                      <c:lvl>
                        <c:pt idx="0">
                          <c:v>1</c:v>
                        </c:pt>
                        <c:pt idx="1">
                          <c:v>5</c:v>
                        </c:pt>
                        <c:pt idx="2">
                          <c:v>17</c:v>
                        </c:pt>
                        <c:pt idx="3">
                          <c:v>38</c:v>
                        </c:pt>
                        <c:pt idx="4">
                          <c:v>57</c:v>
                        </c:pt>
                        <c:pt idx="5">
                          <c:v>61</c:v>
                        </c:pt>
                        <c:pt idx="6">
                          <c:v>73</c:v>
                        </c:pt>
                        <c:pt idx="7">
                          <c:v>101</c:v>
                        </c:pt>
                        <c:pt idx="8">
                          <c:v>136</c:v>
                        </c:pt>
                      </c:lvl>
                      <c:lvl>
                        <c:pt idx="0">
                          <c:v>Serum</c:v>
                        </c:pt>
                      </c:lvl>
                    </c:multiLvlStrCache>
                  </c:multiLvlStrRef>
                </c:cat>
                <c:val>
                  <c:numRef>
                    <c:extLst>
                      <c:ext xmlns:c15="http://schemas.microsoft.com/office/drawing/2012/chart" uri="{02D57815-91ED-43cb-92C2-25804820EDAC}">
                        <c15:fullRef>
                          <c15:sqref>'Grafik Gehalte'!$Q$2:$Q$32</c15:sqref>
                        </c15:fullRef>
                        <c15:formulaRef>
                          <c15:sqref>'Grafik Gehalte'!$Q$12:$Q$20</c15:sqref>
                        </c15:formulaRef>
                      </c:ext>
                    </c:extLst>
                    <c:numCache>
                      <c:formatCode>0.00</c:formatCode>
                      <c:ptCount val="9"/>
                      <c:pt idx="1">
                        <c:v>0.54200000000000004</c:v>
                      </c:pt>
                      <c:pt idx="2">
                        <c:v>2.4933333333333332</c:v>
                      </c:pt>
                      <c:pt idx="3">
                        <c:v>5.253333333333333</c:v>
                      </c:pt>
                      <c:pt idx="4">
                        <c:v>3.8833333333333329</c:v>
                      </c:pt>
                      <c:pt idx="5">
                        <c:v>2.5033333333333334</c:v>
                      </c:pt>
                      <c:pt idx="6">
                        <c:v>0.995</c:v>
                      </c:pt>
                    </c:numCache>
                  </c:numRef>
                </c:val>
                <c:smooth val="0"/>
                <c:extLst xmlns:c15="http://schemas.microsoft.com/office/drawing/2012/chart">
                  <c:ext xmlns:c16="http://schemas.microsoft.com/office/drawing/2014/chart" uri="{C3380CC4-5D6E-409C-BE32-E72D297353CC}">
                    <c16:uniqueId val="{0000000D-6721-4198-BFD3-1D40841D2C70}"/>
                  </c:ext>
                </c:extLst>
              </c15:ser>
            </c15:filteredLineSeries>
            <c15:filteredLineSeries>
              <c15:ser>
                <c:idx val="14"/>
                <c:order val="14"/>
                <c:tx>
                  <c:strRef>
                    <c:extLst xmlns:c15="http://schemas.microsoft.com/office/drawing/2012/chart">
                      <c:ext xmlns:c15="http://schemas.microsoft.com/office/drawing/2012/chart" uri="{02D57815-91ED-43cb-92C2-25804820EDAC}">
                        <c15:formulaRef>
                          <c15:sqref>'Grafik Gehalte'!$R$1</c15:sqref>
                        </c15:formulaRef>
                      </c:ext>
                    </c:extLst>
                    <c:strCache>
                      <c:ptCount val="1"/>
                      <c:pt idx="0">
                        <c:v>n-PFHpS </c:v>
                      </c:pt>
                    </c:strCache>
                  </c:strRef>
                </c:tx>
                <c:spPr>
                  <a:ln w="28575" cap="rnd">
                    <a:solidFill>
                      <a:schemeClr val="accent3">
                        <a:lumMod val="80000"/>
                        <a:lumOff val="20000"/>
                      </a:schemeClr>
                    </a:solidFill>
                    <a:round/>
                  </a:ln>
                  <a:effectLst/>
                </c:spPr>
                <c:marker>
                  <c:symbol val="none"/>
                </c:marker>
                <c:cat>
                  <c:multiLvlStrRef>
                    <c:extLst>
                      <c:ext xmlns:c15="http://schemas.microsoft.com/office/drawing/2012/chart" uri="{02D57815-91ED-43cb-92C2-25804820EDAC}">
                        <c15:fullRef>
                          <c15:sqref>'Grafik Gehalte'!$B$2:$C$32</c15:sqref>
                        </c15:fullRef>
                        <c15:formulaRef>
                          <c15:sqref>'Grafik Gehalte'!$B$12:$C$20</c15:sqref>
                        </c15:formulaRef>
                      </c:ext>
                    </c:extLst>
                    <c:multiLvlStrCache>
                      <c:ptCount val="9"/>
                      <c:lvl>
                        <c:pt idx="0">
                          <c:v>1</c:v>
                        </c:pt>
                        <c:pt idx="1">
                          <c:v>5</c:v>
                        </c:pt>
                        <c:pt idx="2">
                          <c:v>17</c:v>
                        </c:pt>
                        <c:pt idx="3">
                          <c:v>38</c:v>
                        </c:pt>
                        <c:pt idx="4">
                          <c:v>57</c:v>
                        </c:pt>
                        <c:pt idx="5">
                          <c:v>61</c:v>
                        </c:pt>
                        <c:pt idx="6">
                          <c:v>73</c:v>
                        </c:pt>
                        <c:pt idx="7">
                          <c:v>101</c:v>
                        </c:pt>
                        <c:pt idx="8">
                          <c:v>136</c:v>
                        </c:pt>
                      </c:lvl>
                      <c:lvl>
                        <c:pt idx="0">
                          <c:v>Serum</c:v>
                        </c:pt>
                      </c:lvl>
                    </c:multiLvlStrCache>
                  </c:multiLvlStrRef>
                </c:cat>
                <c:val>
                  <c:numRef>
                    <c:extLst>
                      <c:ext xmlns:c15="http://schemas.microsoft.com/office/drawing/2012/chart" uri="{02D57815-91ED-43cb-92C2-25804820EDAC}">
                        <c15:fullRef>
                          <c15:sqref>'Grafik Gehalte'!$R$2:$R$32</c15:sqref>
                        </c15:fullRef>
                        <c15:formulaRef>
                          <c15:sqref>'Grafik Gehalte'!$R$12:$R$20</c15:sqref>
                        </c15:formulaRef>
                      </c:ext>
                    </c:extLst>
                    <c:numCache>
                      <c:formatCode>0.00</c:formatCode>
                      <c:ptCount val="9"/>
                      <c:pt idx="2">
                        <c:v>1.0976666666666668</c:v>
                      </c:pt>
                      <c:pt idx="3">
                        <c:v>4.703333333333334</c:v>
                      </c:pt>
                      <c:pt idx="4">
                        <c:v>5.6866666666666674</c:v>
                      </c:pt>
                      <c:pt idx="5">
                        <c:v>4.5066666666666668</c:v>
                      </c:pt>
                      <c:pt idx="6">
                        <c:v>2.523333333333333</c:v>
                      </c:pt>
                      <c:pt idx="7">
                        <c:v>0.85499999999999998</c:v>
                      </c:pt>
                    </c:numCache>
                  </c:numRef>
                </c:val>
                <c:smooth val="0"/>
                <c:extLst xmlns:c15="http://schemas.microsoft.com/office/drawing/2012/chart">
                  <c:ext xmlns:c16="http://schemas.microsoft.com/office/drawing/2014/chart" uri="{C3380CC4-5D6E-409C-BE32-E72D297353CC}">
                    <c16:uniqueId val="{0000000E-6721-4198-BFD3-1D40841D2C70}"/>
                  </c:ext>
                </c:extLst>
              </c15:ser>
            </c15:filteredLineSeries>
            <c15:filteredLineSeries>
              <c15:ser>
                <c:idx val="15"/>
                <c:order val="15"/>
                <c:tx>
                  <c:strRef>
                    <c:extLst xmlns:c15="http://schemas.microsoft.com/office/drawing/2012/chart">
                      <c:ext xmlns:c15="http://schemas.microsoft.com/office/drawing/2012/chart" uri="{02D57815-91ED-43cb-92C2-25804820EDAC}">
                        <c15:formulaRef>
                          <c15:sqref>'Grafik Gehalte'!$S$1</c15:sqref>
                        </c15:formulaRef>
                      </c:ext>
                    </c:extLst>
                    <c:strCache>
                      <c:ptCount val="1"/>
                      <c:pt idx="0">
                        <c:v>n-PFOS </c:v>
                      </c:pt>
                    </c:strCache>
                  </c:strRef>
                </c:tx>
                <c:spPr>
                  <a:ln w="28575" cap="rnd">
                    <a:solidFill>
                      <a:schemeClr val="accent4">
                        <a:lumMod val="80000"/>
                        <a:lumOff val="20000"/>
                      </a:schemeClr>
                    </a:solidFill>
                    <a:round/>
                  </a:ln>
                  <a:effectLst/>
                </c:spPr>
                <c:marker>
                  <c:symbol val="none"/>
                </c:marker>
                <c:cat>
                  <c:multiLvlStrRef>
                    <c:extLst>
                      <c:ext xmlns:c15="http://schemas.microsoft.com/office/drawing/2012/chart" uri="{02D57815-91ED-43cb-92C2-25804820EDAC}">
                        <c15:fullRef>
                          <c15:sqref>'Grafik Gehalte'!$B$2:$C$32</c15:sqref>
                        </c15:fullRef>
                        <c15:formulaRef>
                          <c15:sqref>'Grafik Gehalte'!$B$12:$C$20</c15:sqref>
                        </c15:formulaRef>
                      </c:ext>
                    </c:extLst>
                    <c:multiLvlStrCache>
                      <c:ptCount val="9"/>
                      <c:lvl>
                        <c:pt idx="0">
                          <c:v>1</c:v>
                        </c:pt>
                        <c:pt idx="1">
                          <c:v>5</c:v>
                        </c:pt>
                        <c:pt idx="2">
                          <c:v>17</c:v>
                        </c:pt>
                        <c:pt idx="3">
                          <c:v>38</c:v>
                        </c:pt>
                        <c:pt idx="4">
                          <c:v>57</c:v>
                        </c:pt>
                        <c:pt idx="5">
                          <c:v>61</c:v>
                        </c:pt>
                        <c:pt idx="6">
                          <c:v>73</c:v>
                        </c:pt>
                        <c:pt idx="7">
                          <c:v>101</c:v>
                        </c:pt>
                        <c:pt idx="8">
                          <c:v>136</c:v>
                        </c:pt>
                      </c:lvl>
                      <c:lvl>
                        <c:pt idx="0">
                          <c:v>Serum</c:v>
                        </c:pt>
                      </c:lvl>
                    </c:multiLvlStrCache>
                  </c:multiLvlStrRef>
                </c:cat>
                <c:val>
                  <c:numRef>
                    <c:extLst>
                      <c:ext xmlns:c15="http://schemas.microsoft.com/office/drawing/2012/chart" uri="{02D57815-91ED-43cb-92C2-25804820EDAC}">
                        <c15:fullRef>
                          <c15:sqref>'Grafik Gehalte'!$S$2:$S$32</c15:sqref>
                        </c15:fullRef>
                        <c15:formulaRef>
                          <c15:sqref>'Grafik Gehalte'!$S$12:$S$20</c15:sqref>
                        </c15:formulaRef>
                      </c:ext>
                    </c:extLst>
                    <c:numCache>
                      <c:formatCode>0.00</c:formatCode>
                      <c:ptCount val="9"/>
                      <c:pt idx="1">
                        <c:v>5.5333333333333341</c:v>
                      </c:pt>
                      <c:pt idx="2">
                        <c:v>101.43333333333334</c:v>
                      </c:pt>
                      <c:pt idx="3">
                        <c:v>273.33333333333331</c:v>
                      </c:pt>
                      <c:pt idx="4">
                        <c:v>378.66666666666669</c:v>
                      </c:pt>
                      <c:pt idx="5">
                        <c:v>239.33333333333334</c:v>
                      </c:pt>
                      <c:pt idx="6">
                        <c:v>214</c:v>
                      </c:pt>
                      <c:pt idx="7">
                        <c:v>96.066666666666677</c:v>
                      </c:pt>
                      <c:pt idx="8">
                        <c:v>45.199999999999996</c:v>
                      </c:pt>
                    </c:numCache>
                  </c:numRef>
                </c:val>
                <c:smooth val="0"/>
                <c:extLst xmlns:c15="http://schemas.microsoft.com/office/drawing/2012/chart">
                  <c:ext xmlns:c16="http://schemas.microsoft.com/office/drawing/2014/chart" uri="{C3380CC4-5D6E-409C-BE32-E72D297353CC}">
                    <c16:uniqueId val="{0000000F-6721-4198-BFD3-1D40841D2C70}"/>
                  </c:ext>
                </c:extLst>
              </c15:ser>
            </c15:filteredLineSeries>
            <c15:filteredLineSeries>
              <c15:ser>
                <c:idx val="16"/>
                <c:order val="16"/>
                <c:tx>
                  <c:strRef>
                    <c:extLst xmlns:c15="http://schemas.microsoft.com/office/drawing/2012/chart">
                      <c:ext xmlns:c15="http://schemas.microsoft.com/office/drawing/2012/chart" uri="{02D57815-91ED-43cb-92C2-25804820EDAC}">
                        <c15:formulaRef>
                          <c15:sqref>'Grafik Gehalte'!$T$1</c15:sqref>
                        </c15:formulaRef>
                      </c:ext>
                    </c:extLst>
                    <c:strCache>
                      <c:ptCount val="1"/>
                      <c:pt idx="0">
                        <c:v>n-PFNS </c:v>
                      </c:pt>
                    </c:strCache>
                  </c:strRef>
                </c:tx>
                <c:spPr>
                  <a:ln w="28575" cap="rnd">
                    <a:solidFill>
                      <a:schemeClr val="accent5">
                        <a:lumMod val="80000"/>
                        <a:lumOff val="20000"/>
                      </a:schemeClr>
                    </a:solidFill>
                    <a:round/>
                  </a:ln>
                  <a:effectLst/>
                </c:spPr>
                <c:marker>
                  <c:symbol val="none"/>
                </c:marker>
                <c:cat>
                  <c:multiLvlStrRef>
                    <c:extLst>
                      <c:ext xmlns:c15="http://schemas.microsoft.com/office/drawing/2012/chart" uri="{02D57815-91ED-43cb-92C2-25804820EDAC}">
                        <c15:fullRef>
                          <c15:sqref>'Grafik Gehalte'!$B$2:$C$32</c15:sqref>
                        </c15:fullRef>
                        <c15:formulaRef>
                          <c15:sqref>'Grafik Gehalte'!$B$12:$C$20</c15:sqref>
                        </c15:formulaRef>
                      </c:ext>
                    </c:extLst>
                    <c:multiLvlStrCache>
                      <c:ptCount val="9"/>
                      <c:lvl>
                        <c:pt idx="0">
                          <c:v>1</c:v>
                        </c:pt>
                        <c:pt idx="1">
                          <c:v>5</c:v>
                        </c:pt>
                        <c:pt idx="2">
                          <c:v>17</c:v>
                        </c:pt>
                        <c:pt idx="3">
                          <c:v>38</c:v>
                        </c:pt>
                        <c:pt idx="4">
                          <c:v>57</c:v>
                        </c:pt>
                        <c:pt idx="5">
                          <c:v>61</c:v>
                        </c:pt>
                        <c:pt idx="6">
                          <c:v>73</c:v>
                        </c:pt>
                        <c:pt idx="7">
                          <c:v>101</c:v>
                        </c:pt>
                        <c:pt idx="8">
                          <c:v>136</c:v>
                        </c:pt>
                      </c:lvl>
                      <c:lvl>
                        <c:pt idx="0">
                          <c:v>Serum</c:v>
                        </c:pt>
                      </c:lvl>
                    </c:multiLvlStrCache>
                  </c:multiLvlStrRef>
                </c:cat>
                <c:val>
                  <c:numRef>
                    <c:extLst>
                      <c:ext xmlns:c15="http://schemas.microsoft.com/office/drawing/2012/chart" uri="{02D57815-91ED-43cb-92C2-25804820EDAC}">
                        <c15:fullRef>
                          <c15:sqref>'Grafik Gehalte'!$T$2:$T$32</c15:sqref>
                        </c15:fullRef>
                        <c15:formulaRef>
                          <c15:sqref>'Grafik Gehalte'!$T$12:$T$20</c15:sqref>
                        </c15:formulaRef>
                      </c:ext>
                    </c:extLst>
                    <c:numCache>
                      <c:formatCode>0.00</c:formatCode>
                      <c:ptCount val="9"/>
                      <c:pt idx="1">
                        <c:v>2.1700000000000004</c:v>
                      </c:pt>
                      <c:pt idx="2">
                        <c:v>41.033333333333331</c:v>
                      </c:pt>
                      <c:pt idx="3">
                        <c:v>96.333333333333329</c:v>
                      </c:pt>
                      <c:pt idx="4">
                        <c:v>70.333333333333329</c:v>
                      </c:pt>
                      <c:pt idx="5">
                        <c:v>148</c:v>
                      </c:pt>
                      <c:pt idx="6">
                        <c:v>80.86666666666666</c:v>
                      </c:pt>
                      <c:pt idx="7">
                        <c:v>24.366666666666671</c:v>
                      </c:pt>
                      <c:pt idx="8">
                        <c:v>5.5466666666666669</c:v>
                      </c:pt>
                    </c:numCache>
                  </c:numRef>
                </c:val>
                <c:smooth val="0"/>
                <c:extLst xmlns:c15="http://schemas.microsoft.com/office/drawing/2012/chart">
                  <c:ext xmlns:c16="http://schemas.microsoft.com/office/drawing/2014/chart" uri="{C3380CC4-5D6E-409C-BE32-E72D297353CC}">
                    <c16:uniqueId val="{00000010-6721-4198-BFD3-1D40841D2C70}"/>
                  </c:ext>
                </c:extLst>
              </c15:ser>
            </c15:filteredLineSeries>
            <c15:filteredLineSeries>
              <c15:ser>
                <c:idx val="17"/>
                <c:order val="17"/>
                <c:tx>
                  <c:strRef>
                    <c:extLst xmlns:c15="http://schemas.microsoft.com/office/drawing/2012/chart">
                      <c:ext xmlns:c15="http://schemas.microsoft.com/office/drawing/2012/chart" uri="{02D57815-91ED-43cb-92C2-25804820EDAC}">
                        <c15:formulaRef>
                          <c15:sqref>'Grafik Gehalte'!$U$1</c15:sqref>
                        </c15:formulaRef>
                      </c:ext>
                    </c:extLst>
                    <c:strCache>
                      <c:ptCount val="1"/>
                      <c:pt idx="0">
                        <c:v>n-PFDS </c:v>
                      </c:pt>
                    </c:strCache>
                  </c:strRef>
                </c:tx>
                <c:spPr>
                  <a:ln w="28575" cap="rnd">
                    <a:solidFill>
                      <a:schemeClr val="accent6">
                        <a:lumMod val="80000"/>
                        <a:lumOff val="20000"/>
                      </a:schemeClr>
                    </a:solidFill>
                    <a:round/>
                  </a:ln>
                  <a:effectLst/>
                </c:spPr>
                <c:marker>
                  <c:symbol val="none"/>
                </c:marker>
                <c:cat>
                  <c:multiLvlStrRef>
                    <c:extLst>
                      <c:ext xmlns:c15="http://schemas.microsoft.com/office/drawing/2012/chart" uri="{02D57815-91ED-43cb-92C2-25804820EDAC}">
                        <c15:fullRef>
                          <c15:sqref>'Grafik Gehalte'!$B$2:$C$32</c15:sqref>
                        </c15:fullRef>
                        <c15:formulaRef>
                          <c15:sqref>'Grafik Gehalte'!$B$12:$C$20</c15:sqref>
                        </c15:formulaRef>
                      </c:ext>
                    </c:extLst>
                    <c:multiLvlStrCache>
                      <c:ptCount val="9"/>
                      <c:lvl>
                        <c:pt idx="0">
                          <c:v>1</c:v>
                        </c:pt>
                        <c:pt idx="1">
                          <c:v>5</c:v>
                        </c:pt>
                        <c:pt idx="2">
                          <c:v>17</c:v>
                        </c:pt>
                        <c:pt idx="3">
                          <c:v>38</c:v>
                        </c:pt>
                        <c:pt idx="4">
                          <c:v>57</c:v>
                        </c:pt>
                        <c:pt idx="5">
                          <c:v>61</c:v>
                        </c:pt>
                        <c:pt idx="6">
                          <c:v>73</c:v>
                        </c:pt>
                        <c:pt idx="7">
                          <c:v>101</c:v>
                        </c:pt>
                        <c:pt idx="8">
                          <c:v>136</c:v>
                        </c:pt>
                      </c:lvl>
                      <c:lvl>
                        <c:pt idx="0">
                          <c:v>Serum</c:v>
                        </c:pt>
                      </c:lvl>
                    </c:multiLvlStrCache>
                  </c:multiLvlStrRef>
                </c:cat>
                <c:val>
                  <c:numRef>
                    <c:extLst>
                      <c:ext xmlns:c15="http://schemas.microsoft.com/office/drawing/2012/chart" uri="{02D57815-91ED-43cb-92C2-25804820EDAC}">
                        <c15:fullRef>
                          <c15:sqref>'Grafik Gehalte'!$U$2:$U$32</c15:sqref>
                        </c15:fullRef>
                        <c15:formulaRef>
                          <c15:sqref>'Grafik Gehalte'!$U$12:$U$20</c15:sqref>
                        </c15:formulaRef>
                      </c:ext>
                    </c:extLst>
                    <c:numCache>
                      <c:formatCode>0.00</c:formatCode>
                      <c:ptCount val="9"/>
                      <c:pt idx="1">
                        <c:v>2.1233333333333335</c:v>
                      </c:pt>
                      <c:pt idx="2">
                        <c:v>33.9</c:v>
                      </c:pt>
                      <c:pt idx="3">
                        <c:v>90.166666666666671</c:v>
                      </c:pt>
                      <c:pt idx="4">
                        <c:v>43.566666666666663</c:v>
                      </c:pt>
                      <c:pt idx="5">
                        <c:v>57.966666666666669</c:v>
                      </c:pt>
                      <c:pt idx="6">
                        <c:v>45.199999999999996</c:v>
                      </c:pt>
                      <c:pt idx="7">
                        <c:v>8.5033333333333321</c:v>
                      </c:pt>
                      <c:pt idx="8">
                        <c:v>1.0745</c:v>
                      </c:pt>
                    </c:numCache>
                  </c:numRef>
                </c:val>
                <c:smooth val="0"/>
                <c:extLst xmlns:c15="http://schemas.microsoft.com/office/drawing/2012/chart">
                  <c:ext xmlns:c16="http://schemas.microsoft.com/office/drawing/2014/chart" uri="{C3380CC4-5D6E-409C-BE32-E72D297353CC}">
                    <c16:uniqueId val="{00000011-6721-4198-BFD3-1D40841D2C70}"/>
                  </c:ext>
                </c:extLst>
              </c15:ser>
            </c15:filteredLineSeries>
            <c15:filteredLineSeries>
              <c15:ser>
                <c:idx val="18"/>
                <c:order val="18"/>
                <c:tx>
                  <c:strRef>
                    <c:extLst xmlns:c15="http://schemas.microsoft.com/office/drawing/2012/chart">
                      <c:ext xmlns:c15="http://schemas.microsoft.com/office/drawing/2012/chart" uri="{02D57815-91ED-43cb-92C2-25804820EDAC}">
                        <c15:formulaRef>
                          <c15:sqref>'Grafik Gehalte'!$V$1</c15:sqref>
                        </c15:formulaRef>
                      </c:ext>
                    </c:extLst>
                    <c:strCache>
                      <c:ptCount val="1"/>
                      <c:pt idx="0">
                        <c:v>n-PFUnDS </c:v>
                      </c:pt>
                    </c:strCache>
                  </c:strRef>
                </c:tx>
                <c:spPr>
                  <a:ln w="28575" cap="rnd">
                    <a:solidFill>
                      <a:schemeClr val="accent1">
                        <a:lumMod val="80000"/>
                      </a:schemeClr>
                    </a:solidFill>
                    <a:round/>
                  </a:ln>
                  <a:effectLst/>
                </c:spPr>
                <c:marker>
                  <c:symbol val="none"/>
                </c:marker>
                <c:cat>
                  <c:multiLvlStrRef>
                    <c:extLst>
                      <c:ext xmlns:c15="http://schemas.microsoft.com/office/drawing/2012/chart" uri="{02D57815-91ED-43cb-92C2-25804820EDAC}">
                        <c15:fullRef>
                          <c15:sqref>'Grafik Gehalte'!$B$2:$C$32</c15:sqref>
                        </c15:fullRef>
                        <c15:formulaRef>
                          <c15:sqref>'Grafik Gehalte'!$B$12:$C$20</c15:sqref>
                        </c15:formulaRef>
                      </c:ext>
                    </c:extLst>
                    <c:multiLvlStrCache>
                      <c:ptCount val="9"/>
                      <c:lvl>
                        <c:pt idx="0">
                          <c:v>1</c:v>
                        </c:pt>
                        <c:pt idx="1">
                          <c:v>5</c:v>
                        </c:pt>
                        <c:pt idx="2">
                          <c:v>17</c:v>
                        </c:pt>
                        <c:pt idx="3">
                          <c:v>38</c:v>
                        </c:pt>
                        <c:pt idx="4">
                          <c:v>57</c:v>
                        </c:pt>
                        <c:pt idx="5">
                          <c:v>61</c:v>
                        </c:pt>
                        <c:pt idx="6">
                          <c:v>73</c:v>
                        </c:pt>
                        <c:pt idx="7">
                          <c:v>101</c:v>
                        </c:pt>
                        <c:pt idx="8">
                          <c:v>136</c:v>
                        </c:pt>
                      </c:lvl>
                      <c:lvl>
                        <c:pt idx="0">
                          <c:v>Serum</c:v>
                        </c:pt>
                      </c:lvl>
                    </c:multiLvlStrCache>
                  </c:multiLvlStrRef>
                </c:cat>
                <c:val>
                  <c:numRef>
                    <c:extLst>
                      <c:ext xmlns:c15="http://schemas.microsoft.com/office/drawing/2012/chart" uri="{02D57815-91ED-43cb-92C2-25804820EDAC}">
                        <c15:fullRef>
                          <c15:sqref>'Grafik Gehalte'!$V$2:$V$32</c15:sqref>
                        </c15:fullRef>
                        <c15:formulaRef>
                          <c15:sqref>'Grafik Gehalte'!$V$12:$V$20</c15:sqref>
                        </c15:formulaRef>
                      </c:ext>
                    </c:extLst>
                    <c:numCache>
                      <c:formatCode>0.00</c:formatCode>
                      <c:ptCount val="9"/>
                      <c:pt idx="2">
                        <c:v>2.0100000000000002</c:v>
                      </c:pt>
                      <c:pt idx="3">
                        <c:v>2.6799999999999997</c:v>
                      </c:pt>
                      <c:pt idx="4">
                        <c:v>3.0399999999999996</c:v>
                      </c:pt>
                      <c:pt idx="5">
                        <c:v>1.8766666666666667</c:v>
                      </c:pt>
                      <c:pt idx="6">
                        <c:v>1.2435</c:v>
                      </c:pt>
                    </c:numCache>
                  </c:numRef>
                </c:val>
                <c:smooth val="0"/>
                <c:extLst xmlns:c15="http://schemas.microsoft.com/office/drawing/2012/chart">
                  <c:ext xmlns:c16="http://schemas.microsoft.com/office/drawing/2014/chart" uri="{C3380CC4-5D6E-409C-BE32-E72D297353CC}">
                    <c16:uniqueId val="{00000012-6721-4198-BFD3-1D40841D2C70}"/>
                  </c:ext>
                </c:extLst>
              </c15:ser>
            </c15:filteredLineSeries>
            <c15:filteredLineSeries>
              <c15:ser>
                <c:idx val="19"/>
                <c:order val="19"/>
                <c:tx>
                  <c:strRef>
                    <c:extLst xmlns:c15="http://schemas.microsoft.com/office/drawing/2012/chart">
                      <c:ext xmlns:c15="http://schemas.microsoft.com/office/drawing/2012/chart" uri="{02D57815-91ED-43cb-92C2-25804820EDAC}">
                        <c15:formulaRef>
                          <c15:sqref>'Grafik Gehalte'!$W$1</c15:sqref>
                        </c15:formulaRef>
                      </c:ext>
                    </c:extLst>
                    <c:strCache>
                      <c:ptCount val="1"/>
                      <c:pt idx="0">
                        <c:v>n-PFDoDS </c:v>
                      </c:pt>
                    </c:strCache>
                  </c:strRef>
                </c:tx>
                <c:spPr>
                  <a:ln w="28575" cap="rnd">
                    <a:solidFill>
                      <a:schemeClr val="accent2">
                        <a:lumMod val="80000"/>
                      </a:schemeClr>
                    </a:solidFill>
                    <a:round/>
                  </a:ln>
                  <a:effectLst/>
                </c:spPr>
                <c:marker>
                  <c:symbol val="none"/>
                </c:marker>
                <c:cat>
                  <c:multiLvlStrRef>
                    <c:extLst>
                      <c:ext xmlns:c15="http://schemas.microsoft.com/office/drawing/2012/chart" uri="{02D57815-91ED-43cb-92C2-25804820EDAC}">
                        <c15:fullRef>
                          <c15:sqref>'Grafik Gehalte'!$B$2:$C$32</c15:sqref>
                        </c15:fullRef>
                        <c15:formulaRef>
                          <c15:sqref>'Grafik Gehalte'!$B$12:$C$20</c15:sqref>
                        </c15:formulaRef>
                      </c:ext>
                    </c:extLst>
                    <c:multiLvlStrCache>
                      <c:ptCount val="9"/>
                      <c:lvl>
                        <c:pt idx="0">
                          <c:v>1</c:v>
                        </c:pt>
                        <c:pt idx="1">
                          <c:v>5</c:v>
                        </c:pt>
                        <c:pt idx="2">
                          <c:v>17</c:v>
                        </c:pt>
                        <c:pt idx="3">
                          <c:v>38</c:v>
                        </c:pt>
                        <c:pt idx="4">
                          <c:v>57</c:v>
                        </c:pt>
                        <c:pt idx="5">
                          <c:v>61</c:v>
                        </c:pt>
                        <c:pt idx="6">
                          <c:v>73</c:v>
                        </c:pt>
                        <c:pt idx="7">
                          <c:v>101</c:v>
                        </c:pt>
                        <c:pt idx="8">
                          <c:v>136</c:v>
                        </c:pt>
                      </c:lvl>
                      <c:lvl>
                        <c:pt idx="0">
                          <c:v>Serum</c:v>
                        </c:pt>
                      </c:lvl>
                    </c:multiLvlStrCache>
                  </c:multiLvlStrRef>
                </c:cat>
                <c:val>
                  <c:numRef>
                    <c:extLst>
                      <c:ext xmlns:c15="http://schemas.microsoft.com/office/drawing/2012/chart" uri="{02D57815-91ED-43cb-92C2-25804820EDAC}">
                        <c15:fullRef>
                          <c15:sqref>'Grafik Gehalte'!$W$2:$W$32</c15:sqref>
                        </c15:fullRef>
                        <c15:formulaRef>
                          <c15:sqref>'Grafik Gehalte'!$W$12:$W$20</c15:sqref>
                        </c15:formulaRef>
                      </c:ext>
                    </c:extLst>
                    <c:numCache>
                      <c:formatCode>0.00</c:formatCode>
                      <c:ptCount val="9"/>
                      <c:pt idx="2">
                        <c:v>0.90800000000000003</c:v>
                      </c:pt>
                      <c:pt idx="3">
                        <c:v>1.2023333333333335</c:v>
                      </c:pt>
                      <c:pt idx="4">
                        <c:v>1.4333333333333333</c:v>
                      </c:pt>
                      <c:pt idx="5">
                        <c:v>0.87133333333333329</c:v>
                      </c:pt>
                      <c:pt idx="6">
                        <c:v>0.51</c:v>
                      </c:pt>
                    </c:numCache>
                  </c:numRef>
                </c:val>
                <c:smooth val="0"/>
                <c:extLst xmlns:c15="http://schemas.microsoft.com/office/drawing/2012/chart">
                  <c:ext xmlns:c16="http://schemas.microsoft.com/office/drawing/2014/chart" uri="{C3380CC4-5D6E-409C-BE32-E72D297353CC}">
                    <c16:uniqueId val="{00000013-6721-4198-BFD3-1D40841D2C70}"/>
                  </c:ext>
                </c:extLst>
              </c15:ser>
            </c15:filteredLineSeries>
            <c15:filteredLineSeries>
              <c15:ser>
                <c:idx val="20"/>
                <c:order val="20"/>
                <c:tx>
                  <c:strRef>
                    <c:extLst xmlns:c15="http://schemas.microsoft.com/office/drawing/2012/chart">
                      <c:ext xmlns:c15="http://schemas.microsoft.com/office/drawing/2012/chart" uri="{02D57815-91ED-43cb-92C2-25804820EDAC}">
                        <c15:formulaRef>
                          <c15:sqref>'Grafik Gehalte'!$X$1</c15:sqref>
                        </c15:formulaRef>
                      </c:ext>
                    </c:extLst>
                    <c:strCache>
                      <c:ptCount val="1"/>
                      <c:pt idx="0">
                        <c:v>n-PFTrDS </c:v>
                      </c:pt>
                    </c:strCache>
                  </c:strRef>
                </c:tx>
                <c:spPr>
                  <a:ln w="28575" cap="rnd">
                    <a:solidFill>
                      <a:schemeClr val="accent3">
                        <a:lumMod val="80000"/>
                      </a:schemeClr>
                    </a:solidFill>
                    <a:round/>
                  </a:ln>
                  <a:effectLst/>
                </c:spPr>
                <c:marker>
                  <c:symbol val="none"/>
                </c:marker>
                <c:cat>
                  <c:multiLvlStrRef>
                    <c:extLst>
                      <c:ext xmlns:c15="http://schemas.microsoft.com/office/drawing/2012/chart" uri="{02D57815-91ED-43cb-92C2-25804820EDAC}">
                        <c15:fullRef>
                          <c15:sqref>'Grafik Gehalte'!$B$2:$C$32</c15:sqref>
                        </c15:fullRef>
                        <c15:formulaRef>
                          <c15:sqref>'Grafik Gehalte'!$B$12:$C$20</c15:sqref>
                        </c15:formulaRef>
                      </c:ext>
                    </c:extLst>
                    <c:multiLvlStrCache>
                      <c:ptCount val="9"/>
                      <c:lvl>
                        <c:pt idx="0">
                          <c:v>1</c:v>
                        </c:pt>
                        <c:pt idx="1">
                          <c:v>5</c:v>
                        </c:pt>
                        <c:pt idx="2">
                          <c:v>17</c:v>
                        </c:pt>
                        <c:pt idx="3">
                          <c:v>38</c:v>
                        </c:pt>
                        <c:pt idx="4">
                          <c:v>57</c:v>
                        </c:pt>
                        <c:pt idx="5">
                          <c:v>61</c:v>
                        </c:pt>
                        <c:pt idx="6">
                          <c:v>73</c:v>
                        </c:pt>
                        <c:pt idx="7">
                          <c:v>101</c:v>
                        </c:pt>
                        <c:pt idx="8">
                          <c:v>136</c:v>
                        </c:pt>
                      </c:lvl>
                      <c:lvl>
                        <c:pt idx="0">
                          <c:v>Serum</c:v>
                        </c:pt>
                      </c:lvl>
                    </c:multiLvlStrCache>
                  </c:multiLvlStrRef>
                </c:cat>
                <c:val>
                  <c:numRef>
                    <c:extLst>
                      <c:ext xmlns:c15="http://schemas.microsoft.com/office/drawing/2012/chart" uri="{02D57815-91ED-43cb-92C2-25804820EDAC}">
                        <c15:fullRef>
                          <c15:sqref>'Grafik Gehalte'!$X$2:$X$32</c15:sqref>
                        </c15:fullRef>
                        <c15:formulaRef>
                          <c15:sqref>'Grafik Gehalte'!$X$12:$X$20</c15:sqref>
                        </c15:formulaRef>
                      </c:ext>
                    </c:extLst>
                    <c:numCache>
                      <c:formatCode>0.00</c:formatCode>
                      <c:ptCount val="9"/>
                    </c:numCache>
                  </c:numRef>
                </c:val>
                <c:smooth val="0"/>
                <c:extLst xmlns:c15="http://schemas.microsoft.com/office/drawing/2012/chart">
                  <c:ext xmlns:c16="http://schemas.microsoft.com/office/drawing/2014/chart" uri="{C3380CC4-5D6E-409C-BE32-E72D297353CC}">
                    <c16:uniqueId val="{00000014-6721-4198-BFD3-1D40841D2C70}"/>
                  </c:ext>
                </c:extLst>
              </c15:ser>
            </c15:filteredLineSeries>
            <c15:filteredLineSeries>
              <c15:ser>
                <c:idx val="30"/>
                <c:order val="30"/>
                <c:tx>
                  <c:strRef>
                    <c:extLst xmlns:c15="http://schemas.microsoft.com/office/drawing/2012/chart">
                      <c:ext xmlns:c15="http://schemas.microsoft.com/office/drawing/2012/chart" uri="{02D57815-91ED-43cb-92C2-25804820EDAC}">
                        <c15:formulaRef>
                          <c15:sqref>'Grafik Gehalte'!$AH$1</c15:sqref>
                        </c15:formulaRef>
                      </c:ext>
                    </c:extLst>
                    <c:strCache>
                      <c:ptCount val="1"/>
                      <c:pt idx="0">
                        <c:v>br-PFHxS</c:v>
                      </c:pt>
                    </c:strCache>
                  </c:strRef>
                </c:tx>
                <c:spPr>
                  <a:ln w="28575" cap="rnd">
                    <a:solidFill>
                      <a:schemeClr val="accent1">
                        <a:lumMod val="50000"/>
                      </a:schemeClr>
                    </a:solidFill>
                    <a:round/>
                  </a:ln>
                  <a:effectLst/>
                </c:spPr>
                <c:marker>
                  <c:symbol val="none"/>
                </c:marker>
                <c:cat>
                  <c:multiLvlStrRef>
                    <c:extLst>
                      <c:ext xmlns:c15="http://schemas.microsoft.com/office/drawing/2012/chart" uri="{02D57815-91ED-43cb-92C2-25804820EDAC}">
                        <c15:fullRef>
                          <c15:sqref>'Grafik Gehalte'!$B$2:$C$32</c15:sqref>
                        </c15:fullRef>
                        <c15:formulaRef>
                          <c15:sqref>'Grafik Gehalte'!$B$12:$C$20</c15:sqref>
                        </c15:formulaRef>
                      </c:ext>
                    </c:extLst>
                    <c:multiLvlStrCache>
                      <c:ptCount val="9"/>
                      <c:lvl>
                        <c:pt idx="0">
                          <c:v>1</c:v>
                        </c:pt>
                        <c:pt idx="1">
                          <c:v>5</c:v>
                        </c:pt>
                        <c:pt idx="2">
                          <c:v>17</c:v>
                        </c:pt>
                        <c:pt idx="3">
                          <c:v>38</c:v>
                        </c:pt>
                        <c:pt idx="4">
                          <c:v>57</c:v>
                        </c:pt>
                        <c:pt idx="5">
                          <c:v>61</c:v>
                        </c:pt>
                        <c:pt idx="6">
                          <c:v>73</c:v>
                        </c:pt>
                        <c:pt idx="7">
                          <c:v>101</c:v>
                        </c:pt>
                        <c:pt idx="8">
                          <c:v>136</c:v>
                        </c:pt>
                      </c:lvl>
                      <c:lvl>
                        <c:pt idx="0">
                          <c:v>Serum</c:v>
                        </c:pt>
                      </c:lvl>
                    </c:multiLvlStrCache>
                  </c:multiLvlStrRef>
                </c:cat>
                <c:val>
                  <c:numRef>
                    <c:extLst>
                      <c:ext xmlns:c15="http://schemas.microsoft.com/office/drawing/2012/chart" uri="{02D57815-91ED-43cb-92C2-25804820EDAC}">
                        <c15:fullRef>
                          <c15:sqref>'Grafik Gehalte'!$AH$2:$AH$32</c15:sqref>
                        </c15:fullRef>
                        <c15:formulaRef>
                          <c15:sqref>'Grafik Gehalte'!$AH$12:$AH$20</c15:sqref>
                        </c15:formulaRef>
                      </c:ext>
                    </c:extLst>
                    <c:numCache>
                      <c:formatCode>0.00</c:formatCode>
                      <c:ptCount val="9"/>
                    </c:numCache>
                  </c:numRef>
                </c:val>
                <c:smooth val="0"/>
                <c:extLst xmlns:c15="http://schemas.microsoft.com/office/drawing/2012/chart">
                  <c:ext xmlns:c16="http://schemas.microsoft.com/office/drawing/2014/chart" uri="{C3380CC4-5D6E-409C-BE32-E72D297353CC}">
                    <c16:uniqueId val="{0000001E-6721-4198-BFD3-1D40841D2C70}"/>
                  </c:ext>
                </c:extLst>
              </c15:ser>
            </c15:filteredLineSeries>
            <c15:filteredLineSeries>
              <c15:ser>
                <c:idx val="31"/>
                <c:order val="31"/>
                <c:tx>
                  <c:strRef>
                    <c:extLst xmlns:c15="http://schemas.microsoft.com/office/drawing/2012/chart">
                      <c:ext xmlns:c15="http://schemas.microsoft.com/office/drawing/2012/chart" uri="{02D57815-91ED-43cb-92C2-25804820EDAC}">
                        <c15:formulaRef>
                          <c15:sqref>'Grafik Gehalte'!$AI$1</c15:sqref>
                        </c15:formulaRef>
                      </c:ext>
                    </c:extLst>
                    <c:strCache>
                      <c:ptCount val="1"/>
                      <c:pt idx="0">
                        <c:v>br-PFHpS</c:v>
                      </c:pt>
                    </c:strCache>
                  </c:strRef>
                </c:tx>
                <c:spPr>
                  <a:ln w="28575" cap="rnd">
                    <a:solidFill>
                      <a:schemeClr val="accent2">
                        <a:lumMod val="50000"/>
                      </a:schemeClr>
                    </a:solidFill>
                    <a:round/>
                  </a:ln>
                  <a:effectLst/>
                </c:spPr>
                <c:marker>
                  <c:symbol val="none"/>
                </c:marker>
                <c:cat>
                  <c:multiLvlStrRef>
                    <c:extLst>
                      <c:ext xmlns:c15="http://schemas.microsoft.com/office/drawing/2012/chart" uri="{02D57815-91ED-43cb-92C2-25804820EDAC}">
                        <c15:fullRef>
                          <c15:sqref>'Grafik Gehalte'!$B$2:$C$32</c15:sqref>
                        </c15:fullRef>
                        <c15:formulaRef>
                          <c15:sqref>'Grafik Gehalte'!$B$12:$C$20</c15:sqref>
                        </c15:formulaRef>
                      </c:ext>
                    </c:extLst>
                    <c:multiLvlStrCache>
                      <c:ptCount val="9"/>
                      <c:lvl>
                        <c:pt idx="0">
                          <c:v>1</c:v>
                        </c:pt>
                        <c:pt idx="1">
                          <c:v>5</c:v>
                        </c:pt>
                        <c:pt idx="2">
                          <c:v>17</c:v>
                        </c:pt>
                        <c:pt idx="3">
                          <c:v>38</c:v>
                        </c:pt>
                        <c:pt idx="4">
                          <c:v>57</c:v>
                        </c:pt>
                        <c:pt idx="5">
                          <c:v>61</c:v>
                        </c:pt>
                        <c:pt idx="6">
                          <c:v>73</c:v>
                        </c:pt>
                        <c:pt idx="7">
                          <c:v>101</c:v>
                        </c:pt>
                        <c:pt idx="8">
                          <c:v>136</c:v>
                        </c:pt>
                      </c:lvl>
                      <c:lvl>
                        <c:pt idx="0">
                          <c:v>Serum</c:v>
                        </c:pt>
                      </c:lvl>
                    </c:multiLvlStrCache>
                  </c:multiLvlStrRef>
                </c:cat>
                <c:val>
                  <c:numRef>
                    <c:extLst>
                      <c:ext xmlns:c15="http://schemas.microsoft.com/office/drawing/2012/chart" uri="{02D57815-91ED-43cb-92C2-25804820EDAC}">
                        <c15:fullRef>
                          <c15:sqref>'Grafik Gehalte'!$AI$2:$AI$32</c15:sqref>
                        </c15:fullRef>
                        <c15:formulaRef>
                          <c15:sqref>'Grafik Gehalte'!$AI$12:$AI$20</c15:sqref>
                        </c15:formulaRef>
                      </c:ext>
                    </c:extLst>
                    <c:numCache>
                      <c:formatCode>0.00</c:formatCode>
                      <c:ptCount val="9"/>
                      <c:pt idx="3">
                        <c:v>0.59366666666666668</c:v>
                      </c:pt>
                      <c:pt idx="4">
                        <c:v>0.65450000000000008</c:v>
                      </c:pt>
                      <c:pt idx="5">
                        <c:v>0.58899999999999997</c:v>
                      </c:pt>
                    </c:numCache>
                  </c:numRef>
                </c:val>
                <c:smooth val="0"/>
                <c:extLst xmlns:c15="http://schemas.microsoft.com/office/drawing/2012/chart">
                  <c:ext xmlns:c16="http://schemas.microsoft.com/office/drawing/2014/chart" uri="{C3380CC4-5D6E-409C-BE32-E72D297353CC}">
                    <c16:uniqueId val="{00000020-6721-4198-BFD3-1D40841D2C70}"/>
                  </c:ext>
                </c:extLst>
              </c15:ser>
            </c15:filteredLineSeries>
            <c15:filteredLineSeries>
              <c15:ser>
                <c:idx val="32"/>
                <c:order val="32"/>
                <c:tx>
                  <c:strRef>
                    <c:extLst xmlns:c15="http://schemas.microsoft.com/office/drawing/2012/chart">
                      <c:ext xmlns:c15="http://schemas.microsoft.com/office/drawing/2012/chart" uri="{02D57815-91ED-43cb-92C2-25804820EDAC}">
                        <c15:formulaRef>
                          <c15:sqref>'Grafik Gehalte'!$AJ$1</c15:sqref>
                        </c15:formulaRef>
                      </c:ext>
                    </c:extLst>
                    <c:strCache>
                      <c:ptCount val="1"/>
                      <c:pt idx="0">
                        <c:v>br-PFOS </c:v>
                      </c:pt>
                    </c:strCache>
                  </c:strRef>
                </c:tx>
                <c:spPr>
                  <a:ln w="28575" cap="rnd">
                    <a:solidFill>
                      <a:schemeClr val="accent3">
                        <a:lumMod val="50000"/>
                      </a:schemeClr>
                    </a:solidFill>
                    <a:round/>
                  </a:ln>
                  <a:effectLst/>
                </c:spPr>
                <c:marker>
                  <c:symbol val="none"/>
                </c:marker>
                <c:cat>
                  <c:multiLvlStrRef>
                    <c:extLst>
                      <c:ext xmlns:c15="http://schemas.microsoft.com/office/drawing/2012/chart" uri="{02D57815-91ED-43cb-92C2-25804820EDAC}">
                        <c15:fullRef>
                          <c15:sqref>'Grafik Gehalte'!$B$2:$C$32</c15:sqref>
                        </c15:fullRef>
                        <c15:formulaRef>
                          <c15:sqref>'Grafik Gehalte'!$B$12:$C$20</c15:sqref>
                        </c15:formulaRef>
                      </c:ext>
                    </c:extLst>
                    <c:multiLvlStrCache>
                      <c:ptCount val="9"/>
                      <c:lvl>
                        <c:pt idx="0">
                          <c:v>1</c:v>
                        </c:pt>
                        <c:pt idx="1">
                          <c:v>5</c:v>
                        </c:pt>
                        <c:pt idx="2">
                          <c:v>17</c:v>
                        </c:pt>
                        <c:pt idx="3">
                          <c:v>38</c:v>
                        </c:pt>
                        <c:pt idx="4">
                          <c:v>57</c:v>
                        </c:pt>
                        <c:pt idx="5">
                          <c:v>61</c:v>
                        </c:pt>
                        <c:pt idx="6">
                          <c:v>73</c:v>
                        </c:pt>
                        <c:pt idx="7">
                          <c:v>101</c:v>
                        </c:pt>
                        <c:pt idx="8">
                          <c:v>136</c:v>
                        </c:pt>
                      </c:lvl>
                      <c:lvl>
                        <c:pt idx="0">
                          <c:v>Serum</c:v>
                        </c:pt>
                      </c:lvl>
                    </c:multiLvlStrCache>
                  </c:multiLvlStrRef>
                </c:cat>
                <c:val>
                  <c:numRef>
                    <c:extLst>
                      <c:ext xmlns:c15="http://schemas.microsoft.com/office/drawing/2012/chart" uri="{02D57815-91ED-43cb-92C2-25804820EDAC}">
                        <c15:fullRef>
                          <c15:sqref>'Grafik Gehalte'!$AJ$2:$AJ$32</c15:sqref>
                        </c15:fullRef>
                        <c15:formulaRef>
                          <c15:sqref>'Grafik Gehalte'!$AJ$12:$AJ$20</c15:sqref>
                        </c15:formulaRef>
                      </c:ext>
                    </c:extLst>
                    <c:numCache>
                      <c:formatCode>0.00</c:formatCode>
                      <c:ptCount val="9"/>
                      <c:pt idx="1">
                        <c:v>1.7433333333333334</c:v>
                      </c:pt>
                      <c:pt idx="2">
                        <c:v>18.333333333333332</c:v>
                      </c:pt>
                      <c:pt idx="3">
                        <c:v>62.633333333333333</c:v>
                      </c:pt>
                      <c:pt idx="4">
                        <c:v>85.333333333333329</c:v>
                      </c:pt>
                      <c:pt idx="5">
                        <c:v>72.233333333333334</c:v>
                      </c:pt>
                      <c:pt idx="6">
                        <c:v>64.600000000000009</c:v>
                      </c:pt>
                      <c:pt idx="7">
                        <c:v>30.7</c:v>
                      </c:pt>
                      <c:pt idx="8">
                        <c:v>11.4</c:v>
                      </c:pt>
                    </c:numCache>
                  </c:numRef>
                </c:val>
                <c:smooth val="0"/>
                <c:extLst xmlns:c15="http://schemas.microsoft.com/office/drawing/2012/chart">
                  <c:ext xmlns:c16="http://schemas.microsoft.com/office/drawing/2014/chart" uri="{C3380CC4-5D6E-409C-BE32-E72D297353CC}">
                    <c16:uniqueId val="{00000021-6721-4198-BFD3-1D40841D2C70}"/>
                  </c:ext>
                </c:extLst>
              </c15:ser>
            </c15:filteredLineSeries>
            <c15:filteredLineSeries>
              <c15:ser>
                <c:idx val="33"/>
                <c:order val="33"/>
                <c:tx>
                  <c:strRef>
                    <c:extLst xmlns:c15="http://schemas.microsoft.com/office/drawing/2012/chart">
                      <c:ext xmlns:c15="http://schemas.microsoft.com/office/drawing/2012/chart" uri="{02D57815-91ED-43cb-92C2-25804820EDAC}">
                        <c15:formulaRef>
                          <c15:sqref>'Grafik Gehalte'!$AK$1</c15:sqref>
                        </c15:formulaRef>
                      </c:ext>
                    </c:extLst>
                    <c:strCache>
                      <c:ptCount val="1"/>
                      <c:pt idx="0">
                        <c:v>br-PFNS </c:v>
                      </c:pt>
                    </c:strCache>
                  </c:strRef>
                </c:tx>
                <c:spPr>
                  <a:ln w="28575" cap="rnd">
                    <a:solidFill>
                      <a:schemeClr val="accent4">
                        <a:lumMod val="50000"/>
                      </a:schemeClr>
                    </a:solidFill>
                    <a:round/>
                  </a:ln>
                  <a:effectLst/>
                </c:spPr>
                <c:marker>
                  <c:symbol val="none"/>
                </c:marker>
                <c:cat>
                  <c:multiLvlStrRef>
                    <c:extLst>
                      <c:ext xmlns:c15="http://schemas.microsoft.com/office/drawing/2012/chart" uri="{02D57815-91ED-43cb-92C2-25804820EDAC}">
                        <c15:fullRef>
                          <c15:sqref>'Grafik Gehalte'!$B$2:$C$32</c15:sqref>
                        </c15:fullRef>
                        <c15:formulaRef>
                          <c15:sqref>'Grafik Gehalte'!$B$12:$C$20</c15:sqref>
                        </c15:formulaRef>
                      </c:ext>
                    </c:extLst>
                    <c:multiLvlStrCache>
                      <c:ptCount val="9"/>
                      <c:lvl>
                        <c:pt idx="0">
                          <c:v>1</c:v>
                        </c:pt>
                        <c:pt idx="1">
                          <c:v>5</c:v>
                        </c:pt>
                        <c:pt idx="2">
                          <c:v>17</c:v>
                        </c:pt>
                        <c:pt idx="3">
                          <c:v>38</c:v>
                        </c:pt>
                        <c:pt idx="4">
                          <c:v>57</c:v>
                        </c:pt>
                        <c:pt idx="5">
                          <c:v>61</c:v>
                        </c:pt>
                        <c:pt idx="6">
                          <c:v>73</c:v>
                        </c:pt>
                        <c:pt idx="7">
                          <c:v>101</c:v>
                        </c:pt>
                        <c:pt idx="8">
                          <c:v>136</c:v>
                        </c:pt>
                      </c:lvl>
                      <c:lvl>
                        <c:pt idx="0">
                          <c:v>Serum</c:v>
                        </c:pt>
                      </c:lvl>
                    </c:multiLvlStrCache>
                  </c:multiLvlStrRef>
                </c:cat>
                <c:val>
                  <c:numRef>
                    <c:extLst>
                      <c:ext xmlns:c15="http://schemas.microsoft.com/office/drawing/2012/chart" uri="{02D57815-91ED-43cb-92C2-25804820EDAC}">
                        <c15:fullRef>
                          <c15:sqref>'Grafik Gehalte'!$AK$2:$AK$32</c15:sqref>
                        </c15:fullRef>
                        <c15:formulaRef>
                          <c15:sqref>'Grafik Gehalte'!$AK$12:$AK$20</c15:sqref>
                        </c15:formulaRef>
                      </c:ext>
                    </c:extLst>
                    <c:numCache>
                      <c:formatCode>0.00</c:formatCode>
                      <c:ptCount val="9"/>
                      <c:pt idx="1">
                        <c:v>5.03</c:v>
                      </c:pt>
                      <c:pt idx="2">
                        <c:v>146.83333333333334</c:v>
                      </c:pt>
                      <c:pt idx="3">
                        <c:v>292.66666666666669</c:v>
                      </c:pt>
                      <c:pt idx="4">
                        <c:v>542</c:v>
                      </c:pt>
                      <c:pt idx="5">
                        <c:v>456.66666666666669</c:v>
                      </c:pt>
                      <c:pt idx="6">
                        <c:v>202</c:v>
                      </c:pt>
                      <c:pt idx="7">
                        <c:v>118</c:v>
                      </c:pt>
                      <c:pt idx="8">
                        <c:v>52.966666666666661</c:v>
                      </c:pt>
                    </c:numCache>
                  </c:numRef>
                </c:val>
                <c:smooth val="0"/>
                <c:extLst xmlns:c15="http://schemas.microsoft.com/office/drawing/2012/chart">
                  <c:ext xmlns:c16="http://schemas.microsoft.com/office/drawing/2014/chart" uri="{C3380CC4-5D6E-409C-BE32-E72D297353CC}">
                    <c16:uniqueId val="{00000022-6721-4198-BFD3-1D40841D2C70}"/>
                  </c:ext>
                </c:extLst>
              </c15:ser>
            </c15:filteredLineSeries>
            <c15:filteredLineSeries>
              <c15:ser>
                <c:idx val="34"/>
                <c:order val="34"/>
                <c:tx>
                  <c:strRef>
                    <c:extLst xmlns:c15="http://schemas.microsoft.com/office/drawing/2012/chart">
                      <c:ext xmlns:c15="http://schemas.microsoft.com/office/drawing/2012/chart" uri="{02D57815-91ED-43cb-92C2-25804820EDAC}">
                        <c15:formulaRef>
                          <c15:sqref>'Grafik Gehalte'!$AL$1</c15:sqref>
                        </c15:formulaRef>
                      </c:ext>
                    </c:extLst>
                    <c:strCache>
                      <c:ptCount val="1"/>
                      <c:pt idx="0">
                        <c:v>br-PFDS </c:v>
                      </c:pt>
                    </c:strCache>
                  </c:strRef>
                </c:tx>
                <c:spPr>
                  <a:ln w="28575" cap="rnd">
                    <a:solidFill>
                      <a:schemeClr val="accent5">
                        <a:lumMod val="50000"/>
                      </a:schemeClr>
                    </a:solidFill>
                    <a:round/>
                  </a:ln>
                  <a:effectLst/>
                </c:spPr>
                <c:marker>
                  <c:symbol val="none"/>
                </c:marker>
                <c:cat>
                  <c:multiLvlStrRef>
                    <c:extLst>
                      <c:ext xmlns:c15="http://schemas.microsoft.com/office/drawing/2012/chart" uri="{02D57815-91ED-43cb-92C2-25804820EDAC}">
                        <c15:fullRef>
                          <c15:sqref>'Grafik Gehalte'!$B$2:$C$32</c15:sqref>
                        </c15:fullRef>
                        <c15:formulaRef>
                          <c15:sqref>'Grafik Gehalte'!$B$12:$C$20</c15:sqref>
                        </c15:formulaRef>
                      </c:ext>
                    </c:extLst>
                    <c:multiLvlStrCache>
                      <c:ptCount val="9"/>
                      <c:lvl>
                        <c:pt idx="0">
                          <c:v>1</c:v>
                        </c:pt>
                        <c:pt idx="1">
                          <c:v>5</c:v>
                        </c:pt>
                        <c:pt idx="2">
                          <c:v>17</c:v>
                        </c:pt>
                        <c:pt idx="3">
                          <c:v>38</c:v>
                        </c:pt>
                        <c:pt idx="4">
                          <c:v>57</c:v>
                        </c:pt>
                        <c:pt idx="5">
                          <c:v>61</c:v>
                        </c:pt>
                        <c:pt idx="6">
                          <c:v>73</c:v>
                        </c:pt>
                        <c:pt idx="7">
                          <c:v>101</c:v>
                        </c:pt>
                        <c:pt idx="8">
                          <c:v>136</c:v>
                        </c:pt>
                      </c:lvl>
                      <c:lvl>
                        <c:pt idx="0">
                          <c:v>Serum</c:v>
                        </c:pt>
                      </c:lvl>
                    </c:multiLvlStrCache>
                  </c:multiLvlStrRef>
                </c:cat>
                <c:val>
                  <c:numRef>
                    <c:extLst>
                      <c:ext xmlns:c15="http://schemas.microsoft.com/office/drawing/2012/chart" uri="{02D57815-91ED-43cb-92C2-25804820EDAC}">
                        <c15:fullRef>
                          <c15:sqref>'Grafik Gehalte'!$AL$2:$AL$32</c15:sqref>
                        </c15:fullRef>
                        <c15:formulaRef>
                          <c15:sqref>'Grafik Gehalte'!$AL$12:$AL$20</c15:sqref>
                        </c15:formulaRef>
                      </c:ext>
                    </c:extLst>
                    <c:numCache>
                      <c:formatCode>0.00</c:formatCode>
                      <c:ptCount val="9"/>
                      <c:pt idx="1">
                        <c:v>6.0466666666666669</c:v>
                      </c:pt>
                      <c:pt idx="2">
                        <c:v>121.46666666666665</c:v>
                      </c:pt>
                      <c:pt idx="3">
                        <c:v>205.66666666666666</c:v>
                      </c:pt>
                      <c:pt idx="4">
                        <c:v>351.33333333333331</c:v>
                      </c:pt>
                      <c:pt idx="5">
                        <c:v>277</c:v>
                      </c:pt>
                      <c:pt idx="6">
                        <c:v>129.6</c:v>
                      </c:pt>
                      <c:pt idx="7">
                        <c:v>28.2</c:v>
                      </c:pt>
                      <c:pt idx="8">
                        <c:v>7.0733333333333333</c:v>
                      </c:pt>
                    </c:numCache>
                  </c:numRef>
                </c:val>
                <c:smooth val="0"/>
                <c:extLst xmlns:c15="http://schemas.microsoft.com/office/drawing/2012/chart">
                  <c:ext xmlns:c16="http://schemas.microsoft.com/office/drawing/2014/chart" uri="{C3380CC4-5D6E-409C-BE32-E72D297353CC}">
                    <c16:uniqueId val="{00000023-6721-4198-BFD3-1D40841D2C70}"/>
                  </c:ext>
                </c:extLst>
              </c15:ser>
            </c15:filteredLineSeries>
            <c15:filteredLineSeries>
              <c15:ser>
                <c:idx val="35"/>
                <c:order val="35"/>
                <c:tx>
                  <c:strRef>
                    <c:extLst xmlns:c15="http://schemas.microsoft.com/office/drawing/2012/chart">
                      <c:ext xmlns:c15="http://schemas.microsoft.com/office/drawing/2012/chart" uri="{02D57815-91ED-43cb-92C2-25804820EDAC}">
                        <c15:formulaRef>
                          <c15:sqref>'Grafik Gehalte'!$AM$1</c15:sqref>
                        </c15:formulaRef>
                      </c:ext>
                    </c:extLst>
                    <c:strCache>
                      <c:ptCount val="1"/>
                      <c:pt idx="0">
                        <c:v>br-PFUnDS </c:v>
                      </c:pt>
                    </c:strCache>
                  </c:strRef>
                </c:tx>
                <c:spPr>
                  <a:ln w="28575" cap="rnd">
                    <a:solidFill>
                      <a:schemeClr val="accent6">
                        <a:lumMod val="50000"/>
                      </a:schemeClr>
                    </a:solidFill>
                    <a:round/>
                  </a:ln>
                  <a:effectLst/>
                </c:spPr>
                <c:marker>
                  <c:symbol val="none"/>
                </c:marker>
                <c:cat>
                  <c:multiLvlStrRef>
                    <c:extLst>
                      <c:ext xmlns:c15="http://schemas.microsoft.com/office/drawing/2012/chart" uri="{02D57815-91ED-43cb-92C2-25804820EDAC}">
                        <c15:fullRef>
                          <c15:sqref>'Grafik Gehalte'!$B$2:$C$32</c15:sqref>
                        </c15:fullRef>
                        <c15:formulaRef>
                          <c15:sqref>'Grafik Gehalte'!$B$12:$C$20</c15:sqref>
                        </c15:formulaRef>
                      </c:ext>
                    </c:extLst>
                    <c:multiLvlStrCache>
                      <c:ptCount val="9"/>
                      <c:lvl>
                        <c:pt idx="0">
                          <c:v>1</c:v>
                        </c:pt>
                        <c:pt idx="1">
                          <c:v>5</c:v>
                        </c:pt>
                        <c:pt idx="2">
                          <c:v>17</c:v>
                        </c:pt>
                        <c:pt idx="3">
                          <c:v>38</c:v>
                        </c:pt>
                        <c:pt idx="4">
                          <c:v>57</c:v>
                        </c:pt>
                        <c:pt idx="5">
                          <c:v>61</c:v>
                        </c:pt>
                        <c:pt idx="6">
                          <c:v>73</c:v>
                        </c:pt>
                        <c:pt idx="7">
                          <c:v>101</c:v>
                        </c:pt>
                        <c:pt idx="8">
                          <c:v>136</c:v>
                        </c:pt>
                      </c:lvl>
                      <c:lvl>
                        <c:pt idx="0">
                          <c:v>Serum</c:v>
                        </c:pt>
                      </c:lvl>
                    </c:multiLvlStrCache>
                  </c:multiLvlStrRef>
                </c:cat>
                <c:val>
                  <c:numRef>
                    <c:extLst>
                      <c:ext xmlns:c15="http://schemas.microsoft.com/office/drawing/2012/chart" uri="{02D57815-91ED-43cb-92C2-25804820EDAC}">
                        <c15:fullRef>
                          <c15:sqref>'Grafik Gehalte'!$AM$2:$AM$32</c15:sqref>
                        </c15:fullRef>
                        <c15:formulaRef>
                          <c15:sqref>'Grafik Gehalte'!$AM$12:$AM$20</c15:sqref>
                        </c15:formulaRef>
                      </c:ext>
                    </c:extLst>
                    <c:numCache>
                      <c:formatCode>0.00</c:formatCode>
                      <c:ptCount val="9"/>
                      <c:pt idx="1">
                        <c:v>3.0500000000000003</c:v>
                      </c:pt>
                      <c:pt idx="2">
                        <c:v>27.866666666666664</c:v>
                      </c:pt>
                      <c:pt idx="3">
                        <c:v>32.133333333333333</c:v>
                      </c:pt>
                      <c:pt idx="4">
                        <c:v>18.433333333333334</c:v>
                      </c:pt>
                      <c:pt idx="5">
                        <c:v>17.5</c:v>
                      </c:pt>
                      <c:pt idx="6">
                        <c:v>4.8733333333333331</c:v>
                      </c:pt>
                      <c:pt idx="7">
                        <c:v>1.39</c:v>
                      </c:pt>
                      <c:pt idx="8">
                        <c:v>0.81899999999999995</c:v>
                      </c:pt>
                    </c:numCache>
                  </c:numRef>
                </c:val>
                <c:smooth val="0"/>
                <c:extLst xmlns:c15="http://schemas.microsoft.com/office/drawing/2012/chart">
                  <c:ext xmlns:c16="http://schemas.microsoft.com/office/drawing/2014/chart" uri="{C3380CC4-5D6E-409C-BE32-E72D297353CC}">
                    <c16:uniqueId val="{00000024-6721-4198-BFD3-1D40841D2C70}"/>
                  </c:ext>
                </c:extLst>
              </c15:ser>
            </c15:filteredLineSeries>
            <c15:filteredLineSeries>
              <c15:ser>
                <c:idx val="36"/>
                <c:order val="36"/>
                <c:tx>
                  <c:strRef>
                    <c:extLst xmlns:c15="http://schemas.microsoft.com/office/drawing/2012/chart">
                      <c:ext xmlns:c15="http://schemas.microsoft.com/office/drawing/2012/chart" uri="{02D57815-91ED-43cb-92C2-25804820EDAC}">
                        <c15:formulaRef>
                          <c15:sqref>'Grafik Gehalte'!$AN$1</c15:sqref>
                        </c15:formulaRef>
                      </c:ext>
                    </c:extLst>
                    <c:strCache>
                      <c:ptCount val="1"/>
                      <c:pt idx="0">
                        <c:v>br-PFDoDS </c:v>
                      </c:pt>
                    </c:strCache>
                  </c:strRef>
                </c:tx>
                <c:spPr>
                  <a:ln w="28575" cap="rnd">
                    <a:solidFill>
                      <a:schemeClr val="accent1">
                        <a:lumMod val="70000"/>
                        <a:lumOff val="30000"/>
                      </a:schemeClr>
                    </a:solidFill>
                    <a:round/>
                  </a:ln>
                  <a:effectLst/>
                </c:spPr>
                <c:marker>
                  <c:symbol val="none"/>
                </c:marker>
                <c:cat>
                  <c:multiLvlStrRef>
                    <c:extLst>
                      <c:ext xmlns:c15="http://schemas.microsoft.com/office/drawing/2012/chart" uri="{02D57815-91ED-43cb-92C2-25804820EDAC}">
                        <c15:fullRef>
                          <c15:sqref>'Grafik Gehalte'!$B$2:$C$32</c15:sqref>
                        </c15:fullRef>
                        <c15:formulaRef>
                          <c15:sqref>'Grafik Gehalte'!$B$12:$C$20</c15:sqref>
                        </c15:formulaRef>
                      </c:ext>
                    </c:extLst>
                    <c:multiLvlStrCache>
                      <c:ptCount val="9"/>
                      <c:lvl>
                        <c:pt idx="0">
                          <c:v>1</c:v>
                        </c:pt>
                        <c:pt idx="1">
                          <c:v>5</c:v>
                        </c:pt>
                        <c:pt idx="2">
                          <c:v>17</c:v>
                        </c:pt>
                        <c:pt idx="3">
                          <c:v>38</c:v>
                        </c:pt>
                        <c:pt idx="4">
                          <c:v>57</c:v>
                        </c:pt>
                        <c:pt idx="5">
                          <c:v>61</c:v>
                        </c:pt>
                        <c:pt idx="6">
                          <c:v>73</c:v>
                        </c:pt>
                        <c:pt idx="7">
                          <c:v>101</c:v>
                        </c:pt>
                        <c:pt idx="8">
                          <c:v>136</c:v>
                        </c:pt>
                      </c:lvl>
                      <c:lvl>
                        <c:pt idx="0">
                          <c:v>Serum</c:v>
                        </c:pt>
                      </c:lvl>
                    </c:multiLvlStrCache>
                  </c:multiLvlStrRef>
                </c:cat>
                <c:val>
                  <c:numRef>
                    <c:extLst>
                      <c:ext xmlns:c15="http://schemas.microsoft.com/office/drawing/2012/chart" uri="{02D57815-91ED-43cb-92C2-25804820EDAC}">
                        <c15:fullRef>
                          <c15:sqref>'Grafik Gehalte'!$AN$2:$AN$32</c15:sqref>
                        </c15:fullRef>
                        <c15:formulaRef>
                          <c15:sqref>'Grafik Gehalte'!$AN$12:$AN$20</c15:sqref>
                        </c15:formulaRef>
                      </c:ext>
                    </c:extLst>
                    <c:numCache>
                      <c:formatCode>0.00</c:formatCode>
                      <c:ptCount val="9"/>
                      <c:pt idx="1">
                        <c:v>2.0099999999999998</c:v>
                      </c:pt>
                      <c:pt idx="2">
                        <c:v>11.506666666666666</c:v>
                      </c:pt>
                      <c:pt idx="3">
                        <c:v>7.7366666666666672</c:v>
                      </c:pt>
                      <c:pt idx="4">
                        <c:v>12.133333333333333</c:v>
                      </c:pt>
                      <c:pt idx="5">
                        <c:v>4.4466666666666663</c:v>
                      </c:pt>
                      <c:pt idx="6">
                        <c:v>0.77999999999999992</c:v>
                      </c:pt>
                    </c:numCache>
                  </c:numRef>
                </c:val>
                <c:smooth val="0"/>
                <c:extLst xmlns:c15="http://schemas.microsoft.com/office/drawing/2012/chart">
                  <c:ext xmlns:c16="http://schemas.microsoft.com/office/drawing/2014/chart" uri="{C3380CC4-5D6E-409C-BE32-E72D297353CC}">
                    <c16:uniqueId val="{00000025-6721-4198-BFD3-1D40841D2C70}"/>
                  </c:ext>
                </c:extLst>
              </c15:ser>
            </c15:filteredLineSeries>
            <c15:filteredLineSeries>
              <c15:ser>
                <c:idx val="37"/>
                <c:order val="37"/>
                <c:tx>
                  <c:strRef>
                    <c:extLst xmlns:c15="http://schemas.microsoft.com/office/drawing/2012/chart">
                      <c:ext xmlns:c15="http://schemas.microsoft.com/office/drawing/2012/chart" uri="{02D57815-91ED-43cb-92C2-25804820EDAC}">
                        <c15:formulaRef>
                          <c15:sqref>'Grafik Gehalte'!$AO$1</c15:sqref>
                        </c15:formulaRef>
                      </c:ext>
                    </c:extLst>
                    <c:strCache>
                      <c:ptCount val="1"/>
                      <c:pt idx="0">
                        <c:v>br-PFTrDS </c:v>
                      </c:pt>
                    </c:strCache>
                  </c:strRef>
                </c:tx>
                <c:spPr>
                  <a:ln w="28575" cap="rnd">
                    <a:solidFill>
                      <a:schemeClr val="accent2">
                        <a:lumMod val="70000"/>
                        <a:lumOff val="30000"/>
                      </a:schemeClr>
                    </a:solidFill>
                    <a:round/>
                  </a:ln>
                  <a:effectLst/>
                </c:spPr>
                <c:marker>
                  <c:symbol val="none"/>
                </c:marker>
                <c:cat>
                  <c:multiLvlStrRef>
                    <c:extLst>
                      <c:ext xmlns:c15="http://schemas.microsoft.com/office/drawing/2012/chart" uri="{02D57815-91ED-43cb-92C2-25804820EDAC}">
                        <c15:fullRef>
                          <c15:sqref>'Grafik Gehalte'!$B$2:$C$32</c15:sqref>
                        </c15:fullRef>
                        <c15:formulaRef>
                          <c15:sqref>'Grafik Gehalte'!$B$12:$C$20</c15:sqref>
                        </c15:formulaRef>
                      </c:ext>
                    </c:extLst>
                    <c:multiLvlStrCache>
                      <c:ptCount val="9"/>
                      <c:lvl>
                        <c:pt idx="0">
                          <c:v>1</c:v>
                        </c:pt>
                        <c:pt idx="1">
                          <c:v>5</c:v>
                        </c:pt>
                        <c:pt idx="2">
                          <c:v>17</c:v>
                        </c:pt>
                        <c:pt idx="3">
                          <c:v>38</c:v>
                        </c:pt>
                        <c:pt idx="4">
                          <c:v>57</c:v>
                        </c:pt>
                        <c:pt idx="5">
                          <c:v>61</c:v>
                        </c:pt>
                        <c:pt idx="6">
                          <c:v>73</c:v>
                        </c:pt>
                        <c:pt idx="7">
                          <c:v>101</c:v>
                        </c:pt>
                        <c:pt idx="8">
                          <c:v>136</c:v>
                        </c:pt>
                      </c:lvl>
                      <c:lvl>
                        <c:pt idx="0">
                          <c:v>Serum</c:v>
                        </c:pt>
                      </c:lvl>
                    </c:multiLvlStrCache>
                  </c:multiLvlStrRef>
                </c:cat>
                <c:val>
                  <c:numRef>
                    <c:extLst>
                      <c:ext xmlns:c15="http://schemas.microsoft.com/office/drawing/2012/chart" uri="{02D57815-91ED-43cb-92C2-25804820EDAC}">
                        <c15:fullRef>
                          <c15:sqref>'Grafik Gehalte'!$AO$2:$AO$32</c15:sqref>
                        </c15:fullRef>
                        <c15:formulaRef>
                          <c15:sqref>'Grafik Gehalte'!$AO$12:$AO$20</c15:sqref>
                        </c15:formulaRef>
                      </c:ext>
                    </c:extLst>
                    <c:numCache>
                      <c:formatCode>0.00</c:formatCode>
                      <c:ptCount val="9"/>
                      <c:pt idx="1">
                        <c:v>0.90049999999999997</c:v>
                      </c:pt>
                      <c:pt idx="2">
                        <c:v>6.7333333333333343</c:v>
                      </c:pt>
                      <c:pt idx="3">
                        <c:v>2.9066666666666663</c:v>
                      </c:pt>
                      <c:pt idx="4">
                        <c:v>3.3766666666666665</c:v>
                      </c:pt>
                      <c:pt idx="5">
                        <c:v>0.77766666666666673</c:v>
                      </c:pt>
                    </c:numCache>
                  </c:numRef>
                </c:val>
                <c:smooth val="0"/>
                <c:extLst xmlns:c15="http://schemas.microsoft.com/office/drawing/2012/chart">
                  <c:ext xmlns:c16="http://schemas.microsoft.com/office/drawing/2014/chart" uri="{C3380CC4-5D6E-409C-BE32-E72D297353CC}">
                    <c16:uniqueId val="{00000026-6721-4198-BFD3-1D40841D2C70}"/>
                  </c:ext>
                </c:extLst>
              </c15:ser>
            </c15:filteredLineSeries>
          </c:ext>
        </c:extLst>
      </c:lineChart>
      <c:catAx>
        <c:axId val="1308278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308264559"/>
        <c:crosses val="autoZero"/>
        <c:auto val="1"/>
        <c:lblAlgn val="ctr"/>
        <c:lblOffset val="100"/>
        <c:noMultiLvlLbl val="0"/>
      </c:catAx>
      <c:valAx>
        <c:axId val="130826455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30827870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400"/>
      </a:pPr>
      <a:endParaRPr lang="en-US"/>
    </a:p>
  </c:txPr>
  <c:printSettings>
    <c:headerFooter/>
    <c:pageMargins b="0.78740157499999996" l="0.7" r="0.7" t="0.78740157499999996" header="0.3" footer="0.3"/>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US" sz="1600" b="1"/>
              <a:t>Hay</a:t>
            </a:r>
          </a:p>
        </c:rich>
      </c:tx>
      <c:layout>
        <c:manualLayout>
          <c:xMode val="edge"/>
          <c:yMode val="edge"/>
          <c:x val="0.51268928074138365"/>
          <c:y val="2.7597696121318169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autoTitleDeleted val="0"/>
    <c:plotArea>
      <c:layout>
        <c:manualLayout>
          <c:layoutTarget val="inner"/>
          <c:xMode val="edge"/>
          <c:yMode val="edge"/>
          <c:x val="0.17641666666666667"/>
          <c:y val="0.25555592009332168"/>
          <c:w val="0.62360706804101529"/>
          <c:h val="0.51425889472149311"/>
        </c:manualLayout>
      </c:layout>
      <c:barChart>
        <c:barDir val="col"/>
        <c:grouping val="clustered"/>
        <c:varyColors val="0"/>
        <c:ser>
          <c:idx val="0"/>
          <c:order val="0"/>
          <c:tx>
            <c:strRef>
              <c:f>'Grafik Gehalte'!$AS$1</c:f>
              <c:strCache>
                <c:ptCount val="1"/>
                <c:pt idx="0">
                  <c:v>n-PFCAs</c:v>
                </c:pt>
              </c:strCache>
            </c:strRef>
          </c:tx>
          <c:spPr>
            <a:solidFill>
              <a:schemeClr val="accent4"/>
            </a:solidFill>
            <a:ln>
              <a:noFill/>
            </a:ln>
            <a:effectLst/>
          </c:spPr>
          <c:invertIfNegative val="0"/>
          <c:errBars>
            <c:errBarType val="both"/>
            <c:errValType val="cust"/>
            <c:noEndCap val="0"/>
            <c:plus>
              <c:numRef>
                <c:extLst>
                  <c:ext xmlns:c15="http://schemas.microsoft.com/office/drawing/2012/chart" uri="{02D57815-91ED-43cb-92C2-25804820EDAC}">
                    <c15:fullRef>
                      <c15:sqref>'Grafik Gehalte'!$AZ$2:$AZ$41</c15:sqref>
                    </c15:fullRef>
                  </c:ext>
                </c:extLst>
                <c:f>'Grafik Gehalte'!$AZ$33:$AZ$41</c:f>
                <c:numCache>
                  <c:formatCode>General</c:formatCode>
                  <c:ptCount val="9"/>
                  <c:pt idx="0">
                    <c:v>11.902892882319877</c:v>
                  </c:pt>
                  <c:pt idx="1">
                    <c:v>38.505193239784283</c:v>
                  </c:pt>
                  <c:pt idx="3">
                    <c:v>0</c:v>
                  </c:pt>
                  <c:pt idx="6">
                    <c:v>36.592779631695869</c:v>
                  </c:pt>
                  <c:pt idx="8">
                    <c:v>0</c:v>
                  </c:pt>
                </c:numCache>
              </c:numRef>
            </c:plus>
            <c:minus>
              <c:numRef>
                <c:extLst>
                  <c:ext xmlns:c15="http://schemas.microsoft.com/office/drawing/2012/chart" uri="{02D57815-91ED-43cb-92C2-25804820EDAC}">
                    <c15:fullRef>
                      <c15:sqref>'Grafik Gehalte'!$AZ$2:$AZ$41</c15:sqref>
                    </c15:fullRef>
                  </c:ext>
                </c:extLst>
                <c:f>'Grafik Gehalte'!$AZ$33:$AZ$41</c:f>
                <c:numCache>
                  <c:formatCode>General</c:formatCode>
                  <c:ptCount val="9"/>
                  <c:pt idx="0">
                    <c:v>11.902892882319877</c:v>
                  </c:pt>
                  <c:pt idx="1">
                    <c:v>38.505193239784283</c:v>
                  </c:pt>
                  <c:pt idx="3">
                    <c:v>0</c:v>
                  </c:pt>
                  <c:pt idx="6">
                    <c:v>36.592779631695869</c:v>
                  </c:pt>
                  <c:pt idx="8">
                    <c:v>0</c:v>
                  </c:pt>
                </c:numCache>
              </c:numRef>
            </c:minus>
            <c:spPr>
              <a:noFill/>
              <a:ln w="9525" cap="flat" cmpd="sng" algn="ctr">
                <a:solidFill>
                  <a:schemeClr val="tx1">
                    <a:lumMod val="65000"/>
                    <a:lumOff val="35000"/>
                  </a:schemeClr>
                </a:solidFill>
                <a:round/>
              </a:ln>
              <a:effectLst/>
            </c:spPr>
          </c:errBars>
          <c:cat>
            <c:numRef>
              <c:extLst>
                <c:ext xmlns:c15="http://schemas.microsoft.com/office/drawing/2012/chart" uri="{02D57815-91ED-43cb-92C2-25804820EDAC}">
                  <c15:fullRef>
                    <c15:sqref>'Grafik Gehalte'!$C$2:$C$41</c15:sqref>
                  </c15:fullRef>
                </c:ext>
              </c:extLst>
              <c:f>'Grafik Gehalte'!$C$33:$C$41</c:f>
              <c:numCache>
                <c:formatCode>General</c:formatCode>
                <c:ptCount val="9"/>
                <c:pt idx="0">
                  <c:v>1</c:v>
                </c:pt>
                <c:pt idx="1">
                  <c:v>5</c:v>
                </c:pt>
                <c:pt idx="2">
                  <c:v>10</c:v>
                </c:pt>
                <c:pt idx="3">
                  <c:v>17</c:v>
                </c:pt>
                <c:pt idx="4">
                  <c:v>24</c:v>
                </c:pt>
                <c:pt idx="5">
                  <c:v>31</c:v>
                </c:pt>
                <c:pt idx="6">
                  <c:v>38</c:v>
                </c:pt>
                <c:pt idx="7">
                  <c:v>45</c:v>
                </c:pt>
                <c:pt idx="8">
                  <c:v>54</c:v>
                </c:pt>
              </c:numCache>
            </c:numRef>
          </c:cat>
          <c:val>
            <c:numRef>
              <c:extLst>
                <c:ext xmlns:c15="http://schemas.microsoft.com/office/drawing/2012/chart" uri="{02D57815-91ED-43cb-92C2-25804820EDAC}">
                  <c15:fullRef>
                    <c15:sqref>'Grafik Gehalte'!$AS$2:$AS$41</c15:sqref>
                  </c15:fullRef>
                </c:ext>
              </c:extLst>
              <c:f>'Grafik Gehalte'!$AS$33:$AS$41</c:f>
              <c:numCache>
                <c:formatCode>0.00</c:formatCode>
                <c:ptCount val="9"/>
                <c:pt idx="0">
                  <c:v>261.09321385724456</c:v>
                </c:pt>
                <c:pt idx="1">
                  <c:v>280.98525281542794</c:v>
                </c:pt>
                <c:pt idx="2">
                  <c:v>409.80377641350464</c:v>
                </c:pt>
                <c:pt idx="3">
                  <c:v>366.78765311761953</c:v>
                </c:pt>
                <c:pt idx="4">
                  <c:v>298.30587357608698</c:v>
                </c:pt>
                <c:pt idx="5">
                  <c:v>310.93956160118313</c:v>
                </c:pt>
                <c:pt idx="6">
                  <c:v>231.77406680831203</c:v>
                </c:pt>
                <c:pt idx="7">
                  <c:v>259.02928565780576</c:v>
                </c:pt>
                <c:pt idx="8">
                  <c:v>265.70417425135264</c:v>
                </c:pt>
              </c:numCache>
            </c:numRef>
          </c:val>
          <c:extLst>
            <c:ext xmlns:c16="http://schemas.microsoft.com/office/drawing/2014/chart" uri="{C3380CC4-5D6E-409C-BE32-E72D297353CC}">
              <c16:uniqueId val="{00000000-A9E8-475F-A0FC-9CCCCA39EB2A}"/>
            </c:ext>
          </c:extLst>
        </c:ser>
        <c:ser>
          <c:idx val="1"/>
          <c:order val="1"/>
          <c:tx>
            <c:strRef>
              <c:f>'Grafik Gehalte'!$AT$1</c:f>
              <c:strCache>
                <c:ptCount val="1"/>
                <c:pt idx="0">
                  <c:v>br-PFCAs</c:v>
                </c:pt>
              </c:strCache>
            </c:strRef>
          </c:tx>
          <c:spPr>
            <a:pattFill prst="dkUpDiag">
              <a:fgClr>
                <a:schemeClr val="accent4"/>
              </a:fgClr>
              <a:bgClr>
                <a:schemeClr val="bg1">
                  <a:lumMod val="95000"/>
                </a:schemeClr>
              </a:bgClr>
            </a:pattFill>
            <a:ln>
              <a:noFill/>
            </a:ln>
            <a:effectLst/>
          </c:spPr>
          <c:invertIfNegative val="0"/>
          <c:errBars>
            <c:errBarType val="both"/>
            <c:errValType val="cust"/>
            <c:noEndCap val="0"/>
            <c:plus>
              <c:numRef>
                <c:extLst>
                  <c:ext xmlns:c15="http://schemas.microsoft.com/office/drawing/2012/chart" uri="{02D57815-91ED-43cb-92C2-25804820EDAC}">
                    <c15:fullRef>
                      <c15:sqref>'Grafik Gehalte'!$BA$2:$BA$41</c15:sqref>
                    </c15:fullRef>
                  </c:ext>
                </c:extLst>
                <c:f>'Grafik Gehalte'!$BA$33:$BA$41</c:f>
                <c:numCache>
                  <c:formatCode>General</c:formatCode>
                  <c:ptCount val="9"/>
                  <c:pt idx="0">
                    <c:v>1.3926775235818045</c:v>
                  </c:pt>
                  <c:pt idx="1">
                    <c:v>4.1517024829345734</c:v>
                  </c:pt>
                  <c:pt idx="3">
                    <c:v>0</c:v>
                  </c:pt>
                  <c:pt idx="6">
                    <c:v>0.79230389271378521</c:v>
                  </c:pt>
                  <c:pt idx="8">
                    <c:v>0</c:v>
                  </c:pt>
                </c:numCache>
              </c:numRef>
            </c:plus>
            <c:minus>
              <c:numRef>
                <c:extLst>
                  <c:ext xmlns:c15="http://schemas.microsoft.com/office/drawing/2012/chart" uri="{02D57815-91ED-43cb-92C2-25804820EDAC}">
                    <c15:fullRef>
                      <c15:sqref>'Grafik Gehalte'!$BA$2:$BA$41</c15:sqref>
                    </c15:fullRef>
                  </c:ext>
                </c:extLst>
                <c:f>'Grafik Gehalte'!$BA$33:$BA$41</c:f>
                <c:numCache>
                  <c:formatCode>General</c:formatCode>
                  <c:ptCount val="9"/>
                  <c:pt idx="0">
                    <c:v>1.3926775235818045</c:v>
                  </c:pt>
                  <c:pt idx="1">
                    <c:v>4.1517024829345734</c:v>
                  </c:pt>
                  <c:pt idx="3">
                    <c:v>0</c:v>
                  </c:pt>
                  <c:pt idx="6">
                    <c:v>0.79230389271378521</c:v>
                  </c:pt>
                  <c:pt idx="8">
                    <c:v>0</c:v>
                  </c:pt>
                </c:numCache>
              </c:numRef>
            </c:minus>
            <c:spPr>
              <a:noFill/>
              <a:ln w="9525" cap="flat" cmpd="sng" algn="ctr">
                <a:solidFill>
                  <a:schemeClr val="tx1">
                    <a:lumMod val="65000"/>
                    <a:lumOff val="35000"/>
                  </a:schemeClr>
                </a:solidFill>
                <a:round/>
              </a:ln>
              <a:effectLst/>
            </c:spPr>
          </c:errBars>
          <c:cat>
            <c:numRef>
              <c:extLst>
                <c:ext xmlns:c15="http://schemas.microsoft.com/office/drawing/2012/chart" uri="{02D57815-91ED-43cb-92C2-25804820EDAC}">
                  <c15:fullRef>
                    <c15:sqref>'Grafik Gehalte'!$C$2:$C$41</c15:sqref>
                  </c15:fullRef>
                </c:ext>
              </c:extLst>
              <c:f>'Grafik Gehalte'!$C$33:$C$41</c:f>
              <c:numCache>
                <c:formatCode>General</c:formatCode>
                <c:ptCount val="9"/>
                <c:pt idx="0">
                  <c:v>1</c:v>
                </c:pt>
                <c:pt idx="1">
                  <c:v>5</c:v>
                </c:pt>
                <c:pt idx="2">
                  <c:v>10</c:v>
                </c:pt>
                <c:pt idx="3">
                  <c:v>17</c:v>
                </c:pt>
                <c:pt idx="4">
                  <c:v>24</c:v>
                </c:pt>
                <c:pt idx="5">
                  <c:v>31</c:v>
                </c:pt>
                <c:pt idx="6">
                  <c:v>38</c:v>
                </c:pt>
                <c:pt idx="7">
                  <c:v>45</c:v>
                </c:pt>
                <c:pt idx="8">
                  <c:v>54</c:v>
                </c:pt>
              </c:numCache>
            </c:numRef>
          </c:cat>
          <c:val>
            <c:numRef>
              <c:extLst>
                <c:ext xmlns:c15="http://schemas.microsoft.com/office/drawing/2012/chart" uri="{02D57815-91ED-43cb-92C2-25804820EDAC}">
                  <c15:fullRef>
                    <c15:sqref>'Grafik Gehalte'!$AT$2:$AT$41</c15:sqref>
                  </c15:fullRef>
                </c:ext>
              </c:extLst>
              <c:f>'Grafik Gehalte'!$AT$33:$AT$41</c:f>
              <c:numCache>
                <c:formatCode>0.00</c:formatCode>
                <c:ptCount val="9"/>
                <c:pt idx="0">
                  <c:v>11.419990399135511</c:v>
                </c:pt>
                <c:pt idx="1">
                  <c:v>23.975508472877312</c:v>
                </c:pt>
                <c:pt idx="2">
                  <c:v>17.01584714639322</c:v>
                </c:pt>
                <c:pt idx="3">
                  <c:v>29.099033715217232</c:v>
                </c:pt>
                <c:pt idx="4">
                  <c:v>13.786305232588107</c:v>
                </c:pt>
                <c:pt idx="5">
                  <c:v>12.026614036930685</c:v>
                </c:pt>
                <c:pt idx="6">
                  <c:v>8.8876041136945521</c:v>
                </c:pt>
                <c:pt idx="7">
                  <c:v>17.362469704219929</c:v>
                </c:pt>
                <c:pt idx="8">
                  <c:v>19.635043030480301</c:v>
                </c:pt>
              </c:numCache>
            </c:numRef>
          </c:val>
          <c:extLst>
            <c:ext xmlns:c16="http://schemas.microsoft.com/office/drawing/2014/chart" uri="{C3380CC4-5D6E-409C-BE32-E72D297353CC}">
              <c16:uniqueId val="{00000001-A9E8-475F-A0FC-9CCCCA39EB2A}"/>
            </c:ext>
          </c:extLst>
        </c:ser>
        <c:ser>
          <c:idx val="2"/>
          <c:order val="2"/>
          <c:tx>
            <c:strRef>
              <c:f>'Grafik Gehalte'!$AU$1</c:f>
              <c:strCache>
                <c:ptCount val="1"/>
                <c:pt idx="0">
                  <c:v>n-PFSAs</c:v>
                </c:pt>
              </c:strCache>
            </c:strRef>
          </c:tx>
          <c:spPr>
            <a:solidFill>
              <a:schemeClr val="accent3"/>
            </a:solidFill>
            <a:ln>
              <a:noFill/>
            </a:ln>
            <a:effectLst/>
          </c:spPr>
          <c:invertIfNegative val="0"/>
          <c:errBars>
            <c:errBarType val="both"/>
            <c:errValType val="cust"/>
            <c:noEndCap val="0"/>
            <c:plus>
              <c:numRef>
                <c:extLst>
                  <c:ext xmlns:c15="http://schemas.microsoft.com/office/drawing/2012/chart" uri="{02D57815-91ED-43cb-92C2-25804820EDAC}">
                    <c15:fullRef>
                      <c15:sqref>'Grafik Gehalte'!$BB$2:$BB$41</c15:sqref>
                    </c15:fullRef>
                  </c:ext>
                </c:extLst>
                <c:f>'Grafik Gehalte'!$BB$33:$BB$41</c:f>
                <c:numCache>
                  <c:formatCode>General</c:formatCode>
                  <c:ptCount val="9"/>
                  <c:pt idx="0">
                    <c:v>17.724969954572234</c:v>
                  </c:pt>
                  <c:pt idx="1">
                    <c:v>121.61903286097458</c:v>
                  </c:pt>
                  <c:pt idx="3">
                    <c:v>0</c:v>
                  </c:pt>
                  <c:pt idx="6">
                    <c:v>63.043960488254875</c:v>
                  </c:pt>
                  <c:pt idx="8">
                    <c:v>0</c:v>
                  </c:pt>
                </c:numCache>
              </c:numRef>
            </c:plus>
            <c:minus>
              <c:numRef>
                <c:extLst>
                  <c:ext xmlns:c15="http://schemas.microsoft.com/office/drawing/2012/chart" uri="{02D57815-91ED-43cb-92C2-25804820EDAC}">
                    <c15:fullRef>
                      <c15:sqref>'Grafik Gehalte'!$BB$2:$BB$41</c15:sqref>
                    </c15:fullRef>
                  </c:ext>
                </c:extLst>
                <c:f>'Grafik Gehalte'!$BB$33:$BB$41</c:f>
                <c:numCache>
                  <c:formatCode>General</c:formatCode>
                  <c:ptCount val="9"/>
                  <c:pt idx="0">
                    <c:v>17.724969954572234</c:v>
                  </c:pt>
                  <c:pt idx="1">
                    <c:v>121.61903286097458</c:v>
                  </c:pt>
                  <c:pt idx="3">
                    <c:v>0</c:v>
                  </c:pt>
                  <c:pt idx="6">
                    <c:v>63.043960488254875</c:v>
                  </c:pt>
                  <c:pt idx="8">
                    <c:v>0</c:v>
                  </c:pt>
                </c:numCache>
              </c:numRef>
            </c:minus>
            <c:spPr>
              <a:noFill/>
              <a:ln w="9525" cap="flat" cmpd="sng" algn="ctr">
                <a:solidFill>
                  <a:schemeClr val="tx1">
                    <a:lumMod val="65000"/>
                    <a:lumOff val="35000"/>
                  </a:schemeClr>
                </a:solidFill>
                <a:round/>
              </a:ln>
              <a:effectLst/>
            </c:spPr>
          </c:errBars>
          <c:cat>
            <c:numRef>
              <c:extLst>
                <c:ext xmlns:c15="http://schemas.microsoft.com/office/drawing/2012/chart" uri="{02D57815-91ED-43cb-92C2-25804820EDAC}">
                  <c15:fullRef>
                    <c15:sqref>'Grafik Gehalte'!$C$2:$C$41</c15:sqref>
                  </c15:fullRef>
                </c:ext>
              </c:extLst>
              <c:f>'Grafik Gehalte'!$C$33:$C$41</c:f>
              <c:numCache>
                <c:formatCode>General</c:formatCode>
                <c:ptCount val="9"/>
                <c:pt idx="0">
                  <c:v>1</c:v>
                </c:pt>
                <c:pt idx="1">
                  <c:v>5</c:v>
                </c:pt>
                <c:pt idx="2">
                  <c:v>10</c:v>
                </c:pt>
                <c:pt idx="3">
                  <c:v>17</c:v>
                </c:pt>
                <c:pt idx="4">
                  <c:v>24</c:v>
                </c:pt>
                <c:pt idx="5">
                  <c:v>31</c:v>
                </c:pt>
                <c:pt idx="6">
                  <c:v>38</c:v>
                </c:pt>
                <c:pt idx="7">
                  <c:v>45</c:v>
                </c:pt>
                <c:pt idx="8">
                  <c:v>54</c:v>
                </c:pt>
              </c:numCache>
            </c:numRef>
          </c:cat>
          <c:val>
            <c:numRef>
              <c:extLst>
                <c:ext xmlns:c15="http://schemas.microsoft.com/office/drawing/2012/chart" uri="{02D57815-91ED-43cb-92C2-25804820EDAC}">
                  <c15:fullRef>
                    <c15:sqref>'Grafik Gehalte'!$AU$2:$AU$41</c15:sqref>
                  </c15:fullRef>
                </c:ext>
              </c:extLst>
              <c:f>'Grafik Gehalte'!$AU$33:$AU$41</c:f>
              <c:numCache>
                <c:formatCode>0.00</c:formatCode>
                <c:ptCount val="9"/>
                <c:pt idx="0">
                  <c:v>189.37082432941008</c:v>
                </c:pt>
                <c:pt idx="1">
                  <c:v>453.66378628869126</c:v>
                </c:pt>
                <c:pt idx="2">
                  <c:v>307.0438029802151</c:v>
                </c:pt>
                <c:pt idx="3">
                  <c:v>488.85328889319385</c:v>
                </c:pt>
                <c:pt idx="4">
                  <c:v>162.09248474370881</c:v>
                </c:pt>
                <c:pt idx="5">
                  <c:v>165.07716734115525</c:v>
                </c:pt>
                <c:pt idx="6">
                  <c:v>230.55749797690578</c:v>
                </c:pt>
                <c:pt idx="7">
                  <c:v>376.6028429629979</c:v>
                </c:pt>
                <c:pt idx="8">
                  <c:v>288.11095436934801</c:v>
                </c:pt>
              </c:numCache>
            </c:numRef>
          </c:val>
          <c:extLst>
            <c:ext xmlns:c16="http://schemas.microsoft.com/office/drawing/2014/chart" uri="{C3380CC4-5D6E-409C-BE32-E72D297353CC}">
              <c16:uniqueId val="{00000002-A9E8-475F-A0FC-9CCCCA39EB2A}"/>
            </c:ext>
          </c:extLst>
        </c:ser>
        <c:ser>
          <c:idx val="3"/>
          <c:order val="3"/>
          <c:tx>
            <c:strRef>
              <c:f>'Grafik Gehalte'!$AV$1</c:f>
              <c:strCache>
                <c:ptCount val="1"/>
                <c:pt idx="0">
                  <c:v>br-PFSAs</c:v>
                </c:pt>
              </c:strCache>
            </c:strRef>
          </c:tx>
          <c:spPr>
            <a:pattFill prst="dkUpDiag">
              <a:fgClr>
                <a:schemeClr val="accent3"/>
              </a:fgClr>
              <a:bgClr>
                <a:schemeClr val="bg1">
                  <a:lumMod val="95000"/>
                </a:schemeClr>
              </a:bgClr>
            </a:pattFill>
            <a:ln>
              <a:noFill/>
            </a:ln>
            <a:effectLst/>
          </c:spPr>
          <c:invertIfNegative val="0"/>
          <c:errBars>
            <c:errBarType val="both"/>
            <c:errValType val="cust"/>
            <c:noEndCap val="0"/>
            <c:plus>
              <c:numRef>
                <c:extLst>
                  <c:ext xmlns:c15="http://schemas.microsoft.com/office/drawing/2012/chart" uri="{02D57815-91ED-43cb-92C2-25804820EDAC}">
                    <c15:fullRef>
                      <c15:sqref>'Grafik Gehalte'!$BC$2:$BC$41</c15:sqref>
                    </c15:fullRef>
                  </c:ext>
                </c:extLst>
                <c:f>'Grafik Gehalte'!$BC$33:$BC$41</c:f>
                <c:numCache>
                  <c:formatCode>General</c:formatCode>
                  <c:ptCount val="9"/>
                  <c:pt idx="0">
                    <c:v>32.229367730490431</c:v>
                  </c:pt>
                  <c:pt idx="1">
                    <c:v>219.73519455042501</c:v>
                  </c:pt>
                  <c:pt idx="3">
                    <c:v>0</c:v>
                  </c:pt>
                  <c:pt idx="6">
                    <c:v>108.44542695513725</c:v>
                  </c:pt>
                  <c:pt idx="8">
                    <c:v>0</c:v>
                  </c:pt>
                </c:numCache>
              </c:numRef>
            </c:plus>
            <c:minus>
              <c:numRef>
                <c:extLst>
                  <c:ext xmlns:c15="http://schemas.microsoft.com/office/drawing/2012/chart" uri="{02D57815-91ED-43cb-92C2-25804820EDAC}">
                    <c15:fullRef>
                      <c15:sqref>'Grafik Gehalte'!$BC$2:$BC$41</c15:sqref>
                    </c15:fullRef>
                  </c:ext>
                </c:extLst>
                <c:f>'Grafik Gehalte'!$BC$33:$BC$41</c:f>
                <c:numCache>
                  <c:formatCode>General</c:formatCode>
                  <c:ptCount val="9"/>
                  <c:pt idx="0">
                    <c:v>32.229367730490431</c:v>
                  </c:pt>
                  <c:pt idx="1">
                    <c:v>219.73519455042501</c:v>
                  </c:pt>
                  <c:pt idx="3">
                    <c:v>0</c:v>
                  </c:pt>
                  <c:pt idx="6">
                    <c:v>108.44542695513725</c:v>
                  </c:pt>
                  <c:pt idx="8">
                    <c:v>0</c:v>
                  </c:pt>
                </c:numCache>
              </c:numRef>
            </c:minus>
            <c:spPr>
              <a:noFill/>
              <a:ln w="9525" cap="flat" cmpd="sng" algn="ctr">
                <a:solidFill>
                  <a:schemeClr val="tx1">
                    <a:lumMod val="65000"/>
                    <a:lumOff val="35000"/>
                  </a:schemeClr>
                </a:solidFill>
                <a:round/>
              </a:ln>
              <a:effectLst/>
            </c:spPr>
          </c:errBars>
          <c:cat>
            <c:numRef>
              <c:extLst>
                <c:ext xmlns:c15="http://schemas.microsoft.com/office/drawing/2012/chart" uri="{02D57815-91ED-43cb-92C2-25804820EDAC}">
                  <c15:fullRef>
                    <c15:sqref>'Grafik Gehalte'!$C$2:$C$41</c15:sqref>
                  </c15:fullRef>
                </c:ext>
              </c:extLst>
              <c:f>'Grafik Gehalte'!$C$33:$C$41</c:f>
              <c:numCache>
                <c:formatCode>General</c:formatCode>
                <c:ptCount val="9"/>
                <c:pt idx="0">
                  <c:v>1</c:v>
                </c:pt>
                <c:pt idx="1">
                  <c:v>5</c:v>
                </c:pt>
                <c:pt idx="2">
                  <c:v>10</c:v>
                </c:pt>
                <c:pt idx="3">
                  <c:v>17</c:v>
                </c:pt>
                <c:pt idx="4">
                  <c:v>24</c:v>
                </c:pt>
                <c:pt idx="5">
                  <c:v>31</c:v>
                </c:pt>
                <c:pt idx="6">
                  <c:v>38</c:v>
                </c:pt>
                <c:pt idx="7">
                  <c:v>45</c:v>
                </c:pt>
                <c:pt idx="8">
                  <c:v>54</c:v>
                </c:pt>
              </c:numCache>
            </c:numRef>
          </c:cat>
          <c:val>
            <c:numRef>
              <c:extLst>
                <c:ext xmlns:c15="http://schemas.microsoft.com/office/drawing/2012/chart" uri="{02D57815-91ED-43cb-92C2-25804820EDAC}">
                  <c15:fullRef>
                    <c15:sqref>'Grafik Gehalte'!$AV$2:$AV$41</c15:sqref>
                  </c15:fullRef>
                </c:ext>
              </c:extLst>
              <c:f>'Grafik Gehalte'!$AV$33:$AV$41</c:f>
              <c:numCache>
                <c:formatCode>0.00</c:formatCode>
                <c:ptCount val="9"/>
                <c:pt idx="0" formatCode="General">
                  <c:v>245.99112164424446</c:v>
                </c:pt>
                <c:pt idx="1" formatCode="General">
                  <c:v>734.2078481175331</c:v>
                </c:pt>
                <c:pt idx="2" formatCode="General">
                  <c:v>471.91702114069864</c:v>
                </c:pt>
                <c:pt idx="3">
                  <c:v>834.88682817091944</c:v>
                </c:pt>
                <c:pt idx="4" formatCode="General">
                  <c:v>219.91349647727824</c:v>
                </c:pt>
                <c:pt idx="5" formatCode="General">
                  <c:v>217.27575114715438</c:v>
                </c:pt>
                <c:pt idx="6" formatCode="General">
                  <c:v>308.78874614000648</c:v>
                </c:pt>
                <c:pt idx="7" formatCode="General">
                  <c:v>483.03700922658902</c:v>
                </c:pt>
                <c:pt idx="8" formatCode="General">
                  <c:v>356.4779258063449</c:v>
                </c:pt>
              </c:numCache>
            </c:numRef>
          </c:val>
          <c:extLst>
            <c:ext xmlns:c16="http://schemas.microsoft.com/office/drawing/2014/chart" uri="{C3380CC4-5D6E-409C-BE32-E72D297353CC}">
              <c16:uniqueId val="{00000003-A9E8-475F-A0FC-9CCCCA39EB2A}"/>
            </c:ext>
          </c:extLst>
        </c:ser>
        <c:dLbls>
          <c:showLegendKey val="0"/>
          <c:showVal val="0"/>
          <c:showCatName val="0"/>
          <c:showSerName val="0"/>
          <c:showPercent val="0"/>
          <c:showBubbleSize val="0"/>
        </c:dLbls>
        <c:gapWidth val="150"/>
        <c:axId val="570454720"/>
        <c:axId val="570458048"/>
      </c:barChart>
      <c:catAx>
        <c:axId val="570454720"/>
        <c:scaling>
          <c:orientation val="minMax"/>
        </c:scaling>
        <c:delete val="0"/>
        <c:axPos val="b"/>
        <c:title>
          <c:tx>
            <c:rich>
              <a:bodyPr rot="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US"/>
                  <a:t>Day</a:t>
                </a:r>
              </a:p>
            </c:rich>
          </c:tx>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none"/>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570458048"/>
        <c:crosses val="autoZero"/>
        <c:auto val="1"/>
        <c:lblAlgn val="ctr"/>
        <c:lblOffset val="100"/>
        <c:noMultiLvlLbl val="0"/>
      </c:catAx>
      <c:valAx>
        <c:axId val="570458048"/>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US"/>
                  <a:t>PFAA content (µg/kg)</a:t>
                </a:r>
              </a:p>
            </c:rich>
          </c:tx>
          <c:layout>
            <c:manualLayout>
              <c:xMode val="edge"/>
              <c:yMode val="edge"/>
              <c:x val="1.9466439401842131E-2"/>
              <c:y val="0.25555592009332168"/>
            </c:manualLayout>
          </c:layout>
          <c:overlay val="0"/>
          <c:spPr>
            <a:noFill/>
            <a:ln>
              <a:noFill/>
            </a:ln>
            <a:effectLst/>
          </c:spPr>
          <c:txPr>
            <a:bodyPr rot="-540000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570454720"/>
        <c:crosses val="autoZero"/>
        <c:crossBetween val="between"/>
      </c:valAx>
      <c:spPr>
        <a:noFill/>
        <a:ln>
          <a:solidFill>
            <a:sysClr val="windowText" lastClr="000000"/>
          </a:solid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8740157499999996" l="0.7" r="0.7" t="0.78740157499999996" header="0.3" footer="0.3"/>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7276588584115259E-2"/>
          <c:y val="8.0256736628689124E-2"/>
          <c:w val="0.74707352441172392"/>
          <c:h val="0.82693542049003421"/>
        </c:manualLayout>
      </c:layout>
      <c:barChart>
        <c:barDir val="col"/>
        <c:grouping val="stacked"/>
        <c:varyColors val="0"/>
        <c:ser>
          <c:idx val="0"/>
          <c:order val="0"/>
          <c:tx>
            <c:strRef>
              <c:f>'Grafik Heu-Milch'!$D$3:$D$4</c:f>
              <c:strCache>
                <c:ptCount val="2"/>
                <c:pt idx="0">
                  <c:v>PFBA</c:v>
                </c:pt>
              </c:strCache>
            </c:strRef>
          </c:tx>
          <c:spPr>
            <a:solidFill>
              <a:schemeClr val="bg1">
                <a:lumMod val="75000"/>
              </a:schemeClr>
            </a:solidFill>
            <a:ln>
              <a:noFill/>
            </a:ln>
            <a:effectLst/>
          </c:spPr>
          <c:invertIfNegative val="0"/>
          <c:cat>
            <c:numRef>
              <c:f>'Grafik Heu-Milch'!$C$5:$C$141</c:f>
              <c:numCache>
                <c:formatCode>General</c:formatCode>
                <c:ptCount val="1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numCache>
            </c:numRef>
          </c:cat>
          <c:val>
            <c:numRef>
              <c:f>'Grafik Heu-Milch'!$D$5:$D$141</c:f>
              <c:numCache>
                <c:formatCode>General</c:formatCode>
                <c:ptCount val="137"/>
                <c:pt idx="1">
                  <c:v>174.94318619126</c:v>
                </c:pt>
                <c:pt idx="5">
                  <c:v>172.55025729380066</c:v>
                </c:pt>
                <c:pt idx="10" formatCode="0.00">
                  <c:v>284.32575756922301</c:v>
                </c:pt>
                <c:pt idx="17">
                  <c:v>218.376371445464</c:v>
                </c:pt>
                <c:pt idx="24" formatCode="0.00">
                  <c:v>188.50481550517</c:v>
                </c:pt>
                <c:pt idx="31" formatCode="0.00">
                  <c:v>213.14220835196099</c:v>
                </c:pt>
                <c:pt idx="38">
                  <c:v>155.47020090144011</c:v>
                </c:pt>
                <c:pt idx="45" formatCode="0.00">
                  <c:v>146.81634775720602</c:v>
                </c:pt>
                <c:pt idx="54">
                  <c:v>146.425504220753</c:v>
                </c:pt>
              </c:numCache>
            </c:numRef>
          </c:val>
          <c:extLst>
            <c:ext xmlns:c16="http://schemas.microsoft.com/office/drawing/2014/chart" uri="{C3380CC4-5D6E-409C-BE32-E72D297353CC}">
              <c16:uniqueId val="{00000000-0635-4FE2-BA0A-D215CB6B9264}"/>
            </c:ext>
          </c:extLst>
        </c:ser>
        <c:ser>
          <c:idx val="2"/>
          <c:order val="2"/>
          <c:tx>
            <c:strRef>
              <c:f>'Grafik Heu-Milch'!$F$3:$F$4</c:f>
              <c:strCache>
                <c:ptCount val="2"/>
                <c:pt idx="0">
                  <c:v>PFPeA </c:v>
                </c:pt>
              </c:strCache>
            </c:strRef>
          </c:tx>
          <c:spPr>
            <a:solidFill>
              <a:schemeClr val="bg1">
                <a:lumMod val="50000"/>
              </a:schemeClr>
            </a:solidFill>
            <a:ln>
              <a:noFill/>
            </a:ln>
            <a:effectLst/>
          </c:spPr>
          <c:invertIfNegative val="0"/>
          <c:cat>
            <c:numRef>
              <c:f>'Grafik Heu-Milch'!$C$5:$C$141</c:f>
              <c:numCache>
                <c:formatCode>General</c:formatCode>
                <c:ptCount val="1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numCache>
            </c:numRef>
          </c:cat>
          <c:val>
            <c:numRef>
              <c:f>'Grafik Heu-Milch'!$F$5:$F$141</c:f>
              <c:numCache>
                <c:formatCode>General</c:formatCode>
                <c:ptCount val="137"/>
                <c:pt idx="1">
                  <c:v>42.114481079843465</c:v>
                </c:pt>
                <c:pt idx="5">
                  <c:v>40.583648136263442</c:v>
                </c:pt>
                <c:pt idx="10" formatCode="0.00">
                  <c:v>66.610045035157299</c:v>
                </c:pt>
                <c:pt idx="17">
                  <c:v>53.105685457190098</c:v>
                </c:pt>
                <c:pt idx="24" formatCode="0.00">
                  <c:v>50.489828206579396</c:v>
                </c:pt>
                <c:pt idx="31" formatCode="0.00">
                  <c:v>49.031122410387304</c:v>
                </c:pt>
                <c:pt idx="38">
                  <c:v>37.090027792033517</c:v>
                </c:pt>
                <c:pt idx="45" formatCode="0.00">
                  <c:v>40.860076959305601</c:v>
                </c:pt>
                <c:pt idx="54">
                  <c:v>39.474002096377198</c:v>
                </c:pt>
              </c:numCache>
            </c:numRef>
          </c:val>
          <c:extLst>
            <c:ext xmlns:c16="http://schemas.microsoft.com/office/drawing/2014/chart" uri="{C3380CC4-5D6E-409C-BE32-E72D297353CC}">
              <c16:uniqueId val="{00000002-0635-4FE2-BA0A-D215CB6B9264}"/>
            </c:ext>
          </c:extLst>
        </c:ser>
        <c:ser>
          <c:idx val="32"/>
          <c:order val="8"/>
          <c:tx>
            <c:strRef>
              <c:f>'Grafik Heu-Milch'!$L$3:$L$4</c:f>
              <c:strCache>
                <c:ptCount val="2"/>
                <c:pt idx="0">
                  <c:v>PFOA </c:v>
                </c:pt>
              </c:strCache>
            </c:strRef>
          </c:tx>
          <c:spPr>
            <a:solidFill>
              <a:schemeClr val="tx1">
                <a:lumMod val="65000"/>
                <a:lumOff val="35000"/>
              </a:schemeClr>
            </a:solidFill>
            <a:ln>
              <a:noFill/>
            </a:ln>
            <a:effectLst/>
          </c:spPr>
          <c:invertIfNegative val="0"/>
          <c:cat>
            <c:numRef>
              <c:f>'Grafik Heu-Milch'!$C$5:$C$141</c:f>
              <c:numCache>
                <c:formatCode>General</c:formatCode>
                <c:ptCount val="1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numCache>
            </c:numRef>
          </c:cat>
          <c:val>
            <c:numRef>
              <c:f>'Grafik Heu-Milch'!$L$5:$L$141</c:f>
              <c:numCache>
                <c:formatCode>General</c:formatCode>
                <c:ptCount val="137"/>
                <c:pt idx="1">
                  <c:v>32.91335064371772</c:v>
                </c:pt>
                <c:pt idx="5">
                  <c:v>52.628559747525046</c:v>
                </c:pt>
                <c:pt idx="10" formatCode="0.00">
                  <c:v>43.394169635806499</c:v>
                </c:pt>
                <c:pt idx="17">
                  <c:v>77.045806591399412</c:v>
                </c:pt>
                <c:pt idx="24" formatCode="0.00">
                  <c:v>42.806243816647097</c:v>
                </c:pt>
                <c:pt idx="31" formatCode="0.00">
                  <c:v>35.394656171988096</c:v>
                </c:pt>
                <c:pt idx="38">
                  <c:v>27.926420806537408</c:v>
                </c:pt>
                <c:pt idx="45" formatCode="0.00">
                  <c:v>55.472942945914106</c:v>
                </c:pt>
                <c:pt idx="54">
                  <c:v>64.349862861675902</c:v>
                </c:pt>
              </c:numCache>
            </c:numRef>
          </c:val>
          <c:extLst>
            <c:ext xmlns:c16="http://schemas.microsoft.com/office/drawing/2014/chart" uri="{C3380CC4-5D6E-409C-BE32-E72D297353CC}">
              <c16:uniqueId val="{00000021-0635-4FE2-BA0A-D215CB6B9264}"/>
            </c:ext>
          </c:extLst>
        </c:ser>
        <c:ser>
          <c:idx val="72"/>
          <c:order val="30"/>
          <c:tx>
            <c:strRef>
              <c:f>'Grafik Heu-Milch'!$AH$3:$AH$4</c:f>
              <c:strCache>
                <c:ptCount val="2"/>
                <c:pt idx="0">
                  <c:v>PFOS </c:v>
                </c:pt>
              </c:strCache>
            </c:strRef>
          </c:tx>
          <c:spPr>
            <a:solidFill>
              <a:schemeClr val="accent3">
                <a:lumMod val="60000"/>
                <a:lumOff val="40000"/>
              </a:schemeClr>
            </a:solidFill>
            <a:ln>
              <a:noFill/>
            </a:ln>
            <a:effectLst/>
          </c:spPr>
          <c:invertIfNegative val="0"/>
          <c:cat>
            <c:numRef>
              <c:f>'Grafik Heu-Milch'!$C$5:$C$141</c:f>
              <c:numCache>
                <c:formatCode>General</c:formatCode>
                <c:ptCount val="1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numCache>
            </c:numRef>
          </c:cat>
          <c:val>
            <c:numRef>
              <c:f>'Grafik Heu-Milch'!$AH$5:$AH$141</c:f>
              <c:numCache>
                <c:formatCode>General</c:formatCode>
                <c:ptCount val="137"/>
                <c:pt idx="1">
                  <c:v>49.138188011935938</c:v>
                </c:pt>
                <c:pt idx="5">
                  <c:v>107.6981278245207</c:v>
                </c:pt>
                <c:pt idx="10" formatCode="0.00">
                  <c:v>85.465817528683203</c:v>
                </c:pt>
                <c:pt idx="17">
                  <c:v>110.36203337917699</c:v>
                </c:pt>
                <c:pt idx="24" formatCode="0.00">
                  <c:v>53.759837074223796</c:v>
                </c:pt>
                <c:pt idx="31" formatCode="0.00">
                  <c:v>29.482274855545203</c:v>
                </c:pt>
                <c:pt idx="38">
                  <c:v>58.639419751260618</c:v>
                </c:pt>
                <c:pt idx="45" formatCode="0.00">
                  <c:v>84.216197655081004</c:v>
                </c:pt>
                <c:pt idx="54">
                  <c:v>82.329132145330192</c:v>
                </c:pt>
              </c:numCache>
            </c:numRef>
          </c:val>
          <c:extLst>
            <c:ext xmlns:c16="http://schemas.microsoft.com/office/drawing/2014/chart" uri="{C3380CC4-5D6E-409C-BE32-E72D297353CC}">
              <c16:uniqueId val="{00000049-0635-4FE2-BA0A-D215CB6B9264}"/>
            </c:ext>
          </c:extLst>
        </c:ser>
        <c:ser>
          <c:idx val="3"/>
          <c:order val="32"/>
          <c:tx>
            <c:strRef>
              <c:f>'Grafik Heu-Milch'!$AJ$3:$AJ$4</c:f>
              <c:strCache>
                <c:ptCount val="2"/>
                <c:pt idx="0">
                  <c:v>PFNS </c:v>
                </c:pt>
              </c:strCache>
            </c:strRef>
          </c:tx>
          <c:spPr>
            <a:solidFill>
              <a:schemeClr val="accent6"/>
            </a:solidFill>
            <a:ln>
              <a:noFill/>
            </a:ln>
            <a:effectLst/>
          </c:spPr>
          <c:invertIfNegative val="0"/>
          <c:cat>
            <c:numRef>
              <c:f>'Grafik Heu-Milch'!$C$5:$C$141</c:f>
              <c:numCache>
                <c:formatCode>General</c:formatCode>
                <c:ptCount val="1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numCache>
            </c:numRef>
          </c:cat>
          <c:val>
            <c:numRef>
              <c:f>'Grafik Heu-Milch'!$AJ$5:$AJ$141</c:f>
              <c:numCache>
                <c:formatCode>General</c:formatCode>
                <c:ptCount val="137"/>
                <c:pt idx="1">
                  <c:v>48.412844723986993</c:v>
                </c:pt>
                <c:pt idx="5">
                  <c:v>107.00052868222582</c:v>
                </c:pt>
                <c:pt idx="10" formatCode="0.00">
                  <c:v>70.588763305956292</c:v>
                </c:pt>
                <c:pt idx="17">
                  <c:v>116.368513359074</c:v>
                </c:pt>
                <c:pt idx="24" formatCode="0.00">
                  <c:v>43.5677790501285</c:v>
                </c:pt>
                <c:pt idx="31" formatCode="0.00">
                  <c:v>53.546750215337298</c:v>
                </c:pt>
                <c:pt idx="38">
                  <c:v>77.958307148240607</c:v>
                </c:pt>
                <c:pt idx="45" formatCode="0.00">
                  <c:v>80.531931708892088</c:v>
                </c:pt>
                <c:pt idx="54">
                  <c:v>75.193975807539999</c:v>
                </c:pt>
              </c:numCache>
            </c:numRef>
          </c:val>
          <c:extLst>
            <c:ext xmlns:c16="http://schemas.microsoft.com/office/drawing/2014/chart" uri="{C3380CC4-5D6E-409C-BE32-E72D297353CC}">
              <c16:uniqueId val="{00000098-8C1B-4C12-AABC-1B2D99824493}"/>
            </c:ext>
          </c:extLst>
        </c:ser>
        <c:ser>
          <c:idx val="6"/>
          <c:order val="34"/>
          <c:tx>
            <c:strRef>
              <c:f>'Grafik Heu-Milch'!$AL$3:$AL$4</c:f>
              <c:strCache>
                <c:ptCount val="2"/>
                <c:pt idx="0">
                  <c:v>PFDS </c:v>
                </c:pt>
              </c:strCache>
            </c:strRef>
          </c:tx>
          <c:spPr>
            <a:solidFill>
              <a:schemeClr val="accent2">
                <a:lumMod val="75000"/>
              </a:schemeClr>
            </a:solidFill>
            <a:ln>
              <a:noFill/>
            </a:ln>
            <a:effectLst/>
          </c:spPr>
          <c:invertIfNegative val="0"/>
          <c:cat>
            <c:numRef>
              <c:f>'Grafik Heu-Milch'!$C$5:$C$141</c:f>
              <c:numCache>
                <c:formatCode>General</c:formatCode>
                <c:ptCount val="1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numCache>
            </c:numRef>
          </c:cat>
          <c:val>
            <c:numRef>
              <c:f>'Grafik Heu-Milch'!$AL$5:$AL$141</c:f>
              <c:numCache>
                <c:formatCode>General</c:formatCode>
                <c:ptCount val="137"/>
                <c:pt idx="1">
                  <c:v>77.502826763399412</c:v>
                </c:pt>
                <c:pt idx="5">
                  <c:v>186.50743612315901</c:v>
                </c:pt>
                <c:pt idx="10" formatCode="0.00">
                  <c:v>123.59458905088501</c:v>
                </c:pt>
                <c:pt idx="17">
                  <c:v>208.901888897612</c:v>
                </c:pt>
                <c:pt idx="24" formatCode="0.00">
                  <c:v>55.719323873776098</c:v>
                </c:pt>
                <c:pt idx="31" formatCode="0.00">
                  <c:v>69.830993597615389</c:v>
                </c:pt>
                <c:pt idx="38">
                  <c:v>79.505231826687506</c:v>
                </c:pt>
                <c:pt idx="45" formatCode="0.00">
                  <c:v>164.707981235082</c:v>
                </c:pt>
                <c:pt idx="54">
                  <c:v>112.53699801953199</c:v>
                </c:pt>
              </c:numCache>
            </c:numRef>
          </c:val>
          <c:extLst>
            <c:ext xmlns:c16="http://schemas.microsoft.com/office/drawing/2014/chart" uri="{C3380CC4-5D6E-409C-BE32-E72D297353CC}">
              <c16:uniqueId val="{0000009A-8C1B-4C12-AABC-1B2D99824493}"/>
            </c:ext>
          </c:extLst>
        </c:ser>
        <c:ser>
          <c:idx val="9"/>
          <c:order val="36"/>
          <c:tx>
            <c:strRef>
              <c:f>'Grafik Heu-Milch'!$AN$3:$AN$4</c:f>
              <c:strCache>
                <c:ptCount val="2"/>
                <c:pt idx="0">
                  <c:v>PFUnDS </c:v>
                </c:pt>
              </c:strCache>
            </c:strRef>
          </c:tx>
          <c:spPr>
            <a:solidFill>
              <a:schemeClr val="accent1">
                <a:lumMod val="60000"/>
                <a:lumOff val="40000"/>
              </a:schemeClr>
            </a:solidFill>
            <a:ln>
              <a:noFill/>
            </a:ln>
            <a:effectLst/>
          </c:spPr>
          <c:invertIfNegative val="0"/>
          <c:cat>
            <c:numRef>
              <c:f>'Grafik Heu-Milch'!$C$5:$C$141</c:f>
              <c:numCache>
                <c:formatCode>General</c:formatCode>
                <c:ptCount val="1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numCache>
            </c:numRef>
          </c:cat>
          <c:val>
            <c:numRef>
              <c:f>'Grafik Heu-Milch'!$AN$5:$AN$141</c:f>
              <c:numCache>
                <c:formatCode>General</c:formatCode>
                <c:ptCount val="137"/>
                <c:pt idx="1">
                  <c:v>6.2965508709879749</c:v>
                </c:pt>
                <c:pt idx="5">
                  <c:v>24.503443624397423</c:v>
                </c:pt>
                <c:pt idx="10" formatCode="0.00">
                  <c:v>11.552653616138</c:v>
                </c:pt>
                <c:pt idx="17">
                  <c:v>24.055441471286201</c:v>
                </c:pt>
                <c:pt idx="24" formatCode="0.00">
                  <c:v>3.2961674323459902</c:v>
                </c:pt>
                <c:pt idx="31" formatCode="0.00">
                  <c:v>5.2514271548025002</c:v>
                </c:pt>
                <c:pt idx="38">
                  <c:v>6.5710760996155164</c:v>
                </c:pt>
                <c:pt idx="45" formatCode="0.00">
                  <c:v>20.964391713288698</c:v>
                </c:pt>
                <c:pt idx="54">
                  <c:v>8.3088763006417601</c:v>
                </c:pt>
              </c:numCache>
            </c:numRef>
          </c:val>
          <c:extLst>
            <c:ext xmlns:c16="http://schemas.microsoft.com/office/drawing/2014/chart" uri="{C3380CC4-5D6E-409C-BE32-E72D297353CC}">
              <c16:uniqueId val="{0000009C-8C1B-4C12-AABC-1B2D99824493}"/>
            </c:ext>
          </c:extLst>
        </c:ser>
        <c:ser>
          <c:idx val="11"/>
          <c:order val="38"/>
          <c:tx>
            <c:strRef>
              <c:f>'Grafik Heu-Milch'!$AP$3:$AP$4</c:f>
              <c:strCache>
                <c:ptCount val="2"/>
                <c:pt idx="0">
                  <c:v>PFDoDS </c:v>
                </c:pt>
              </c:strCache>
            </c:strRef>
          </c:tx>
          <c:spPr>
            <a:solidFill>
              <a:schemeClr val="tx2">
                <a:lumMod val="40000"/>
                <a:lumOff val="60000"/>
              </a:schemeClr>
            </a:solidFill>
            <a:ln>
              <a:noFill/>
            </a:ln>
            <a:effectLst/>
          </c:spPr>
          <c:invertIfNegative val="0"/>
          <c:cat>
            <c:numRef>
              <c:f>'Grafik Heu-Milch'!$C$5:$C$141</c:f>
              <c:numCache>
                <c:formatCode>General</c:formatCode>
                <c:ptCount val="1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numCache>
            </c:numRef>
          </c:cat>
          <c:val>
            <c:numRef>
              <c:f>'Grafik Heu-Milch'!$AP$5:$AP$141</c:f>
              <c:numCache>
                <c:formatCode>General</c:formatCode>
                <c:ptCount val="137"/>
                <c:pt idx="1">
                  <c:v>5.3266419294575265</c:v>
                </c:pt>
                <c:pt idx="5">
                  <c:v>20.833200892598349</c:v>
                </c:pt>
                <c:pt idx="10" formatCode="0.00">
                  <c:v>11.547370434899099</c:v>
                </c:pt>
                <c:pt idx="17">
                  <c:v>22.0436688310037</c:v>
                </c:pt>
                <c:pt idx="24" formatCode="0.00">
                  <c:v>3.0607343075600002</c:v>
                </c:pt>
                <c:pt idx="31" formatCode="0.00">
                  <c:v>4.0144556212458404</c:v>
                </c:pt>
                <c:pt idx="38">
                  <c:v>5.0083262007883871</c:v>
                </c:pt>
                <c:pt idx="45" formatCode="0.00">
                  <c:v>20.367033104817402</c:v>
                </c:pt>
                <c:pt idx="54">
                  <c:v>6.1939318079831605</c:v>
                </c:pt>
              </c:numCache>
            </c:numRef>
          </c:val>
          <c:extLst>
            <c:ext xmlns:c16="http://schemas.microsoft.com/office/drawing/2014/chart" uri="{C3380CC4-5D6E-409C-BE32-E72D297353CC}">
              <c16:uniqueId val="{0000009E-8C1B-4C12-AABC-1B2D99824493}"/>
            </c:ext>
          </c:extLst>
        </c:ser>
        <c:ser>
          <c:idx val="13"/>
          <c:order val="40"/>
          <c:tx>
            <c:strRef>
              <c:f>'Grafik Heu-Milch'!$AR$3:$AR$4</c:f>
              <c:strCache>
                <c:ptCount val="2"/>
                <c:pt idx="0">
                  <c:v>PFTrDS </c:v>
                </c:pt>
              </c:strCache>
            </c:strRef>
          </c:tx>
          <c:spPr>
            <a:solidFill>
              <a:srgbClr val="002060"/>
            </a:solidFill>
            <a:ln>
              <a:noFill/>
            </a:ln>
            <a:effectLst/>
          </c:spPr>
          <c:invertIfNegative val="0"/>
          <c:cat>
            <c:numRef>
              <c:f>'Grafik Heu-Milch'!$C$5:$C$141</c:f>
              <c:numCache>
                <c:formatCode>General</c:formatCode>
                <c:ptCount val="1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numCache>
            </c:numRef>
          </c:cat>
          <c:val>
            <c:numRef>
              <c:f>'Grafik Heu-Milch'!$AR$5:$AR$141</c:f>
              <c:numCache>
                <c:formatCode>General</c:formatCode>
                <c:ptCount val="137"/>
                <c:pt idx="1">
                  <c:v>1.0506098773269035</c:v>
                </c:pt>
                <c:pt idx="5">
                  <c:v>5.0875445544118971</c:v>
                </c:pt>
                <c:pt idx="10" formatCode="0.00">
                  <c:v>2.0875674191361999</c:v>
                </c:pt>
                <c:pt idx="17">
                  <c:v>4.7982055111767501</c:v>
                </c:pt>
                <c:pt idx="24" formatCode="0.00">
                  <c:v>0.64139967264845399</c:v>
                </c:pt>
                <c:pt idx="31" formatCode="0.00">
                  <c:v>0.82094855651462206</c:v>
                </c:pt>
                <c:pt idx="38">
                  <c:v>1.1469450474711063</c:v>
                </c:pt>
                <c:pt idx="45" formatCode="0.00">
                  <c:v>3.9143631078406202</c:v>
                </c:pt>
                <c:pt idx="54">
                  <c:v>1.6233744701902499</c:v>
                </c:pt>
              </c:numCache>
            </c:numRef>
          </c:val>
          <c:extLst>
            <c:ext xmlns:c16="http://schemas.microsoft.com/office/drawing/2014/chart" uri="{C3380CC4-5D6E-409C-BE32-E72D297353CC}">
              <c16:uniqueId val="{000000A0-8C1B-4C12-AABC-1B2D99824493}"/>
            </c:ext>
          </c:extLst>
        </c:ser>
        <c:ser>
          <c:idx val="19"/>
          <c:order val="46"/>
          <c:tx>
            <c:strRef>
              <c:f>'Grafik Heu-Milch'!$AX$3:$AX$4</c:f>
              <c:strCache>
                <c:ptCount val="2"/>
                <c:pt idx="0">
                  <c:v>PFOA </c:v>
                </c:pt>
              </c:strCache>
            </c:strRef>
          </c:tx>
          <c:spPr>
            <a:pattFill prst="wdUpDiag">
              <a:fgClr>
                <a:schemeClr val="accent3">
                  <a:lumMod val="20000"/>
                  <a:lumOff val="80000"/>
                </a:schemeClr>
              </a:fgClr>
              <a:bgClr>
                <a:schemeClr val="accent3">
                  <a:lumMod val="50000"/>
                </a:schemeClr>
              </a:bgClr>
            </a:pattFill>
            <a:ln>
              <a:noFill/>
            </a:ln>
            <a:effectLst/>
          </c:spPr>
          <c:invertIfNegative val="0"/>
          <c:cat>
            <c:numRef>
              <c:f>'Grafik Heu-Milch'!$C$5:$C$141</c:f>
              <c:numCache>
                <c:formatCode>General</c:formatCode>
                <c:ptCount val="1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numCache>
            </c:numRef>
          </c:cat>
          <c:val>
            <c:numRef>
              <c:f>'Grafik Heu-Milch'!$AX$5:$AX$141</c:f>
              <c:numCache>
                <c:formatCode>General</c:formatCode>
                <c:ptCount val="137"/>
                <c:pt idx="1">
                  <c:v>9.1334586376837734</c:v>
                </c:pt>
                <c:pt idx="5">
                  <c:v>16.591308447039602</c:v>
                </c:pt>
                <c:pt idx="10" formatCode="0.00">
                  <c:v>12.0173908073373</c:v>
                </c:pt>
                <c:pt idx="17">
                  <c:v>21.472340384024399</c:v>
                </c:pt>
                <c:pt idx="24" formatCode="0.00">
                  <c:v>11.631072337249099</c:v>
                </c:pt>
                <c:pt idx="31" formatCode="0.00">
                  <c:v>9.851591451310231</c:v>
                </c:pt>
                <c:pt idx="38">
                  <c:v>6.8426307821480634</c:v>
                </c:pt>
                <c:pt idx="45" formatCode="0.00">
                  <c:v>13.129689424524001</c:v>
                </c:pt>
                <c:pt idx="54">
                  <c:v>16.361427991519299</c:v>
                </c:pt>
              </c:numCache>
            </c:numRef>
          </c:val>
          <c:extLst>
            <c:ext xmlns:c16="http://schemas.microsoft.com/office/drawing/2014/chart" uri="{C3380CC4-5D6E-409C-BE32-E72D297353CC}">
              <c16:uniqueId val="{000000A6-8C1B-4C12-AABC-1B2D99824493}"/>
            </c:ext>
          </c:extLst>
        </c:ser>
        <c:ser>
          <c:idx val="50"/>
          <c:order val="64"/>
          <c:tx>
            <c:strRef>
              <c:f>'Grafik Heu-Milch'!$BP$3:$BP$4</c:f>
              <c:strCache>
                <c:ptCount val="2"/>
                <c:pt idx="0">
                  <c:v>PFOS </c:v>
                </c:pt>
              </c:strCache>
            </c:strRef>
          </c:tx>
          <c:spPr>
            <a:pattFill prst="wdUpDiag">
              <a:fgClr>
                <a:schemeClr val="accent3">
                  <a:lumMod val="20000"/>
                  <a:lumOff val="80000"/>
                </a:schemeClr>
              </a:fgClr>
              <a:bgClr>
                <a:schemeClr val="accent3">
                  <a:lumMod val="60000"/>
                  <a:lumOff val="40000"/>
                </a:schemeClr>
              </a:bgClr>
            </a:pattFill>
            <a:ln>
              <a:noFill/>
            </a:ln>
            <a:effectLst/>
          </c:spPr>
          <c:invertIfNegative val="0"/>
          <c:cat>
            <c:numRef>
              <c:f>'Grafik Heu-Milch'!$C$5:$C$141</c:f>
              <c:numCache>
                <c:formatCode>General</c:formatCode>
                <c:ptCount val="1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numCache>
            </c:numRef>
          </c:cat>
          <c:val>
            <c:numRef>
              <c:f>'Grafik Heu-Milch'!$BP$5:$BP$141</c:f>
              <c:numCache>
                <c:formatCode>General</c:formatCode>
                <c:ptCount val="137"/>
                <c:pt idx="1">
                  <c:v>7.4132099676053507</c:v>
                </c:pt>
                <c:pt idx="5">
                  <c:v>17.867613808849956</c:v>
                </c:pt>
                <c:pt idx="10" formatCode="0.00">
                  <c:v>16.650852434292901</c:v>
                </c:pt>
                <c:pt idx="17">
                  <c:v>17.930209122602253</c:v>
                </c:pt>
                <c:pt idx="24" formatCode="0.00">
                  <c:v>11.705069385867001</c:v>
                </c:pt>
                <c:pt idx="31" formatCode="0.00">
                  <c:v>8.9718800506483891</c:v>
                </c:pt>
                <c:pt idx="38">
                  <c:v>7.5286040622558001</c:v>
                </c:pt>
                <c:pt idx="45" formatCode="0.00">
                  <c:v>15.950353546951201</c:v>
                </c:pt>
                <c:pt idx="54">
                  <c:v>11.258560692495381</c:v>
                </c:pt>
              </c:numCache>
            </c:numRef>
          </c:val>
          <c:extLst>
            <c:ext xmlns:c16="http://schemas.microsoft.com/office/drawing/2014/chart" uri="{C3380CC4-5D6E-409C-BE32-E72D297353CC}">
              <c16:uniqueId val="{000000B8-8C1B-4C12-AABC-1B2D99824493}"/>
            </c:ext>
          </c:extLst>
        </c:ser>
        <c:ser>
          <c:idx val="52"/>
          <c:order val="66"/>
          <c:tx>
            <c:strRef>
              <c:f>'Grafik Heu-Milch'!$BR$3:$BR$4</c:f>
              <c:strCache>
                <c:ptCount val="2"/>
                <c:pt idx="0">
                  <c:v>PFNS </c:v>
                </c:pt>
              </c:strCache>
            </c:strRef>
          </c:tx>
          <c:spPr>
            <a:pattFill prst="wdUpDiag">
              <a:fgClr>
                <a:schemeClr val="accent3">
                  <a:lumMod val="20000"/>
                  <a:lumOff val="80000"/>
                </a:schemeClr>
              </a:fgClr>
              <a:bgClr>
                <a:schemeClr val="accent6"/>
              </a:bgClr>
            </a:pattFill>
            <a:ln>
              <a:noFill/>
            </a:ln>
            <a:effectLst/>
          </c:spPr>
          <c:invertIfNegative val="0"/>
          <c:cat>
            <c:numRef>
              <c:f>'Grafik Heu-Milch'!$C$5:$C$141</c:f>
              <c:numCache>
                <c:formatCode>General</c:formatCode>
                <c:ptCount val="1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numCache>
            </c:numRef>
          </c:cat>
          <c:val>
            <c:numRef>
              <c:f>'Grafik Heu-Milch'!$BR$5:$BR$141</c:f>
              <c:numCache>
                <c:formatCode>General</c:formatCode>
                <c:ptCount val="137"/>
                <c:pt idx="1">
                  <c:v>95.473585232963842</c:v>
                </c:pt>
                <c:pt idx="5">
                  <c:v>232.68122448949794</c:v>
                </c:pt>
                <c:pt idx="10" formatCode="0.00">
                  <c:v>248.80756377494203</c:v>
                </c:pt>
                <c:pt idx="17">
                  <c:v>252.31629336598149</c:v>
                </c:pt>
                <c:pt idx="24" formatCode="0.00">
                  <c:v>160.25291660039298</c:v>
                </c:pt>
                <c:pt idx="31" formatCode="0.00">
                  <c:v>115.423358757155</c:v>
                </c:pt>
                <c:pt idx="38">
                  <c:v>138.46662341183415</c:v>
                </c:pt>
                <c:pt idx="45" formatCode="0.00">
                  <c:v>239.27138341265501</c:v>
                </c:pt>
                <c:pt idx="54">
                  <c:v>149.04818280892346</c:v>
                </c:pt>
              </c:numCache>
            </c:numRef>
          </c:val>
          <c:extLst>
            <c:ext xmlns:c16="http://schemas.microsoft.com/office/drawing/2014/chart" uri="{C3380CC4-5D6E-409C-BE32-E72D297353CC}">
              <c16:uniqueId val="{000000BA-8C1B-4C12-AABC-1B2D99824493}"/>
            </c:ext>
          </c:extLst>
        </c:ser>
        <c:ser>
          <c:idx val="54"/>
          <c:order val="68"/>
          <c:tx>
            <c:strRef>
              <c:f>'Grafik Heu-Milch'!$BT$3:$BT$4</c:f>
              <c:strCache>
                <c:ptCount val="2"/>
                <c:pt idx="0">
                  <c:v>PFDS </c:v>
                </c:pt>
              </c:strCache>
            </c:strRef>
          </c:tx>
          <c:spPr>
            <a:pattFill prst="wdUpDiag">
              <a:fgClr>
                <a:schemeClr val="accent3">
                  <a:lumMod val="20000"/>
                  <a:lumOff val="80000"/>
                </a:schemeClr>
              </a:fgClr>
              <a:bgClr>
                <a:schemeClr val="accent2">
                  <a:lumMod val="75000"/>
                </a:schemeClr>
              </a:bgClr>
            </a:pattFill>
            <a:ln>
              <a:noFill/>
            </a:ln>
            <a:effectLst/>
          </c:spPr>
          <c:invertIfNegative val="0"/>
          <c:cat>
            <c:numRef>
              <c:f>'Grafik Heu-Milch'!$C$5:$C$141</c:f>
              <c:numCache>
                <c:formatCode>General</c:formatCode>
                <c:ptCount val="1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numCache>
            </c:numRef>
          </c:cat>
          <c:val>
            <c:numRef>
              <c:f>'Grafik Heu-Milch'!$BT$5:$BT$141</c:f>
              <c:numCache>
                <c:formatCode>General</c:formatCode>
                <c:ptCount val="137"/>
                <c:pt idx="1">
                  <c:v>61.507040737694766</c:v>
                </c:pt>
                <c:pt idx="5">
                  <c:v>172.43337110671223</c:v>
                </c:pt>
                <c:pt idx="10" formatCode="0.00">
                  <c:v>177.553335974833</c:v>
                </c:pt>
                <c:pt idx="17">
                  <c:v>199.02908846975811</c:v>
                </c:pt>
                <c:pt idx="24" formatCode="0.00">
                  <c:v>76.710755967089298</c:v>
                </c:pt>
                <c:pt idx="31" formatCode="0.00">
                  <c:v>98.520132704316197</c:v>
                </c:pt>
                <c:pt idx="38">
                  <c:v>77.050581745597441</c:v>
                </c:pt>
                <c:pt idx="45" formatCode="0.00">
                  <c:v>157.74471310328499</c:v>
                </c:pt>
                <c:pt idx="54">
                  <c:v>87.609408194482157</c:v>
                </c:pt>
              </c:numCache>
            </c:numRef>
          </c:val>
          <c:extLst>
            <c:ext xmlns:c16="http://schemas.microsoft.com/office/drawing/2014/chart" uri="{C3380CC4-5D6E-409C-BE32-E72D297353CC}">
              <c16:uniqueId val="{000000BC-8C1B-4C12-AABC-1B2D99824493}"/>
            </c:ext>
          </c:extLst>
        </c:ser>
        <c:ser>
          <c:idx val="56"/>
          <c:order val="70"/>
          <c:tx>
            <c:strRef>
              <c:f>'Grafik Heu-Milch'!$BV$3:$BV$4</c:f>
              <c:strCache>
                <c:ptCount val="2"/>
                <c:pt idx="0">
                  <c:v>PFUnDS </c:v>
                </c:pt>
              </c:strCache>
            </c:strRef>
          </c:tx>
          <c:spPr>
            <a:pattFill prst="wdUpDiag">
              <a:fgClr>
                <a:schemeClr val="accent3">
                  <a:lumMod val="20000"/>
                  <a:lumOff val="80000"/>
                </a:schemeClr>
              </a:fgClr>
              <a:bgClr>
                <a:schemeClr val="accent1">
                  <a:lumMod val="60000"/>
                  <a:lumOff val="40000"/>
                </a:schemeClr>
              </a:bgClr>
            </a:pattFill>
            <a:ln>
              <a:noFill/>
            </a:ln>
            <a:effectLst/>
          </c:spPr>
          <c:invertIfNegative val="0"/>
          <c:cat>
            <c:numRef>
              <c:f>'Grafik Heu-Milch'!$C$5:$C$141</c:f>
              <c:numCache>
                <c:formatCode>General</c:formatCode>
                <c:ptCount val="1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numCache>
            </c:numRef>
          </c:cat>
          <c:val>
            <c:numRef>
              <c:f>'Grafik Heu-Milch'!$BV$5:$BV$141</c:f>
              <c:numCache>
                <c:formatCode>General</c:formatCode>
                <c:ptCount val="137"/>
                <c:pt idx="1">
                  <c:v>37.804323845825451</c:v>
                </c:pt>
                <c:pt idx="5">
                  <c:v>137.76974280995077</c:v>
                </c:pt>
                <c:pt idx="10" formatCode="0.00">
                  <c:v>152.498992336415</c:v>
                </c:pt>
                <c:pt idx="17">
                  <c:v>163.23895821010387</c:v>
                </c:pt>
                <c:pt idx="24" formatCode="0.00">
                  <c:v>47.379473277695702</c:v>
                </c:pt>
                <c:pt idx="31" formatCode="0.00">
                  <c:v>55.523788940391505</c:v>
                </c:pt>
                <c:pt idx="38">
                  <c:v>42.034433392079691</c:v>
                </c:pt>
                <c:pt idx="45" formatCode="0.00">
                  <c:v>159.76419796254899</c:v>
                </c:pt>
                <c:pt idx="54">
                  <c:v>50.278417380908692</c:v>
                </c:pt>
              </c:numCache>
            </c:numRef>
          </c:val>
          <c:extLst>
            <c:ext xmlns:c16="http://schemas.microsoft.com/office/drawing/2014/chart" uri="{C3380CC4-5D6E-409C-BE32-E72D297353CC}">
              <c16:uniqueId val="{000000BE-8C1B-4C12-AABC-1B2D99824493}"/>
            </c:ext>
          </c:extLst>
        </c:ser>
        <c:ser>
          <c:idx val="59"/>
          <c:order val="72"/>
          <c:tx>
            <c:strRef>
              <c:f>'Grafik Heu-Milch'!$BX$3:$BX$4</c:f>
              <c:strCache>
                <c:ptCount val="2"/>
                <c:pt idx="0">
                  <c:v>PFDoDS </c:v>
                </c:pt>
              </c:strCache>
            </c:strRef>
          </c:tx>
          <c:spPr>
            <a:pattFill prst="wdUpDiag">
              <a:fgClr>
                <a:schemeClr val="accent3">
                  <a:lumMod val="20000"/>
                  <a:lumOff val="80000"/>
                </a:schemeClr>
              </a:fgClr>
              <a:bgClr>
                <a:schemeClr val="tx2">
                  <a:lumMod val="40000"/>
                  <a:lumOff val="60000"/>
                </a:schemeClr>
              </a:bgClr>
            </a:pattFill>
            <a:ln>
              <a:noFill/>
            </a:ln>
            <a:effectLst/>
          </c:spPr>
          <c:invertIfNegative val="0"/>
          <c:cat>
            <c:numRef>
              <c:f>'Grafik Heu-Milch'!$C$5:$C$141</c:f>
              <c:numCache>
                <c:formatCode>General</c:formatCode>
                <c:ptCount val="1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numCache>
            </c:numRef>
          </c:cat>
          <c:val>
            <c:numRef>
              <c:f>'Grafik Heu-Milch'!$BX$5:$BX$141</c:f>
              <c:numCache>
                <c:formatCode>General</c:formatCode>
                <c:ptCount val="137"/>
                <c:pt idx="1">
                  <c:v>20.991912309041862</c:v>
                </c:pt>
                <c:pt idx="5">
                  <c:v>83.664403990786809</c:v>
                </c:pt>
                <c:pt idx="10" formatCode="0.00">
                  <c:v>82.618174902960391</c:v>
                </c:pt>
                <c:pt idx="17">
                  <c:v>95.938403390697857</c:v>
                </c:pt>
                <c:pt idx="24" formatCode="0.00">
                  <c:v>23.862555927357501</c:v>
                </c:pt>
                <c:pt idx="31" formatCode="0.00">
                  <c:v>28.760986497563202</c:v>
                </c:pt>
                <c:pt idx="38">
                  <c:v>21.446036836039834</c:v>
                </c:pt>
                <c:pt idx="45" formatCode="0.00">
                  <c:v>96.841285802701094</c:v>
                </c:pt>
                <c:pt idx="54">
                  <c:v>28.023422094363486</c:v>
                </c:pt>
              </c:numCache>
            </c:numRef>
          </c:val>
          <c:extLst>
            <c:ext xmlns:c16="http://schemas.microsoft.com/office/drawing/2014/chart" uri="{C3380CC4-5D6E-409C-BE32-E72D297353CC}">
              <c16:uniqueId val="{000000C0-8C1B-4C12-AABC-1B2D99824493}"/>
            </c:ext>
          </c:extLst>
        </c:ser>
        <c:ser>
          <c:idx val="74"/>
          <c:order val="74"/>
          <c:tx>
            <c:strRef>
              <c:f>'Grafik Heu-Milch'!$BZ$3:$BZ$4</c:f>
              <c:strCache>
                <c:ptCount val="2"/>
                <c:pt idx="0">
                  <c:v>PFTrDS </c:v>
                </c:pt>
              </c:strCache>
            </c:strRef>
          </c:tx>
          <c:spPr>
            <a:pattFill prst="wdUpDiag">
              <a:fgClr>
                <a:schemeClr val="accent3">
                  <a:lumMod val="20000"/>
                  <a:lumOff val="80000"/>
                </a:schemeClr>
              </a:fgClr>
              <a:bgClr>
                <a:srgbClr val="002060"/>
              </a:bgClr>
            </a:pattFill>
            <a:ln>
              <a:noFill/>
            </a:ln>
            <a:effectLst/>
          </c:spPr>
          <c:invertIfNegative val="0"/>
          <c:cat>
            <c:numRef>
              <c:f>'Grafik Heu-Milch'!$C$5:$C$141</c:f>
              <c:numCache>
                <c:formatCode>General</c:formatCode>
                <c:ptCount val="1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numCache>
            </c:numRef>
          </c:cat>
          <c:val>
            <c:numRef>
              <c:f>'Grafik Heu-Milch'!$BZ$5:$BZ$141</c:f>
              <c:numCache>
                <c:formatCode>General</c:formatCode>
                <c:ptCount val="137"/>
                <c:pt idx="1">
                  <c:v>22.595168661807797</c:v>
                </c:pt>
                <c:pt idx="5">
                  <c:v>89.578592344575796</c:v>
                </c:pt>
                <c:pt idx="10" formatCode="0.00">
                  <c:v>88.5862934557519</c:v>
                </c:pt>
                <c:pt idx="17">
                  <c:v>106.23086859369408</c:v>
                </c:pt>
                <c:pt idx="24" formatCode="0.00">
                  <c:v>28.089957133424001</c:v>
                </c:pt>
                <c:pt idx="31" formatCode="0.00">
                  <c:v>33.631368363258801</c:v>
                </c:pt>
                <c:pt idx="38">
                  <c:v>22.068410639462034</c:v>
                </c:pt>
                <c:pt idx="45" formatCode="0.00">
                  <c:v>116.615226045043</c:v>
                </c:pt>
                <c:pt idx="54">
                  <c:v>30.058392848269872</c:v>
                </c:pt>
              </c:numCache>
            </c:numRef>
          </c:val>
          <c:extLst>
            <c:ext xmlns:c16="http://schemas.microsoft.com/office/drawing/2014/chart" uri="{C3380CC4-5D6E-409C-BE32-E72D297353CC}">
              <c16:uniqueId val="{000000C2-8C1B-4C12-AABC-1B2D99824493}"/>
            </c:ext>
          </c:extLst>
        </c:ser>
        <c:ser>
          <c:idx val="76"/>
          <c:order val="76"/>
          <c:tx>
            <c:strRef>
              <c:f>'Grafik Heu-Milch'!$CB$3:$CB$4</c:f>
              <c:strCache>
                <c:ptCount val="2"/>
                <c:pt idx="0">
                  <c:v>rest</c:v>
                </c:pt>
              </c:strCache>
            </c:strRef>
          </c:tx>
          <c:spPr>
            <a:solidFill>
              <a:schemeClr val="accent4">
                <a:lumMod val="10000"/>
              </a:schemeClr>
            </a:solidFill>
            <a:ln>
              <a:noFill/>
            </a:ln>
            <a:effectLst/>
          </c:spPr>
          <c:invertIfNegative val="0"/>
          <c:cat>
            <c:numRef>
              <c:f>'Grafik Heu-Milch'!$C$5:$C$141</c:f>
              <c:numCache>
                <c:formatCode>General</c:formatCode>
                <c:ptCount val="1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numCache>
            </c:numRef>
          </c:cat>
          <c:val>
            <c:numRef>
              <c:f>'Grafik Heu-Milch'!$CB$5:$CB$141</c:f>
              <c:numCache>
                <c:formatCode>General</c:formatCode>
                <c:ptCount val="137"/>
                <c:pt idx="1">
                  <c:v>24.391229383179564</c:v>
                </c:pt>
                <c:pt idx="5">
                  <c:v>41.444700265253736</c:v>
                </c:pt>
                <c:pt idx="10">
                  <c:v>37.501933040248389</c:v>
                </c:pt>
                <c:pt idx="17">
                  <c:v>49.885367800729107</c:v>
                </c:pt>
                <c:pt idx="24">
                  <c:v>33.238795957477684</c:v>
                </c:pt>
                <c:pt idx="31">
                  <c:v>28.536696456912534</c:v>
                </c:pt>
                <c:pt idx="38">
                  <c:v>22.097269377575191</c:v>
                </c:pt>
                <c:pt idx="45">
                  <c:v>37.304779594950894</c:v>
                </c:pt>
                <c:pt idx="54">
                  <c:v>37.216055708059379</c:v>
                </c:pt>
                <c:pt idx="57">
                  <c:v>0</c:v>
                </c:pt>
                <c:pt idx="61">
                  <c:v>0</c:v>
                </c:pt>
                <c:pt idx="73">
                  <c:v>0</c:v>
                </c:pt>
                <c:pt idx="101">
                  <c:v>0</c:v>
                </c:pt>
                <c:pt idx="136">
                  <c:v>0</c:v>
                </c:pt>
              </c:numCache>
            </c:numRef>
          </c:val>
          <c:extLst>
            <c:ext xmlns:c16="http://schemas.microsoft.com/office/drawing/2014/chart" uri="{C3380CC4-5D6E-409C-BE32-E72D297353CC}">
              <c16:uniqueId val="{000000C4-8C1B-4C12-AABC-1B2D99824493}"/>
            </c:ext>
          </c:extLst>
        </c:ser>
        <c:dLbls>
          <c:showLegendKey val="0"/>
          <c:showVal val="0"/>
          <c:showCatName val="0"/>
          <c:showSerName val="0"/>
          <c:showPercent val="0"/>
          <c:showBubbleSize val="0"/>
        </c:dLbls>
        <c:gapWidth val="1"/>
        <c:overlap val="100"/>
        <c:axId val="483878992"/>
        <c:axId val="483879408"/>
        <c:extLst>
          <c:ext xmlns:c15="http://schemas.microsoft.com/office/drawing/2012/chart" uri="{02D57815-91ED-43cb-92C2-25804820EDAC}">
            <c15:filteredBarSeries>
              <c15:ser>
                <c:idx val="8"/>
                <c:order val="4"/>
                <c:tx>
                  <c:strRef>
                    <c:extLst>
                      <c:ext uri="{02D57815-91ED-43cb-92C2-25804820EDAC}">
                        <c15:formulaRef>
                          <c15:sqref>'Grafik Heu-Milch'!$H$3:$H$4</c15:sqref>
                        </c15:formulaRef>
                      </c:ext>
                    </c:extLst>
                    <c:strCache>
                      <c:ptCount val="2"/>
                      <c:pt idx="0">
                        <c:v>PFHxA </c:v>
                      </c:pt>
                    </c:strCache>
                  </c:strRef>
                </c:tx>
                <c:spPr>
                  <a:solidFill>
                    <a:schemeClr val="accent3">
                      <a:lumMod val="60000"/>
                    </a:schemeClr>
                  </a:solidFill>
                  <a:ln>
                    <a:noFill/>
                  </a:ln>
                  <a:effectLst/>
                </c:spPr>
                <c:invertIfNegative val="0"/>
                <c:cat>
                  <c:numRef>
                    <c:extLst>
                      <c:ext uri="{02D57815-91ED-43cb-92C2-25804820EDAC}">
                        <c15:formulaRef>
                          <c15:sqref>'Grafik Heu-Milch'!$C$5:$C$141</c15:sqref>
                        </c15:formulaRef>
                      </c:ext>
                    </c:extLst>
                    <c:numCache>
                      <c:formatCode>General</c:formatCode>
                      <c:ptCount val="1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numCache>
                  </c:numRef>
                </c:cat>
                <c:val>
                  <c:numRef>
                    <c:extLst>
                      <c:ext uri="{02D57815-91ED-43cb-92C2-25804820EDAC}">
                        <c15:formulaRef>
                          <c15:sqref>'Grafik Heu-Milch'!$H$5:$H$141</c15:sqref>
                        </c15:formulaRef>
                      </c:ext>
                    </c:extLst>
                    <c:numCache>
                      <c:formatCode>General</c:formatCode>
                      <c:ptCount val="137"/>
                      <c:pt idx="1">
                        <c:v>7.8371614534380782</c:v>
                      </c:pt>
                      <c:pt idx="5">
                        <c:v>8.9387467419751303</c:v>
                      </c:pt>
                      <c:pt idx="10" formatCode="0.00">
                        <c:v>10.6523045877275</c:v>
                      </c:pt>
                      <c:pt idx="17">
                        <c:v>11.2437509363321</c:v>
                      </c:pt>
                      <c:pt idx="24" formatCode="0.00">
                        <c:v>12.932840401327899</c:v>
                      </c:pt>
                      <c:pt idx="31" formatCode="0.00">
                        <c:v>9.9122905174793505</c:v>
                      </c:pt>
                      <c:pt idx="38">
                        <c:v>8.0491206778539865</c:v>
                      </c:pt>
                      <c:pt idx="45" formatCode="0.00">
                        <c:v>10.366333827226999</c:v>
                      </c:pt>
                      <c:pt idx="54">
                        <c:v>10.412261070908901</c:v>
                      </c:pt>
                    </c:numCache>
                  </c:numRef>
                </c:val>
                <c:extLst>
                  <c:ext xmlns:c16="http://schemas.microsoft.com/office/drawing/2014/chart" uri="{C3380CC4-5D6E-409C-BE32-E72D297353CC}">
                    <c16:uniqueId val="{00000008-0635-4FE2-BA0A-D215CB6B9264}"/>
                  </c:ext>
                </c:extLst>
              </c15:ser>
            </c15:filteredBarSeries>
            <c15:filteredBarSeries>
              <c15:ser>
                <c:idx val="30"/>
                <c:order val="6"/>
                <c:tx>
                  <c:strRef>
                    <c:extLst xmlns:c15="http://schemas.microsoft.com/office/drawing/2012/chart">
                      <c:ext xmlns:c15="http://schemas.microsoft.com/office/drawing/2012/chart" uri="{02D57815-91ED-43cb-92C2-25804820EDAC}">
                        <c15:formulaRef>
                          <c15:sqref>'Grafik Heu-Milch'!$J$3:$J$4</c15:sqref>
                        </c15:formulaRef>
                      </c:ext>
                    </c:extLst>
                    <c:strCache>
                      <c:ptCount val="2"/>
                      <c:pt idx="0">
                        <c:v>PFHpA </c:v>
                      </c:pt>
                    </c:strCache>
                  </c:strRef>
                </c:tx>
                <c:spPr>
                  <a:solidFill>
                    <a:schemeClr val="accent1">
                      <a:lumMod val="50000"/>
                    </a:schemeClr>
                  </a:solidFill>
                  <a:ln>
                    <a:noFill/>
                  </a:ln>
                  <a:effectLst/>
                </c:spPr>
                <c:invertIfNegative val="0"/>
                <c:cat>
                  <c:numRef>
                    <c:extLst xmlns:c15="http://schemas.microsoft.com/office/drawing/2012/chart">
                      <c:ext xmlns:c15="http://schemas.microsoft.com/office/drawing/2012/chart" uri="{02D57815-91ED-43cb-92C2-25804820EDAC}">
                        <c15:formulaRef>
                          <c15:sqref>'Grafik Heu-Milch'!$C$5:$C$141</c15:sqref>
                        </c15:formulaRef>
                      </c:ext>
                    </c:extLst>
                    <c:numCache>
                      <c:formatCode>General</c:formatCode>
                      <c:ptCount val="1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numCache>
                  </c:numRef>
                </c:cat>
                <c:val>
                  <c:numRef>
                    <c:extLst xmlns:c15="http://schemas.microsoft.com/office/drawing/2012/chart">
                      <c:ext xmlns:c15="http://schemas.microsoft.com/office/drawing/2012/chart" uri="{02D57815-91ED-43cb-92C2-25804820EDAC}">
                        <c15:formulaRef>
                          <c15:sqref>'Grafik Heu-Milch'!$J$5:$J$141</c15:sqref>
                        </c15:formulaRef>
                      </c:ext>
                    </c:extLst>
                    <c:numCache>
                      <c:formatCode>General</c:formatCode>
                      <c:ptCount val="137"/>
                      <c:pt idx="1">
                        <c:v>1.8840850181243944</c:v>
                      </c:pt>
                      <c:pt idx="5">
                        <c:v>2.7605349244588533</c:v>
                      </c:pt>
                      <c:pt idx="10" formatCode="0.00">
                        <c:v>2.7120494761520599</c:v>
                      </c:pt>
                      <c:pt idx="17">
                        <c:v>3.3347835682208702</c:v>
                      </c:pt>
                      <c:pt idx="24" formatCode="0.00">
                        <c:v>2.3886460803776899</c:v>
                      </c:pt>
                      <c:pt idx="31" formatCode="0.00">
                        <c:v>2.39241020104572</c:v>
                      </c:pt>
                      <c:pt idx="38">
                        <c:v>1.7629997888338071</c:v>
                      </c:pt>
                      <c:pt idx="45" formatCode="0.00">
                        <c:v>2.7501510068173203</c:v>
                      </c:pt>
                      <c:pt idx="54">
                        <c:v>3.10841470884594</c:v>
                      </c:pt>
                    </c:numCache>
                  </c:numRef>
                </c:val>
                <c:extLst xmlns:c15="http://schemas.microsoft.com/office/drawing/2012/chart">
                  <c:ext xmlns:c16="http://schemas.microsoft.com/office/drawing/2014/chart" uri="{C3380CC4-5D6E-409C-BE32-E72D297353CC}">
                    <c16:uniqueId val="{0000001F-0635-4FE2-BA0A-D215CB6B9264}"/>
                  </c:ext>
                </c:extLst>
              </c15:ser>
            </c15:filteredBarSeries>
            <c15:filteredBarSeries>
              <c15:ser>
                <c:idx val="34"/>
                <c:order val="10"/>
                <c:tx>
                  <c:strRef>
                    <c:extLst xmlns:c15="http://schemas.microsoft.com/office/drawing/2012/chart">
                      <c:ext xmlns:c15="http://schemas.microsoft.com/office/drawing/2012/chart" uri="{02D57815-91ED-43cb-92C2-25804820EDAC}">
                        <c15:formulaRef>
                          <c15:sqref>'Grafik Heu-Milch'!$N$3:$N$4</c15:sqref>
                        </c15:formulaRef>
                      </c:ext>
                    </c:extLst>
                    <c:strCache>
                      <c:ptCount val="2"/>
                      <c:pt idx="0">
                        <c:v>PFNA </c:v>
                      </c:pt>
                    </c:strCache>
                  </c:strRef>
                </c:tx>
                <c:spPr>
                  <a:solidFill>
                    <a:schemeClr val="accent5">
                      <a:lumMod val="50000"/>
                    </a:schemeClr>
                  </a:solidFill>
                  <a:ln>
                    <a:noFill/>
                  </a:ln>
                  <a:effectLst/>
                </c:spPr>
                <c:invertIfNegative val="0"/>
                <c:cat>
                  <c:numRef>
                    <c:extLst xmlns:c15="http://schemas.microsoft.com/office/drawing/2012/chart">
                      <c:ext xmlns:c15="http://schemas.microsoft.com/office/drawing/2012/chart" uri="{02D57815-91ED-43cb-92C2-25804820EDAC}">
                        <c15:formulaRef>
                          <c15:sqref>'Grafik Heu-Milch'!$C$5:$C$141</c15:sqref>
                        </c15:formulaRef>
                      </c:ext>
                    </c:extLst>
                    <c:numCache>
                      <c:formatCode>General</c:formatCode>
                      <c:ptCount val="1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numCache>
                  </c:numRef>
                </c:cat>
                <c:val>
                  <c:numRef>
                    <c:extLst xmlns:c15="http://schemas.microsoft.com/office/drawing/2012/chart">
                      <c:ext xmlns:c15="http://schemas.microsoft.com/office/drawing/2012/chart" uri="{02D57815-91ED-43cb-92C2-25804820EDAC}">
                        <c15:formulaRef>
                          <c15:sqref>'Grafik Heu-Milch'!$N$5:$N$141</c15:sqref>
                        </c15:formulaRef>
                      </c:ext>
                    </c:extLst>
                    <c:numCache>
                      <c:formatCode>General</c:formatCode>
                      <c:ptCount val="137"/>
                      <c:pt idx="1">
                        <c:v>0.20695650886551314</c:v>
                      </c:pt>
                      <c:pt idx="5">
                        <c:v>0.38618262110255053</c:v>
                      </c:pt>
                      <c:pt idx="10" formatCode="0.00">
                        <c:v>0.25347807396588001</c:v>
                      </c:pt>
                      <c:pt idx="17">
                        <c:v>0.39748327683575796</c:v>
                      </c:pt>
                      <c:pt idx="24" formatCode="0.00">
                        <c:v>0.24180542495007601</c:v>
                      </c:pt>
                      <c:pt idx="31" formatCode="0.00">
                        <c:v>0.18942493784011402</c:v>
                      </c:pt>
                      <c:pt idx="38">
                        <c:v>0.22179836975832079</c:v>
                      </c:pt>
                      <c:pt idx="45" formatCode="0.00">
                        <c:v>0.32587024272866399</c:v>
                      </c:pt>
                      <c:pt idx="54">
                        <c:v>0.33704811618345898</c:v>
                      </c:pt>
                    </c:numCache>
                  </c:numRef>
                </c:val>
                <c:extLst xmlns:c15="http://schemas.microsoft.com/office/drawing/2012/chart">
                  <c:ext xmlns:c16="http://schemas.microsoft.com/office/drawing/2014/chart" uri="{C3380CC4-5D6E-409C-BE32-E72D297353CC}">
                    <c16:uniqueId val="{00000023-0635-4FE2-BA0A-D215CB6B9264}"/>
                  </c:ext>
                </c:extLst>
              </c15:ser>
            </c15:filteredBarSeries>
            <c15:filteredBarSeries>
              <c15:ser>
                <c:idx val="36"/>
                <c:order val="12"/>
                <c:tx>
                  <c:strRef>
                    <c:extLst xmlns:c15="http://schemas.microsoft.com/office/drawing/2012/chart">
                      <c:ext xmlns:c15="http://schemas.microsoft.com/office/drawing/2012/chart" uri="{02D57815-91ED-43cb-92C2-25804820EDAC}">
                        <c15:formulaRef>
                          <c15:sqref>'Grafik Heu-Milch'!$P$3:$P$4</c15:sqref>
                        </c15:formulaRef>
                      </c:ext>
                    </c:extLst>
                    <c:strCache>
                      <c:ptCount val="2"/>
                      <c:pt idx="0">
                        <c:v>PFDA </c:v>
                      </c:pt>
                    </c:strCache>
                  </c:strRef>
                </c:tx>
                <c:spPr>
                  <a:solidFill>
                    <a:schemeClr val="accent1">
                      <a:lumMod val="70000"/>
                      <a:lumOff val="30000"/>
                    </a:schemeClr>
                  </a:solidFill>
                  <a:ln>
                    <a:noFill/>
                  </a:ln>
                  <a:effectLst/>
                </c:spPr>
                <c:invertIfNegative val="0"/>
                <c:cat>
                  <c:numRef>
                    <c:extLst xmlns:c15="http://schemas.microsoft.com/office/drawing/2012/chart">
                      <c:ext xmlns:c15="http://schemas.microsoft.com/office/drawing/2012/chart" uri="{02D57815-91ED-43cb-92C2-25804820EDAC}">
                        <c15:formulaRef>
                          <c15:sqref>'Grafik Heu-Milch'!$C$5:$C$141</c15:sqref>
                        </c15:formulaRef>
                      </c:ext>
                    </c:extLst>
                    <c:numCache>
                      <c:formatCode>General</c:formatCode>
                      <c:ptCount val="1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numCache>
                  </c:numRef>
                </c:cat>
                <c:val>
                  <c:numRef>
                    <c:extLst xmlns:c15="http://schemas.microsoft.com/office/drawing/2012/chart">
                      <c:ext xmlns:c15="http://schemas.microsoft.com/office/drawing/2012/chart" uri="{02D57815-91ED-43cb-92C2-25804820EDAC}">
                        <c15:formulaRef>
                          <c15:sqref>'Grafik Heu-Milch'!$P$5:$P$141</c15:sqref>
                        </c15:formulaRef>
                      </c:ext>
                    </c:extLst>
                    <c:numCache>
                      <c:formatCode>General</c:formatCode>
                      <c:ptCount val="137"/>
                      <c:pt idx="1">
                        <c:v>0.40858836169307472</c:v>
                      </c:pt>
                      <c:pt idx="5">
                        <c:v>0.95992861357052561</c:v>
                      </c:pt>
                      <c:pt idx="10" formatCode="0.00">
                        <c:v>0.57317397410050497</c:v>
                      </c:pt>
                      <c:pt idx="17">
                        <c:v>0.90041145810422996</c:v>
                      </c:pt>
                      <c:pt idx="24" formatCode="0.00">
                        <c:v>0.41964530868030997</c:v>
                      </c:pt>
                      <c:pt idx="31" formatCode="0.00">
                        <c:v>0.24967474201027098</c:v>
                      </c:pt>
                      <c:pt idx="38">
                        <c:v>0.50418508967587095</c:v>
                      </c:pt>
                      <c:pt idx="45" formatCode="0.00">
                        <c:v>0.66018318238595097</c:v>
                      </c:pt>
                      <c:pt idx="54">
                        <c:v>0.61942591056679708</c:v>
                      </c:pt>
                    </c:numCache>
                  </c:numRef>
                </c:val>
                <c:extLst xmlns:c15="http://schemas.microsoft.com/office/drawing/2012/chart">
                  <c:ext xmlns:c16="http://schemas.microsoft.com/office/drawing/2014/chart" uri="{C3380CC4-5D6E-409C-BE32-E72D297353CC}">
                    <c16:uniqueId val="{00000025-0635-4FE2-BA0A-D215CB6B9264}"/>
                  </c:ext>
                </c:extLst>
              </c15:ser>
            </c15:filteredBarSeries>
            <c15:filteredBarSeries>
              <c15:ser>
                <c:idx val="38"/>
                <c:order val="14"/>
                <c:tx>
                  <c:strRef>
                    <c:extLst xmlns:c15="http://schemas.microsoft.com/office/drawing/2012/chart">
                      <c:ext xmlns:c15="http://schemas.microsoft.com/office/drawing/2012/chart" uri="{02D57815-91ED-43cb-92C2-25804820EDAC}">
                        <c15:formulaRef>
                          <c15:sqref>'Grafik Heu-Milch'!$R$3:$R$4</c15:sqref>
                        </c15:formulaRef>
                      </c:ext>
                    </c:extLst>
                    <c:strCache>
                      <c:ptCount val="2"/>
                      <c:pt idx="0">
                        <c:v>PFUnDA </c:v>
                      </c:pt>
                    </c:strCache>
                  </c:strRef>
                </c:tx>
                <c:spPr>
                  <a:solidFill>
                    <a:schemeClr val="accent3">
                      <a:lumMod val="70000"/>
                      <a:lumOff val="30000"/>
                    </a:schemeClr>
                  </a:solidFill>
                  <a:ln>
                    <a:noFill/>
                  </a:ln>
                  <a:effectLst/>
                </c:spPr>
                <c:invertIfNegative val="0"/>
                <c:cat>
                  <c:numRef>
                    <c:extLst xmlns:c15="http://schemas.microsoft.com/office/drawing/2012/chart">
                      <c:ext xmlns:c15="http://schemas.microsoft.com/office/drawing/2012/chart" uri="{02D57815-91ED-43cb-92C2-25804820EDAC}">
                        <c15:formulaRef>
                          <c15:sqref>'Grafik Heu-Milch'!$C$5:$C$141</c15:sqref>
                        </c15:formulaRef>
                      </c:ext>
                    </c:extLst>
                    <c:numCache>
                      <c:formatCode>General</c:formatCode>
                      <c:ptCount val="1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numCache>
                  </c:numRef>
                </c:cat>
                <c:val>
                  <c:numRef>
                    <c:extLst xmlns:c15="http://schemas.microsoft.com/office/drawing/2012/chart">
                      <c:ext xmlns:c15="http://schemas.microsoft.com/office/drawing/2012/chart" uri="{02D57815-91ED-43cb-92C2-25804820EDAC}">
                        <c15:formulaRef>
                          <c15:sqref>'Grafik Heu-Milch'!$R$5:$R$141</c15:sqref>
                        </c15:formulaRef>
                      </c:ext>
                    </c:extLst>
                    <c:numCache>
                      <c:formatCode>General</c:formatCode>
                      <c:ptCount val="137"/>
                      <c:pt idx="1">
                        <c:v>0.21028213091197012</c:v>
                      </c:pt>
                      <c:pt idx="5">
                        <c:v>0.53897320576267504</c:v>
                      </c:pt>
                      <c:pt idx="10" formatCode="0.00">
                        <c:v>0.33631849532568497</c:v>
                      </c:pt>
                      <c:pt idx="17">
                        <c:v>0.59737938427432902</c:v>
                      </c:pt>
                      <c:pt idx="24" formatCode="0.00">
                        <c:v>0.151580398769354</c:v>
                      </c:pt>
                      <c:pt idx="31" formatCode="0.00">
                        <c:v>0.16983818082031499</c:v>
                      </c:pt>
                      <c:pt idx="38">
                        <c:v>0.22197198355747338</c:v>
                      </c:pt>
                      <c:pt idx="45" formatCode="0.00">
                        <c:v>0.36770725160448697</c:v>
                      </c:pt>
                      <c:pt idx="54">
                        <c:v>0.28389636812834901</c:v>
                      </c:pt>
                    </c:numCache>
                  </c:numRef>
                </c:val>
                <c:extLst xmlns:c15="http://schemas.microsoft.com/office/drawing/2012/chart">
                  <c:ext xmlns:c16="http://schemas.microsoft.com/office/drawing/2014/chart" uri="{C3380CC4-5D6E-409C-BE32-E72D297353CC}">
                    <c16:uniqueId val="{00000027-0635-4FE2-BA0A-D215CB6B9264}"/>
                  </c:ext>
                </c:extLst>
              </c15:ser>
            </c15:filteredBarSeries>
            <c15:filteredBarSeries>
              <c15:ser>
                <c:idx val="40"/>
                <c:order val="16"/>
                <c:tx>
                  <c:strRef>
                    <c:extLst xmlns:c15="http://schemas.microsoft.com/office/drawing/2012/chart">
                      <c:ext xmlns:c15="http://schemas.microsoft.com/office/drawing/2012/chart" uri="{02D57815-91ED-43cb-92C2-25804820EDAC}">
                        <c15:formulaRef>
                          <c15:sqref>'Grafik Heu-Milch'!$T$3:$T$4</c15:sqref>
                        </c15:formulaRef>
                      </c:ext>
                    </c:extLst>
                    <c:strCache>
                      <c:ptCount val="2"/>
                      <c:pt idx="0">
                        <c:v>PFDoDA </c:v>
                      </c:pt>
                    </c:strCache>
                  </c:strRef>
                </c:tx>
                <c:spPr>
                  <a:solidFill>
                    <a:schemeClr val="accent5">
                      <a:lumMod val="70000"/>
                      <a:lumOff val="30000"/>
                    </a:schemeClr>
                  </a:solidFill>
                  <a:ln>
                    <a:noFill/>
                  </a:ln>
                  <a:effectLst/>
                </c:spPr>
                <c:invertIfNegative val="0"/>
                <c:cat>
                  <c:numRef>
                    <c:extLst xmlns:c15="http://schemas.microsoft.com/office/drawing/2012/chart">
                      <c:ext xmlns:c15="http://schemas.microsoft.com/office/drawing/2012/chart" uri="{02D57815-91ED-43cb-92C2-25804820EDAC}">
                        <c15:formulaRef>
                          <c15:sqref>'Grafik Heu-Milch'!$C$5:$C$141</c15:sqref>
                        </c15:formulaRef>
                      </c:ext>
                    </c:extLst>
                    <c:numCache>
                      <c:formatCode>General</c:formatCode>
                      <c:ptCount val="1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numCache>
                  </c:numRef>
                </c:cat>
                <c:val>
                  <c:numRef>
                    <c:extLst xmlns:c15="http://schemas.microsoft.com/office/drawing/2012/chart">
                      <c:ext xmlns:c15="http://schemas.microsoft.com/office/drawing/2012/chart" uri="{02D57815-91ED-43cb-92C2-25804820EDAC}">
                        <c15:formulaRef>
                          <c15:sqref>'Grafik Heu-Milch'!$T$5:$T$141</c15:sqref>
                        </c15:formulaRef>
                      </c:ext>
                    </c:extLst>
                    <c:numCache>
                      <c:formatCode>General</c:formatCode>
                      <c:ptCount val="137"/>
                      <c:pt idx="1">
                        <c:v>0.28451861718023885</c:v>
                      </c:pt>
                      <c:pt idx="5">
                        <c:v>0.79266203665573742</c:v>
                      </c:pt>
                      <c:pt idx="10" formatCode="0.00">
                        <c:v>0.48063332634213402</c:v>
                      </c:pt>
                      <c:pt idx="17">
                        <c:v>0.83409934677813502</c:v>
                      </c:pt>
                      <c:pt idx="24" formatCode="0.00">
                        <c:v>0.19621007491470399</c:v>
                      </c:pt>
                      <c:pt idx="31" formatCode="0.00">
                        <c:v>0.24775821269648099</c:v>
                      </c:pt>
                      <c:pt idx="38">
                        <c:v>0.28378982277853176</c:v>
                      </c:pt>
                      <c:pt idx="45" formatCode="0.00">
                        <c:v>0.64114752555755794</c:v>
                      </c:pt>
                      <c:pt idx="54">
                        <c:v>0.35383699277453601</c:v>
                      </c:pt>
                    </c:numCache>
                  </c:numRef>
                </c:val>
                <c:extLst xmlns:c15="http://schemas.microsoft.com/office/drawing/2012/chart">
                  <c:ext xmlns:c16="http://schemas.microsoft.com/office/drawing/2014/chart" uri="{C3380CC4-5D6E-409C-BE32-E72D297353CC}">
                    <c16:uniqueId val="{00000029-0635-4FE2-BA0A-D215CB6B9264}"/>
                  </c:ext>
                </c:extLst>
              </c15:ser>
            </c15:filteredBarSeries>
            <c15:filteredBarSeries>
              <c15:ser>
                <c:idx val="58"/>
                <c:order val="18"/>
                <c:tx>
                  <c:strRef>
                    <c:extLst xmlns:c15="http://schemas.microsoft.com/office/drawing/2012/chart">
                      <c:ext xmlns:c15="http://schemas.microsoft.com/office/drawing/2012/chart" uri="{02D57815-91ED-43cb-92C2-25804820EDAC}">
                        <c15:formulaRef>
                          <c15:sqref>'Grafik Heu-Milch'!$V$3:$V$4</c15:sqref>
                        </c15:formulaRef>
                      </c:ext>
                    </c:extLst>
                    <c:strCache>
                      <c:ptCount val="2"/>
                      <c:pt idx="0">
                        <c:v>PFTrDA </c:v>
                      </c:pt>
                    </c:strCache>
                  </c:strRef>
                </c:tx>
                <c:spPr>
                  <a:solidFill>
                    <a:schemeClr val="accent5"/>
                  </a:solidFill>
                  <a:ln>
                    <a:noFill/>
                  </a:ln>
                  <a:effectLst/>
                </c:spPr>
                <c:invertIfNegative val="0"/>
                <c:cat>
                  <c:numRef>
                    <c:extLst xmlns:c15="http://schemas.microsoft.com/office/drawing/2012/chart">
                      <c:ext xmlns:c15="http://schemas.microsoft.com/office/drawing/2012/chart" uri="{02D57815-91ED-43cb-92C2-25804820EDAC}">
                        <c15:formulaRef>
                          <c15:sqref>'Grafik Heu-Milch'!$C$5:$C$141</c15:sqref>
                        </c15:formulaRef>
                      </c:ext>
                    </c:extLst>
                    <c:numCache>
                      <c:formatCode>General</c:formatCode>
                      <c:ptCount val="1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numCache>
                  </c:numRef>
                </c:cat>
                <c:val>
                  <c:numRef>
                    <c:extLst xmlns:c15="http://schemas.microsoft.com/office/drawing/2012/chart">
                      <c:ext xmlns:c15="http://schemas.microsoft.com/office/drawing/2012/chart" uri="{02D57815-91ED-43cb-92C2-25804820EDAC}">
                        <c15:formulaRef>
                          <c15:sqref>'Grafik Heu-Milch'!$V$5:$V$141</c15:sqref>
                        </c15:formulaRef>
                      </c:ext>
                    </c:extLst>
                    <c:numCache>
                      <c:formatCode>General</c:formatCode>
                      <c:ptCount val="137"/>
                      <c:pt idx="1">
                        <c:v>0.1674303660925579</c:v>
                      </c:pt>
                      <c:pt idx="5">
                        <c:v>0.49535022842932763</c:v>
                      </c:pt>
                      <c:pt idx="10" formatCode="0.00">
                        <c:v>0.27289544722628301</c:v>
                      </c:pt>
                      <c:pt idx="17">
                        <c:v>0.53578700364111598</c:v>
                      </c:pt>
                      <c:pt idx="24" formatCode="0.00">
                        <c:v>9.7031372512366099E-2</c:v>
                      </c:pt>
                      <c:pt idx="31" formatCode="0.00">
                        <c:v>0.111269994694038</c:v>
                      </c:pt>
                      <c:pt idx="38">
                        <c:v>0.14252656987057394</c:v>
                      </c:pt>
                      <c:pt idx="45" formatCode="0.00">
                        <c:v>0.43346451840690903</c:v>
                      </c:pt>
                      <c:pt idx="54">
                        <c:v>0.195124215996584</c:v>
                      </c:pt>
                    </c:numCache>
                  </c:numRef>
                </c:val>
                <c:extLst xmlns:c15="http://schemas.microsoft.com/office/drawing/2012/chart">
                  <c:ext xmlns:c16="http://schemas.microsoft.com/office/drawing/2014/chart" uri="{C3380CC4-5D6E-409C-BE32-E72D297353CC}">
                    <c16:uniqueId val="{0000003B-0635-4FE2-BA0A-D215CB6B9264}"/>
                  </c:ext>
                </c:extLst>
              </c15:ser>
            </c15:filteredBarSeries>
            <c15:filteredBarSeries>
              <c15:ser>
                <c:idx val="61"/>
                <c:order val="20"/>
                <c:tx>
                  <c:strRef>
                    <c:extLst xmlns:c15="http://schemas.microsoft.com/office/drawing/2012/chart">
                      <c:ext xmlns:c15="http://schemas.microsoft.com/office/drawing/2012/chart" uri="{02D57815-91ED-43cb-92C2-25804820EDAC}">
                        <c15:formulaRef>
                          <c15:sqref>'Grafik Heu-Milch'!$X$3:$X$4</c15:sqref>
                        </c15:formulaRef>
                      </c:ext>
                    </c:extLst>
                    <c:strCache>
                      <c:ptCount val="2"/>
                      <c:pt idx="0">
                        <c:v>PFTeDA </c:v>
                      </c:pt>
                    </c:strCache>
                  </c:strRef>
                </c:tx>
                <c:spPr>
                  <a:solidFill>
                    <a:schemeClr val="accent2">
                      <a:lumMod val="60000"/>
                    </a:schemeClr>
                  </a:solidFill>
                  <a:ln>
                    <a:noFill/>
                  </a:ln>
                  <a:effectLst/>
                </c:spPr>
                <c:invertIfNegative val="0"/>
                <c:cat>
                  <c:numRef>
                    <c:extLst xmlns:c15="http://schemas.microsoft.com/office/drawing/2012/chart">
                      <c:ext xmlns:c15="http://schemas.microsoft.com/office/drawing/2012/chart" uri="{02D57815-91ED-43cb-92C2-25804820EDAC}">
                        <c15:formulaRef>
                          <c15:sqref>'Grafik Heu-Milch'!$C$5:$C$141</c15:sqref>
                        </c15:formulaRef>
                      </c:ext>
                    </c:extLst>
                    <c:numCache>
                      <c:formatCode>General</c:formatCode>
                      <c:ptCount val="1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numCache>
                  </c:numRef>
                </c:cat>
                <c:val>
                  <c:numRef>
                    <c:extLst xmlns:c15="http://schemas.microsoft.com/office/drawing/2012/chart">
                      <c:ext xmlns:c15="http://schemas.microsoft.com/office/drawing/2012/chart" uri="{02D57815-91ED-43cb-92C2-25804820EDAC}">
                        <c15:formulaRef>
                          <c15:sqref>'Grafik Heu-Milch'!$X$5:$X$141</c15:sqref>
                        </c15:formulaRef>
                      </c:ext>
                    </c:extLst>
                    <c:numCache>
                      <c:formatCode>General</c:formatCode>
                      <c:ptCount val="137"/>
                      <c:pt idx="1">
                        <c:v>0.12317348611750197</c:v>
                      </c:pt>
                      <c:pt idx="5">
                        <c:v>0.35040926588403248</c:v>
                      </c:pt>
                      <c:pt idx="10" formatCode="0.00">
                        <c:v>0.19295079247776598</c:v>
                      </c:pt>
                      <c:pt idx="17">
                        <c:v>0.41609464937940499</c:v>
                      </c:pt>
                      <c:pt idx="24" formatCode="0.00">
                        <c:v>7.7226986158126606E-2</c:v>
                      </c:pt>
                      <c:pt idx="31" formatCode="0.00">
                        <c:v>9.8907880260458991E-2</c:v>
                      </c:pt>
                      <c:pt idx="38">
                        <c:v>0.10102500597245961</c:v>
                      </c:pt>
                      <c:pt idx="45" formatCode="0.00">
                        <c:v>0.33506044065206103</c:v>
                      </c:pt>
                      <c:pt idx="54">
                        <c:v>0.14479768914199501</c:v>
                      </c:pt>
                    </c:numCache>
                  </c:numRef>
                </c:val>
                <c:extLst xmlns:c15="http://schemas.microsoft.com/office/drawing/2012/chart">
                  <c:ext xmlns:c16="http://schemas.microsoft.com/office/drawing/2014/chart" uri="{C3380CC4-5D6E-409C-BE32-E72D297353CC}">
                    <c16:uniqueId val="{0000003E-0635-4FE2-BA0A-D215CB6B9264}"/>
                  </c:ext>
                </c:extLst>
              </c15:ser>
            </c15:filteredBarSeries>
            <c15:filteredBarSeries>
              <c15:ser>
                <c:idx val="63"/>
                <c:order val="22"/>
                <c:tx>
                  <c:strRef>
                    <c:extLst xmlns:c15="http://schemas.microsoft.com/office/drawing/2012/chart">
                      <c:ext xmlns:c15="http://schemas.microsoft.com/office/drawing/2012/chart" uri="{02D57815-91ED-43cb-92C2-25804820EDAC}">
                        <c15:formulaRef>
                          <c15:sqref>'Grafik Heu-Milch'!$Z$3:$Z$4</c15:sqref>
                        </c15:formulaRef>
                      </c:ext>
                    </c:extLst>
                    <c:strCache>
                      <c:ptCount val="2"/>
                      <c:pt idx="0">
                        <c:v>PFBS </c:v>
                      </c:pt>
                    </c:strCache>
                  </c:strRef>
                </c:tx>
                <c:spPr>
                  <a:solidFill>
                    <a:schemeClr val="accent4">
                      <a:lumMod val="60000"/>
                    </a:schemeClr>
                  </a:solidFill>
                  <a:ln>
                    <a:noFill/>
                  </a:ln>
                  <a:effectLst/>
                </c:spPr>
                <c:invertIfNegative val="0"/>
                <c:cat>
                  <c:numRef>
                    <c:extLst xmlns:c15="http://schemas.microsoft.com/office/drawing/2012/chart">
                      <c:ext xmlns:c15="http://schemas.microsoft.com/office/drawing/2012/chart" uri="{02D57815-91ED-43cb-92C2-25804820EDAC}">
                        <c15:formulaRef>
                          <c15:sqref>'Grafik Heu-Milch'!$C$5:$C$141</c15:sqref>
                        </c15:formulaRef>
                      </c:ext>
                    </c:extLst>
                    <c:numCache>
                      <c:formatCode>General</c:formatCode>
                      <c:ptCount val="1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numCache>
                  </c:numRef>
                </c:cat>
                <c:val>
                  <c:numRef>
                    <c:extLst xmlns:c15="http://schemas.microsoft.com/office/drawing/2012/chart">
                      <c:ext xmlns:c15="http://schemas.microsoft.com/office/drawing/2012/chart" uri="{02D57815-91ED-43cb-92C2-25804820EDAC}">
                        <c15:formulaRef>
                          <c15:sqref>'Grafik Heu-Milch'!$Z$5:$Z$141</c15:sqref>
                        </c15:formulaRef>
                      </c:ext>
                    </c:extLst>
                    <c:numCache>
                      <c:formatCode>General</c:formatCode>
                      <c:ptCount val="137"/>
                      <c:pt idx="1">
                        <c:v>0.52828644008932035</c:v>
                      </c:pt>
                      <c:pt idx="5">
                        <c:v>0.63234551943528439</c:v>
                      </c:pt>
                      <c:pt idx="10" formatCode="0.00">
                        <c:v>0.86500697399903803</c:v>
                      </c:pt>
                      <c:pt idx="17">
                        <c:v>0.79719931461819704</c:v>
                      </c:pt>
                      <c:pt idx="24" formatCode="0.00">
                        <c:v>0.60539990859661097</c:v>
                      </c:pt>
                      <c:pt idx="31" formatCode="0.00">
                        <c:v>0.69014539151080101</c:v>
                      </c:pt>
                      <c:pt idx="38">
                        <c:v>0.71331767181043659</c:v>
                      </c:pt>
                      <c:pt idx="45" formatCode="0.00">
                        <c:v>0.55934074711017101</c:v>
                      </c:pt>
                      <c:pt idx="54">
                        <c:v>0.59187344211599302</c:v>
                      </c:pt>
                    </c:numCache>
                  </c:numRef>
                </c:val>
                <c:extLst xmlns:c15="http://schemas.microsoft.com/office/drawing/2012/chart">
                  <c:ext xmlns:c16="http://schemas.microsoft.com/office/drawing/2014/chart" uri="{C3380CC4-5D6E-409C-BE32-E72D297353CC}">
                    <c16:uniqueId val="{00000040-0635-4FE2-BA0A-D215CB6B9264}"/>
                  </c:ext>
                </c:extLst>
              </c15:ser>
            </c15:filteredBarSeries>
            <c15:filteredBarSeries>
              <c15:ser>
                <c:idx val="65"/>
                <c:order val="24"/>
                <c:tx>
                  <c:strRef>
                    <c:extLst xmlns:c15="http://schemas.microsoft.com/office/drawing/2012/chart">
                      <c:ext xmlns:c15="http://schemas.microsoft.com/office/drawing/2012/chart" uri="{02D57815-91ED-43cb-92C2-25804820EDAC}">
                        <c15:formulaRef>
                          <c15:sqref>'Grafik Heu-Milch'!$AB$3:$AB$4</c15:sqref>
                        </c15:formulaRef>
                      </c:ext>
                    </c:extLst>
                    <c:strCache>
                      <c:ptCount val="2"/>
                      <c:pt idx="0">
                        <c:v>PFPeS </c:v>
                      </c:pt>
                    </c:strCache>
                  </c:strRef>
                </c:tx>
                <c:spPr>
                  <a:solidFill>
                    <a:schemeClr val="accent6">
                      <a:lumMod val="60000"/>
                    </a:schemeClr>
                  </a:solidFill>
                  <a:ln>
                    <a:noFill/>
                  </a:ln>
                  <a:effectLst/>
                </c:spPr>
                <c:invertIfNegative val="0"/>
                <c:cat>
                  <c:numRef>
                    <c:extLst xmlns:c15="http://schemas.microsoft.com/office/drawing/2012/chart">
                      <c:ext xmlns:c15="http://schemas.microsoft.com/office/drawing/2012/chart" uri="{02D57815-91ED-43cb-92C2-25804820EDAC}">
                        <c15:formulaRef>
                          <c15:sqref>'Grafik Heu-Milch'!$C$5:$C$141</c15:sqref>
                        </c15:formulaRef>
                      </c:ext>
                    </c:extLst>
                    <c:numCache>
                      <c:formatCode>General</c:formatCode>
                      <c:ptCount val="1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numCache>
                  </c:numRef>
                </c:cat>
                <c:val>
                  <c:numRef>
                    <c:extLst xmlns:c15="http://schemas.microsoft.com/office/drawing/2012/chart">
                      <c:ext xmlns:c15="http://schemas.microsoft.com/office/drawing/2012/chart" uri="{02D57815-91ED-43cb-92C2-25804820EDAC}">
                        <c15:formulaRef>
                          <c15:sqref>'Grafik Heu-Milch'!$AB$5:$AB$141</c15:sqref>
                        </c15:formulaRef>
                      </c:ext>
                    </c:extLst>
                    <c:numCache>
                      <c:formatCode>General</c:formatCode>
                      <c:ptCount val="137"/>
                      <c:pt idx="1">
                        <c:v>0</c:v>
                      </c:pt>
                      <c:pt idx="5">
                        <c:v>0</c:v>
                      </c:pt>
                      <c:pt idx="10" formatCode="0.00">
                        <c:v>0</c:v>
                      </c:pt>
                      <c:pt idx="17">
                        <c:v>0</c:v>
                      </c:pt>
                      <c:pt idx="24" formatCode="0.00">
                        <c:v>0</c:v>
                      </c:pt>
                      <c:pt idx="31" formatCode="0.00">
                        <c:v>0</c:v>
                      </c:pt>
                      <c:pt idx="38">
                        <c:v>0</c:v>
                      </c:pt>
                      <c:pt idx="45" formatCode="0.00">
                        <c:v>0</c:v>
                      </c:pt>
                      <c:pt idx="54">
                        <c:v>0</c:v>
                      </c:pt>
                    </c:numCache>
                  </c:numRef>
                </c:val>
                <c:extLst xmlns:c15="http://schemas.microsoft.com/office/drawing/2012/chart">
                  <c:ext xmlns:c16="http://schemas.microsoft.com/office/drawing/2014/chart" uri="{C3380CC4-5D6E-409C-BE32-E72D297353CC}">
                    <c16:uniqueId val="{00000042-0635-4FE2-BA0A-D215CB6B9264}"/>
                  </c:ext>
                </c:extLst>
              </c15:ser>
            </c15:filteredBarSeries>
            <c15:filteredBarSeries>
              <c15:ser>
                <c:idx val="67"/>
                <c:order val="26"/>
                <c:tx>
                  <c:strRef>
                    <c:extLst xmlns:c15="http://schemas.microsoft.com/office/drawing/2012/chart">
                      <c:ext xmlns:c15="http://schemas.microsoft.com/office/drawing/2012/chart" uri="{02D57815-91ED-43cb-92C2-25804820EDAC}">
                        <c15:formulaRef>
                          <c15:sqref>'Grafik Heu-Milch'!$AD$3:$AD$4</c15:sqref>
                        </c15:formulaRef>
                      </c:ext>
                    </c:extLst>
                    <c:strCache>
                      <c:ptCount val="2"/>
                      <c:pt idx="0">
                        <c:v>PFHxS </c:v>
                      </c:pt>
                    </c:strCache>
                  </c:strRef>
                </c:tx>
                <c:spPr>
                  <a:solidFill>
                    <a:schemeClr val="accent2">
                      <a:lumMod val="80000"/>
                      <a:lumOff val="20000"/>
                    </a:schemeClr>
                  </a:solidFill>
                  <a:ln>
                    <a:noFill/>
                  </a:ln>
                  <a:effectLst/>
                </c:spPr>
                <c:invertIfNegative val="0"/>
                <c:cat>
                  <c:numRef>
                    <c:extLst xmlns:c15="http://schemas.microsoft.com/office/drawing/2012/chart">
                      <c:ext xmlns:c15="http://schemas.microsoft.com/office/drawing/2012/chart" uri="{02D57815-91ED-43cb-92C2-25804820EDAC}">
                        <c15:formulaRef>
                          <c15:sqref>'Grafik Heu-Milch'!$C$5:$C$141</c15:sqref>
                        </c15:formulaRef>
                      </c:ext>
                    </c:extLst>
                    <c:numCache>
                      <c:formatCode>General</c:formatCode>
                      <c:ptCount val="1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numCache>
                  </c:numRef>
                </c:cat>
                <c:val>
                  <c:numRef>
                    <c:extLst xmlns:c15="http://schemas.microsoft.com/office/drawing/2012/chart">
                      <c:ext xmlns:c15="http://schemas.microsoft.com/office/drawing/2012/chart" uri="{02D57815-91ED-43cb-92C2-25804820EDAC}">
                        <c15:formulaRef>
                          <c15:sqref>'Grafik Heu-Milch'!$AD$5:$AD$141</c15:sqref>
                        </c15:formulaRef>
                      </c:ext>
                    </c:extLst>
                    <c:numCache>
                      <c:formatCode>General</c:formatCode>
                      <c:ptCount val="137"/>
                      <c:pt idx="1">
                        <c:v>0.90550813219752169</c:v>
                      </c:pt>
                      <c:pt idx="5">
                        <c:v>1.0394325474807991</c:v>
                      </c:pt>
                      <c:pt idx="10" formatCode="0.00">
                        <c:v>1.0759265205715201</c:v>
                      </c:pt>
                      <c:pt idx="17">
                        <c:v>1.19410425279479</c:v>
                      </c:pt>
                      <c:pt idx="24" formatCode="0.00">
                        <c:v>1.1923203807252001</c:v>
                      </c:pt>
                      <c:pt idx="31" formatCode="0.00">
                        <c:v>1.2135880738040101</c:v>
                      </c:pt>
                      <c:pt idx="38">
                        <c:v>0.81463041090390254</c:v>
                      </c:pt>
                      <c:pt idx="45" formatCode="0.00">
                        <c:v>1.06404343577386</c:v>
                      </c:pt>
                      <c:pt idx="54">
                        <c:v>1.07062830535455</c:v>
                      </c:pt>
                    </c:numCache>
                  </c:numRef>
                </c:val>
                <c:extLst xmlns:c15="http://schemas.microsoft.com/office/drawing/2012/chart">
                  <c:ext xmlns:c16="http://schemas.microsoft.com/office/drawing/2014/chart" uri="{C3380CC4-5D6E-409C-BE32-E72D297353CC}">
                    <c16:uniqueId val="{00000044-0635-4FE2-BA0A-D215CB6B9264}"/>
                  </c:ext>
                </c:extLst>
              </c15:ser>
            </c15:filteredBarSeries>
            <c15:filteredBarSeries>
              <c15:ser>
                <c:idx val="69"/>
                <c:order val="28"/>
                <c:tx>
                  <c:strRef>
                    <c:extLst xmlns:c15="http://schemas.microsoft.com/office/drawing/2012/chart">
                      <c:ext xmlns:c15="http://schemas.microsoft.com/office/drawing/2012/chart" uri="{02D57815-91ED-43cb-92C2-25804820EDAC}">
                        <c15:formulaRef>
                          <c15:sqref>'Grafik Heu-Milch'!$AF$3:$AF$4</c15:sqref>
                        </c15:formulaRef>
                      </c:ext>
                    </c:extLst>
                    <c:strCache>
                      <c:ptCount val="2"/>
                      <c:pt idx="0">
                        <c:v>PFHpS </c:v>
                      </c:pt>
                    </c:strCache>
                  </c:strRef>
                </c:tx>
                <c:spPr>
                  <a:solidFill>
                    <a:schemeClr val="accent4">
                      <a:lumMod val="80000"/>
                      <a:lumOff val="20000"/>
                    </a:schemeClr>
                  </a:solidFill>
                  <a:ln>
                    <a:noFill/>
                  </a:ln>
                  <a:effectLst/>
                </c:spPr>
                <c:invertIfNegative val="0"/>
                <c:cat>
                  <c:numRef>
                    <c:extLst xmlns:c15="http://schemas.microsoft.com/office/drawing/2012/chart">
                      <c:ext xmlns:c15="http://schemas.microsoft.com/office/drawing/2012/chart" uri="{02D57815-91ED-43cb-92C2-25804820EDAC}">
                        <c15:formulaRef>
                          <c15:sqref>'Grafik Heu-Milch'!$C$5:$C$141</c15:sqref>
                        </c15:formulaRef>
                      </c:ext>
                    </c:extLst>
                    <c:numCache>
                      <c:formatCode>General</c:formatCode>
                      <c:ptCount val="1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numCache>
                  </c:numRef>
                </c:cat>
                <c:val>
                  <c:numRef>
                    <c:extLst xmlns:c15="http://schemas.microsoft.com/office/drawing/2012/chart">
                      <c:ext xmlns:c15="http://schemas.microsoft.com/office/drawing/2012/chart" uri="{02D57815-91ED-43cb-92C2-25804820EDAC}">
                        <c15:formulaRef>
                          <c15:sqref>'Grafik Heu-Milch'!$AF$5:$AF$141</c15:sqref>
                        </c15:formulaRef>
                      </c:ext>
                    </c:extLst>
                    <c:numCache>
                      <c:formatCode>General</c:formatCode>
                      <c:ptCount val="137"/>
                      <c:pt idx="1">
                        <c:v>0.20936758002849637</c:v>
                      </c:pt>
                      <c:pt idx="5">
                        <c:v>0.36172652046195153</c:v>
                      </c:pt>
                      <c:pt idx="10" formatCode="0.00">
                        <c:v>0.26610812994675698</c:v>
                      </c:pt>
                      <c:pt idx="17">
                        <c:v>0.33223387645118996</c:v>
                      </c:pt>
                      <c:pt idx="24" formatCode="0.00">
                        <c:v>0.24952304370417802</c:v>
                      </c:pt>
                      <c:pt idx="31" formatCode="0.00">
                        <c:v>0.22658387477957101</c:v>
                      </c:pt>
                      <c:pt idx="38">
                        <c:v>0.20024382012773187</c:v>
                      </c:pt>
                      <c:pt idx="45" formatCode="0.00">
                        <c:v>0.277560255112072</c:v>
                      </c:pt>
                      <c:pt idx="54">
                        <c:v>0.262164070660097</c:v>
                      </c:pt>
                    </c:numCache>
                  </c:numRef>
                </c:val>
                <c:extLst xmlns:c15="http://schemas.microsoft.com/office/drawing/2012/chart">
                  <c:ext xmlns:c16="http://schemas.microsoft.com/office/drawing/2014/chart" uri="{C3380CC4-5D6E-409C-BE32-E72D297353CC}">
                    <c16:uniqueId val="{00000046-0635-4FE2-BA0A-D215CB6B9264}"/>
                  </c:ext>
                </c:extLst>
              </c15:ser>
            </c15:filteredBarSeries>
            <c15:filteredBarSeries>
              <c15:ser>
                <c:idx val="15"/>
                <c:order val="42"/>
                <c:tx>
                  <c:strRef>
                    <c:extLst xmlns:c15="http://schemas.microsoft.com/office/drawing/2012/chart">
                      <c:ext xmlns:c15="http://schemas.microsoft.com/office/drawing/2012/chart" uri="{02D57815-91ED-43cb-92C2-25804820EDAC}">
                        <c15:formulaRef>
                          <c15:sqref>'Grafik Heu-Milch'!$AT$3:$AT$4</c15:sqref>
                        </c15:formulaRef>
                      </c:ext>
                    </c:extLst>
                    <c:strCache>
                      <c:ptCount val="2"/>
                      <c:pt idx="0">
                        <c:v>PFHxA</c:v>
                      </c:pt>
                    </c:strCache>
                  </c:strRef>
                </c:tx>
                <c:spPr>
                  <a:solidFill>
                    <a:schemeClr val="accent4">
                      <a:lumMod val="80000"/>
                      <a:lumOff val="20000"/>
                    </a:schemeClr>
                  </a:solidFill>
                  <a:ln>
                    <a:noFill/>
                  </a:ln>
                  <a:effectLst/>
                </c:spPr>
                <c:invertIfNegative val="0"/>
                <c:cat>
                  <c:numRef>
                    <c:extLst xmlns:c15="http://schemas.microsoft.com/office/drawing/2012/chart">
                      <c:ext xmlns:c15="http://schemas.microsoft.com/office/drawing/2012/chart" uri="{02D57815-91ED-43cb-92C2-25804820EDAC}">
                        <c15:formulaRef>
                          <c15:sqref>'Grafik Heu-Milch'!$C$5:$C$141</c15:sqref>
                        </c15:formulaRef>
                      </c:ext>
                    </c:extLst>
                    <c:numCache>
                      <c:formatCode>General</c:formatCode>
                      <c:ptCount val="1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numCache>
                  </c:numRef>
                </c:cat>
                <c:val>
                  <c:numRef>
                    <c:extLst xmlns:c15="http://schemas.microsoft.com/office/drawing/2012/chart">
                      <c:ext xmlns:c15="http://schemas.microsoft.com/office/drawing/2012/chart" uri="{02D57815-91ED-43cb-92C2-25804820EDAC}">
                        <c15:formulaRef>
                          <c15:sqref>'Grafik Heu-Milch'!$AT$5:$AT$141</c15:sqref>
                        </c15:formulaRef>
                      </c:ext>
                    </c:extLst>
                    <c:numCache>
                      <c:formatCode>General</c:formatCode>
                      <c:ptCount val="137"/>
                      <c:pt idx="1">
                        <c:v>0</c:v>
                      </c:pt>
                      <c:pt idx="5">
                        <c:v>0</c:v>
                      </c:pt>
                      <c:pt idx="17">
                        <c:v>0</c:v>
                      </c:pt>
                      <c:pt idx="38">
                        <c:v>0</c:v>
                      </c:pt>
                      <c:pt idx="54">
                        <c:v>0</c:v>
                      </c:pt>
                    </c:numCache>
                  </c:numRef>
                </c:val>
                <c:extLst xmlns:c15="http://schemas.microsoft.com/office/drawing/2012/chart">
                  <c:ext xmlns:c16="http://schemas.microsoft.com/office/drawing/2014/chart" uri="{C3380CC4-5D6E-409C-BE32-E72D297353CC}">
                    <c16:uniqueId val="{000000A2-8C1B-4C12-AABC-1B2D99824493}"/>
                  </c:ext>
                </c:extLst>
              </c15:ser>
            </c15:filteredBarSeries>
            <c15:filteredBarSeries>
              <c15:ser>
                <c:idx val="17"/>
                <c:order val="44"/>
                <c:tx>
                  <c:strRef>
                    <c:extLst xmlns:c15="http://schemas.microsoft.com/office/drawing/2012/chart">
                      <c:ext xmlns:c15="http://schemas.microsoft.com/office/drawing/2012/chart" uri="{02D57815-91ED-43cb-92C2-25804820EDAC}">
                        <c15:formulaRef>
                          <c15:sqref>'Grafik Heu-Milch'!$AV$3:$AV$4</c15:sqref>
                        </c15:formulaRef>
                      </c:ext>
                    </c:extLst>
                    <c:strCache>
                      <c:ptCount val="2"/>
                      <c:pt idx="0">
                        <c:v>PFHpA </c:v>
                      </c:pt>
                    </c:strCache>
                  </c:strRef>
                </c:tx>
                <c:spPr>
                  <a:solidFill>
                    <a:schemeClr val="accent6">
                      <a:lumMod val="80000"/>
                      <a:lumOff val="20000"/>
                    </a:schemeClr>
                  </a:solidFill>
                  <a:ln>
                    <a:noFill/>
                  </a:ln>
                  <a:effectLst/>
                </c:spPr>
                <c:invertIfNegative val="0"/>
                <c:cat>
                  <c:numRef>
                    <c:extLst xmlns:c15="http://schemas.microsoft.com/office/drawing/2012/chart">
                      <c:ext xmlns:c15="http://schemas.microsoft.com/office/drawing/2012/chart" uri="{02D57815-91ED-43cb-92C2-25804820EDAC}">
                        <c15:formulaRef>
                          <c15:sqref>'Grafik Heu-Milch'!$C$5:$C$141</c15:sqref>
                        </c15:formulaRef>
                      </c:ext>
                    </c:extLst>
                    <c:numCache>
                      <c:formatCode>General</c:formatCode>
                      <c:ptCount val="1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numCache>
                  </c:numRef>
                </c:cat>
                <c:val>
                  <c:numRef>
                    <c:extLst xmlns:c15="http://schemas.microsoft.com/office/drawing/2012/chart">
                      <c:ext xmlns:c15="http://schemas.microsoft.com/office/drawing/2012/chart" uri="{02D57815-91ED-43cb-92C2-25804820EDAC}">
                        <c15:formulaRef>
                          <c15:sqref>'Grafik Heu-Milch'!$AV$5:$AV$141</c15:sqref>
                        </c15:formulaRef>
                      </c:ext>
                    </c:extLst>
                    <c:numCache>
                      <c:formatCode>General</c:formatCode>
                      <c:ptCount val="137"/>
                      <c:pt idx="1">
                        <c:v>0.25339484701469761</c:v>
                      </c:pt>
                      <c:pt idx="5">
                        <c:v>0.43714189734942899</c:v>
                      </c:pt>
                      <c:pt idx="10" formatCode="0.00">
                        <c:v>0.29599852653898201</c:v>
                      </c:pt>
                      <c:pt idx="17">
                        <c:v>0.38373492039532697</c:v>
                      </c:pt>
                      <c:pt idx="24" formatCode="0.00">
                        <c:v>0.400860768942084</c:v>
                      </c:pt>
                      <c:pt idx="31" formatCode="0.00">
                        <c:v>0.37150016060428098</c:v>
                      </c:pt>
                      <c:pt idx="38">
                        <c:v>0.30935189510169997</c:v>
                      </c:pt>
                      <c:pt idx="45" formatCode="0.00">
                        <c:v>0.395669788884489</c:v>
                      </c:pt>
                      <c:pt idx="54">
                        <c:v>0.43076466121907403</c:v>
                      </c:pt>
                    </c:numCache>
                  </c:numRef>
                </c:val>
                <c:extLst xmlns:c15="http://schemas.microsoft.com/office/drawing/2012/chart">
                  <c:ext xmlns:c16="http://schemas.microsoft.com/office/drawing/2014/chart" uri="{C3380CC4-5D6E-409C-BE32-E72D297353CC}">
                    <c16:uniqueId val="{000000A4-8C1B-4C12-AABC-1B2D99824493}"/>
                  </c:ext>
                </c:extLst>
              </c15:ser>
            </c15:filteredBarSeries>
            <c15:filteredBarSeries>
              <c15:ser>
                <c:idx val="21"/>
                <c:order val="48"/>
                <c:tx>
                  <c:strRef>
                    <c:extLst xmlns:c15="http://schemas.microsoft.com/office/drawing/2012/chart">
                      <c:ext xmlns:c15="http://schemas.microsoft.com/office/drawing/2012/chart" uri="{02D57815-91ED-43cb-92C2-25804820EDAC}">
                        <c15:formulaRef>
                          <c15:sqref>'Grafik Heu-Milch'!$AZ$3:$AZ$4</c15:sqref>
                        </c15:formulaRef>
                      </c:ext>
                    </c:extLst>
                    <c:strCache>
                      <c:ptCount val="2"/>
                      <c:pt idx="0">
                        <c:v>PFNA </c:v>
                      </c:pt>
                    </c:strCache>
                  </c:strRef>
                </c:tx>
                <c:spPr>
                  <a:solidFill>
                    <a:schemeClr val="accent4">
                      <a:lumMod val="80000"/>
                    </a:schemeClr>
                  </a:solidFill>
                  <a:ln>
                    <a:noFill/>
                  </a:ln>
                  <a:effectLst/>
                </c:spPr>
                <c:invertIfNegative val="0"/>
                <c:cat>
                  <c:numRef>
                    <c:extLst xmlns:c15="http://schemas.microsoft.com/office/drawing/2012/chart">
                      <c:ext xmlns:c15="http://schemas.microsoft.com/office/drawing/2012/chart" uri="{02D57815-91ED-43cb-92C2-25804820EDAC}">
                        <c15:formulaRef>
                          <c15:sqref>'Grafik Heu-Milch'!$C$5:$C$141</c15:sqref>
                        </c15:formulaRef>
                      </c:ext>
                    </c:extLst>
                    <c:numCache>
                      <c:formatCode>General</c:formatCode>
                      <c:ptCount val="1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numCache>
                  </c:numRef>
                </c:cat>
                <c:val>
                  <c:numRef>
                    <c:extLst xmlns:c15="http://schemas.microsoft.com/office/drawing/2012/chart">
                      <c:ext xmlns:c15="http://schemas.microsoft.com/office/drawing/2012/chart" uri="{02D57815-91ED-43cb-92C2-25804820EDAC}">
                        <c15:formulaRef>
                          <c15:sqref>'Grafik Heu-Milch'!$AZ$5:$AZ$141</c15:sqref>
                        </c15:formulaRef>
                      </c:ext>
                    </c:extLst>
                    <c:numCache>
                      <c:formatCode>General</c:formatCode>
                      <c:ptCount val="137"/>
                      <c:pt idx="1">
                        <c:v>0.11149121068407267</c:v>
                      </c:pt>
                      <c:pt idx="5">
                        <c:v>0.20444843670944568</c:v>
                      </c:pt>
                      <c:pt idx="10" formatCode="0.00">
                        <c:v>0</c:v>
                      </c:pt>
                      <c:pt idx="17">
                        <c:v>0.26380949213907701</c:v>
                      </c:pt>
                      <c:pt idx="24" formatCode="0.00">
                        <c:v>0.175494591979246</c:v>
                      </c:pt>
                      <c:pt idx="31" formatCode="0.00">
                        <c:v>0</c:v>
                      </c:pt>
                      <c:pt idx="38">
                        <c:v>4.6627031360728328E-2</c:v>
                      </c:pt>
                      <c:pt idx="45" formatCode="0.00">
                        <c:v>0</c:v>
                      </c:pt>
                      <c:pt idx="54">
                        <c:v>0.195461901986451</c:v>
                      </c:pt>
                    </c:numCache>
                  </c:numRef>
                </c:val>
                <c:extLst xmlns:c15="http://schemas.microsoft.com/office/drawing/2012/chart">
                  <c:ext xmlns:c16="http://schemas.microsoft.com/office/drawing/2014/chart" uri="{C3380CC4-5D6E-409C-BE32-E72D297353CC}">
                    <c16:uniqueId val="{000000A8-8C1B-4C12-AABC-1B2D99824493}"/>
                  </c:ext>
                </c:extLst>
              </c15:ser>
            </c15:filteredBarSeries>
            <c15:filteredBarSeries>
              <c15:ser>
                <c:idx val="23"/>
                <c:order val="50"/>
                <c:tx>
                  <c:strRef>
                    <c:extLst xmlns:c15="http://schemas.microsoft.com/office/drawing/2012/chart">
                      <c:ext xmlns:c15="http://schemas.microsoft.com/office/drawing/2012/chart" uri="{02D57815-91ED-43cb-92C2-25804820EDAC}">
                        <c15:formulaRef>
                          <c15:sqref>'Grafik Heu-Milch'!$BB$3:$BB$4</c15:sqref>
                        </c15:formulaRef>
                      </c:ext>
                    </c:extLst>
                    <c:strCache>
                      <c:ptCount val="2"/>
                      <c:pt idx="0">
                        <c:v>PFDA </c:v>
                      </c:pt>
                    </c:strCache>
                  </c:strRef>
                </c:tx>
                <c:spPr>
                  <a:solidFill>
                    <a:schemeClr val="accent6">
                      <a:lumMod val="80000"/>
                    </a:schemeClr>
                  </a:solidFill>
                  <a:ln>
                    <a:noFill/>
                  </a:ln>
                  <a:effectLst/>
                </c:spPr>
                <c:invertIfNegative val="0"/>
                <c:cat>
                  <c:numRef>
                    <c:extLst xmlns:c15="http://schemas.microsoft.com/office/drawing/2012/chart">
                      <c:ext xmlns:c15="http://schemas.microsoft.com/office/drawing/2012/chart" uri="{02D57815-91ED-43cb-92C2-25804820EDAC}">
                        <c15:formulaRef>
                          <c15:sqref>'Grafik Heu-Milch'!$C$5:$C$141</c15:sqref>
                        </c15:formulaRef>
                      </c:ext>
                    </c:extLst>
                    <c:numCache>
                      <c:formatCode>General</c:formatCode>
                      <c:ptCount val="1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numCache>
                  </c:numRef>
                </c:cat>
                <c:val>
                  <c:numRef>
                    <c:extLst xmlns:c15="http://schemas.microsoft.com/office/drawing/2012/chart">
                      <c:ext xmlns:c15="http://schemas.microsoft.com/office/drawing/2012/chart" uri="{02D57815-91ED-43cb-92C2-25804820EDAC}">
                        <c15:formulaRef>
                          <c15:sqref>'Grafik Heu-Milch'!$BB$5:$BB$141</c15:sqref>
                        </c15:formulaRef>
                      </c:ext>
                    </c:extLst>
                    <c:numCache>
                      <c:formatCode>General</c:formatCode>
                      <c:ptCount val="137"/>
                      <c:pt idx="1">
                        <c:v>1.9916910551528572E-2</c:v>
                      </c:pt>
                      <c:pt idx="5">
                        <c:v>0.16960943959123462</c:v>
                      </c:pt>
                      <c:pt idx="10" formatCode="0.00">
                        <c:v>0</c:v>
                      </c:pt>
                      <c:pt idx="17">
                        <c:v>0.15888313030511553</c:v>
                      </c:pt>
                      <c:pt idx="24" formatCode="0.00">
                        <c:v>0</c:v>
                      </c:pt>
                      <c:pt idx="31" formatCode="0.00">
                        <c:v>0</c:v>
                      </c:pt>
                      <c:pt idx="38">
                        <c:v>2.3388949583332007E-2</c:v>
                      </c:pt>
                      <c:pt idx="45" formatCode="0.00">
                        <c:v>0</c:v>
                      </c:pt>
                      <c:pt idx="54">
                        <c:v>0.10268902897180246</c:v>
                      </c:pt>
                    </c:numCache>
                  </c:numRef>
                </c:val>
                <c:extLst xmlns:c15="http://schemas.microsoft.com/office/drawing/2012/chart">
                  <c:ext xmlns:c16="http://schemas.microsoft.com/office/drawing/2014/chart" uri="{C3380CC4-5D6E-409C-BE32-E72D297353CC}">
                    <c16:uniqueId val="{000000AA-8C1B-4C12-AABC-1B2D99824493}"/>
                  </c:ext>
                </c:extLst>
              </c15:ser>
            </c15:filteredBarSeries>
            <c15:filteredBarSeries>
              <c15:ser>
                <c:idx val="25"/>
                <c:order val="52"/>
                <c:tx>
                  <c:strRef>
                    <c:extLst xmlns:c15="http://schemas.microsoft.com/office/drawing/2012/chart">
                      <c:ext xmlns:c15="http://schemas.microsoft.com/office/drawing/2012/chart" uri="{02D57815-91ED-43cb-92C2-25804820EDAC}">
                        <c15:formulaRef>
                          <c15:sqref>'Grafik Heu-Milch'!$BD$3:$BD$4</c15:sqref>
                        </c15:formulaRef>
                      </c:ext>
                    </c:extLst>
                    <c:strCache>
                      <c:ptCount val="2"/>
                      <c:pt idx="0">
                        <c:v>PFUnDA </c:v>
                      </c:pt>
                    </c:strCache>
                  </c:strRef>
                </c:tx>
                <c:spPr>
                  <a:solidFill>
                    <a:schemeClr val="accent2">
                      <a:lumMod val="60000"/>
                      <a:lumOff val="40000"/>
                    </a:schemeClr>
                  </a:solidFill>
                  <a:ln>
                    <a:noFill/>
                  </a:ln>
                  <a:effectLst/>
                </c:spPr>
                <c:invertIfNegative val="0"/>
                <c:cat>
                  <c:numRef>
                    <c:extLst xmlns:c15="http://schemas.microsoft.com/office/drawing/2012/chart">
                      <c:ext xmlns:c15="http://schemas.microsoft.com/office/drawing/2012/chart" uri="{02D57815-91ED-43cb-92C2-25804820EDAC}">
                        <c15:formulaRef>
                          <c15:sqref>'Grafik Heu-Milch'!$C$5:$C$141</c15:sqref>
                        </c15:formulaRef>
                      </c:ext>
                    </c:extLst>
                    <c:numCache>
                      <c:formatCode>General</c:formatCode>
                      <c:ptCount val="1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numCache>
                  </c:numRef>
                </c:cat>
                <c:val>
                  <c:numRef>
                    <c:extLst xmlns:c15="http://schemas.microsoft.com/office/drawing/2012/chart">
                      <c:ext xmlns:c15="http://schemas.microsoft.com/office/drawing/2012/chart" uri="{02D57815-91ED-43cb-92C2-25804820EDAC}">
                        <c15:formulaRef>
                          <c15:sqref>'Grafik Heu-Milch'!$BD$5:$BD$141</c15:sqref>
                        </c15:formulaRef>
                      </c:ext>
                    </c:extLst>
                    <c:numCache>
                      <c:formatCode>General</c:formatCode>
                      <c:ptCount val="137"/>
                      <c:pt idx="1">
                        <c:v>0.13862801736297889</c:v>
                      </c:pt>
                      <c:pt idx="5">
                        <c:v>0.51812802519687484</c:v>
                      </c:pt>
                      <c:pt idx="10" formatCode="0.00">
                        <c:v>0.49419784376887999</c:v>
                      </c:pt>
                      <c:pt idx="17">
                        <c:v>0.40669477758276495</c:v>
                      </c:pt>
                      <c:pt idx="24" formatCode="0.00">
                        <c:v>0.228737468824875</c:v>
                      </c:pt>
                      <c:pt idx="31" formatCode="0.00">
                        <c:v>0.14880025624629301</c:v>
                      </c:pt>
                      <c:pt idx="38">
                        <c:v>0.17730225701107249</c:v>
                      </c:pt>
                      <c:pt idx="45" formatCode="0.00">
                        <c:v>0.28916245215340503</c:v>
                      </c:pt>
                      <c:pt idx="54">
                        <c:v>0.19399390437815192</c:v>
                      </c:pt>
                    </c:numCache>
                  </c:numRef>
                </c:val>
                <c:extLst xmlns:c15="http://schemas.microsoft.com/office/drawing/2012/chart">
                  <c:ext xmlns:c16="http://schemas.microsoft.com/office/drawing/2014/chart" uri="{C3380CC4-5D6E-409C-BE32-E72D297353CC}">
                    <c16:uniqueId val="{000000AC-8C1B-4C12-AABC-1B2D99824493}"/>
                  </c:ext>
                </c:extLst>
              </c15:ser>
            </c15:filteredBarSeries>
            <c15:filteredBarSeries>
              <c15:ser>
                <c:idx val="28"/>
                <c:order val="54"/>
                <c:tx>
                  <c:strRef>
                    <c:extLst xmlns:c15="http://schemas.microsoft.com/office/drawing/2012/chart">
                      <c:ext xmlns:c15="http://schemas.microsoft.com/office/drawing/2012/chart" uri="{02D57815-91ED-43cb-92C2-25804820EDAC}">
                        <c15:formulaRef>
                          <c15:sqref>'Grafik Heu-Milch'!$BF$3:$BF$4</c15:sqref>
                        </c15:formulaRef>
                      </c:ext>
                    </c:extLst>
                    <c:strCache>
                      <c:ptCount val="2"/>
                      <c:pt idx="0">
                        <c:v>PFDoDA </c:v>
                      </c:pt>
                    </c:strCache>
                  </c:strRef>
                </c:tx>
                <c:spPr>
                  <a:solidFill>
                    <a:schemeClr val="accent5">
                      <a:lumMod val="60000"/>
                      <a:lumOff val="40000"/>
                    </a:schemeClr>
                  </a:solidFill>
                  <a:ln>
                    <a:noFill/>
                  </a:ln>
                  <a:effectLst/>
                </c:spPr>
                <c:invertIfNegative val="0"/>
                <c:cat>
                  <c:numRef>
                    <c:extLst xmlns:c15="http://schemas.microsoft.com/office/drawing/2012/chart">
                      <c:ext xmlns:c15="http://schemas.microsoft.com/office/drawing/2012/chart" uri="{02D57815-91ED-43cb-92C2-25804820EDAC}">
                        <c15:formulaRef>
                          <c15:sqref>'Grafik Heu-Milch'!$C$5:$C$141</c15:sqref>
                        </c15:formulaRef>
                      </c:ext>
                    </c:extLst>
                    <c:numCache>
                      <c:formatCode>General</c:formatCode>
                      <c:ptCount val="1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numCache>
                  </c:numRef>
                </c:cat>
                <c:val>
                  <c:numRef>
                    <c:extLst xmlns:c15="http://schemas.microsoft.com/office/drawing/2012/chart">
                      <c:ext xmlns:c15="http://schemas.microsoft.com/office/drawing/2012/chart" uri="{02D57815-91ED-43cb-92C2-25804820EDAC}">
                        <c15:formulaRef>
                          <c15:sqref>'Grafik Heu-Milch'!$BF$5:$BF$141</c15:sqref>
                        </c15:formulaRef>
                      </c:ext>
                    </c:extLst>
                    <c:numCache>
                      <c:formatCode>General</c:formatCode>
                      <c:ptCount val="137"/>
                      <c:pt idx="1">
                        <c:v>0.58485508934526231</c:v>
                      </c:pt>
                      <c:pt idx="5">
                        <c:v>2.3449070878245095</c:v>
                      </c:pt>
                      <c:pt idx="10" formatCode="0.00">
                        <c:v>3.1197069727431499</c:v>
                      </c:pt>
                      <c:pt idx="17">
                        <c:v>2.7602047254563282</c:v>
                      </c:pt>
                      <c:pt idx="24" formatCode="0.00">
                        <c:v>0.85916439065576999</c:v>
                      </c:pt>
                      <c:pt idx="31" formatCode="0.00">
                        <c:v>0.99854782526217001</c:v>
                      </c:pt>
                      <c:pt idx="38">
                        <c:v>0.62010145224592939</c:v>
                      </c:pt>
                      <c:pt idx="45" formatCode="0.00">
                        <c:v>2.1450500328969904</c:v>
                      </c:pt>
                      <c:pt idx="54">
                        <c:v>0.85807408592702106</c:v>
                      </c:pt>
                    </c:numCache>
                  </c:numRef>
                </c:val>
                <c:extLst xmlns:c15="http://schemas.microsoft.com/office/drawing/2012/chart">
                  <c:ext xmlns:c16="http://schemas.microsoft.com/office/drawing/2014/chart" uri="{C3380CC4-5D6E-409C-BE32-E72D297353CC}">
                    <c16:uniqueId val="{000000AE-8C1B-4C12-AABC-1B2D99824493}"/>
                  </c:ext>
                </c:extLst>
              </c15:ser>
            </c15:filteredBarSeries>
            <c15:filteredBarSeries>
              <c15:ser>
                <c:idx val="41"/>
                <c:order val="56"/>
                <c:tx>
                  <c:strRef>
                    <c:extLst xmlns:c15="http://schemas.microsoft.com/office/drawing/2012/chart">
                      <c:ext xmlns:c15="http://schemas.microsoft.com/office/drawing/2012/chart" uri="{02D57815-91ED-43cb-92C2-25804820EDAC}">
                        <c15:formulaRef>
                          <c15:sqref>'Grafik Heu-Milch'!$BH$3:$BH$4</c15:sqref>
                        </c15:formulaRef>
                      </c:ext>
                    </c:extLst>
                    <c:strCache>
                      <c:ptCount val="2"/>
                      <c:pt idx="0">
                        <c:v>PFTrDA </c:v>
                      </c:pt>
                    </c:strCache>
                  </c:strRef>
                </c:tx>
                <c:spPr>
                  <a:solidFill>
                    <a:schemeClr val="accent6">
                      <a:lumMod val="70000"/>
                      <a:lumOff val="30000"/>
                    </a:schemeClr>
                  </a:solidFill>
                  <a:ln>
                    <a:noFill/>
                  </a:ln>
                  <a:effectLst/>
                </c:spPr>
                <c:invertIfNegative val="0"/>
                <c:cat>
                  <c:numRef>
                    <c:extLst xmlns:c15="http://schemas.microsoft.com/office/drawing/2012/chart">
                      <c:ext xmlns:c15="http://schemas.microsoft.com/office/drawing/2012/chart" uri="{02D57815-91ED-43cb-92C2-25804820EDAC}">
                        <c15:formulaRef>
                          <c15:sqref>'Grafik Heu-Milch'!$C$5:$C$141</c15:sqref>
                        </c15:formulaRef>
                      </c:ext>
                    </c:extLst>
                    <c:numCache>
                      <c:formatCode>General</c:formatCode>
                      <c:ptCount val="1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numCache>
                  </c:numRef>
                </c:cat>
                <c:val>
                  <c:numRef>
                    <c:extLst xmlns:c15="http://schemas.microsoft.com/office/drawing/2012/chart">
                      <c:ext xmlns:c15="http://schemas.microsoft.com/office/drawing/2012/chart" uri="{02D57815-91ED-43cb-92C2-25804820EDAC}">
                        <c15:formulaRef>
                          <c15:sqref>'Grafik Heu-Milch'!$BH$5:$BH$141</c15:sqref>
                        </c15:formulaRef>
                      </c:ext>
                    </c:extLst>
                    <c:numCache>
                      <c:formatCode>General</c:formatCode>
                      <c:ptCount val="137"/>
                      <c:pt idx="1">
                        <c:v>0.40489869131403922</c:v>
                      </c:pt>
                      <c:pt idx="5">
                        <c:v>1.4483619134168007</c:v>
                      </c:pt>
                      <c:pt idx="10" formatCode="0.00">
                        <c:v>1.4287050431349402</c:v>
                      </c:pt>
                      <c:pt idx="17">
                        <c:v>1.5991733186905421</c:v>
                      </c:pt>
                      <c:pt idx="24" formatCode="0.00">
                        <c:v>0.392360301335549</c:v>
                      </c:pt>
                      <c:pt idx="31" formatCode="0.00">
                        <c:v>0.443585488306385</c:v>
                      </c:pt>
                      <c:pt idx="38">
                        <c:v>0.31332968671912054</c:v>
                      </c:pt>
                      <c:pt idx="45" formatCode="0.00">
                        <c:v>1.23889871637867</c:v>
                      </c:pt>
                      <c:pt idx="54">
                        <c:v>0.51756825450535904</c:v>
                      </c:pt>
                    </c:numCache>
                  </c:numRef>
                </c:val>
                <c:extLst xmlns:c15="http://schemas.microsoft.com/office/drawing/2012/chart">
                  <c:ext xmlns:c16="http://schemas.microsoft.com/office/drawing/2014/chart" uri="{C3380CC4-5D6E-409C-BE32-E72D297353CC}">
                    <c16:uniqueId val="{000000B0-8C1B-4C12-AABC-1B2D99824493}"/>
                  </c:ext>
                </c:extLst>
              </c15:ser>
            </c15:filteredBarSeries>
            <c15:filteredBarSeries>
              <c15:ser>
                <c:idx val="43"/>
                <c:order val="58"/>
                <c:tx>
                  <c:strRef>
                    <c:extLst xmlns:c15="http://schemas.microsoft.com/office/drawing/2012/chart">
                      <c:ext xmlns:c15="http://schemas.microsoft.com/office/drawing/2012/chart" uri="{02D57815-91ED-43cb-92C2-25804820EDAC}">
                        <c15:formulaRef>
                          <c15:sqref>'Grafik Heu-Milch'!$BJ$3:$BJ$4</c15:sqref>
                        </c15:formulaRef>
                      </c:ext>
                    </c:extLst>
                    <c:strCache>
                      <c:ptCount val="2"/>
                      <c:pt idx="0">
                        <c:v>PFTeDA </c:v>
                      </c:pt>
                    </c:strCache>
                  </c:strRef>
                </c:tx>
                <c:spPr>
                  <a:solidFill>
                    <a:schemeClr val="accent2">
                      <a:lumMod val="70000"/>
                    </a:schemeClr>
                  </a:solidFill>
                  <a:ln>
                    <a:noFill/>
                  </a:ln>
                  <a:effectLst/>
                </c:spPr>
                <c:invertIfNegative val="0"/>
                <c:cat>
                  <c:numRef>
                    <c:extLst xmlns:c15="http://schemas.microsoft.com/office/drawing/2012/chart">
                      <c:ext xmlns:c15="http://schemas.microsoft.com/office/drawing/2012/chart" uri="{02D57815-91ED-43cb-92C2-25804820EDAC}">
                        <c15:formulaRef>
                          <c15:sqref>'Grafik Heu-Milch'!$C$5:$C$141</c15:sqref>
                        </c15:formulaRef>
                      </c:ext>
                    </c:extLst>
                    <c:numCache>
                      <c:formatCode>General</c:formatCode>
                      <c:ptCount val="1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numCache>
                  </c:numRef>
                </c:cat>
                <c:val>
                  <c:numRef>
                    <c:extLst xmlns:c15="http://schemas.microsoft.com/office/drawing/2012/chart">
                      <c:ext xmlns:c15="http://schemas.microsoft.com/office/drawing/2012/chart" uri="{02D57815-91ED-43cb-92C2-25804820EDAC}">
                        <c15:formulaRef>
                          <c15:sqref>'Grafik Heu-Milch'!$BJ$5:$BJ$141</c15:sqref>
                        </c15:formulaRef>
                      </c:ext>
                    </c:extLst>
                    <c:numCache>
                      <c:formatCode>General</c:formatCode>
                      <c:ptCount val="137"/>
                      <c:pt idx="1">
                        <c:v>0.7733469951791585</c:v>
                      </c:pt>
                      <c:pt idx="5">
                        <c:v>2.2616032257494196</c:v>
                      </c:pt>
                      <c:pt idx="10" formatCode="0.00">
                        <c:v>2.2234480337065703</c:v>
                      </c:pt>
                      <c:pt idx="17">
                        <c:v>2.0541929666236749</c:v>
                      </c:pt>
                      <c:pt idx="24" formatCode="0.00">
                        <c:v>0.67342633070296198</c:v>
                      </c:pt>
                      <c:pt idx="31" formatCode="0.00">
                        <c:v>0.84910629036340701</c:v>
                      </c:pt>
                      <c:pt idx="38">
                        <c:v>0.55487205952460772</c:v>
                      </c:pt>
                      <c:pt idx="45" formatCode="0.00">
                        <c:v>2.0683665394825397</c:v>
                      </c:pt>
                      <c:pt idx="54">
                        <c:v>0.97506320197313945</c:v>
                      </c:pt>
                    </c:numCache>
                  </c:numRef>
                </c:val>
                <c:extLst xmlns:c15="http://schemas.microsoft.com/office/drawing/2012/chart">
                  <c:ext xmlns:c16="http://schemas.microsoft.com/office/drawing/2014/chart" uri="{C3380CC4-5D6E-409C-BE32-E72D297353CC}">
                    <c16:uniqueId val="{000000B2-8C1B-4C12-AABC-1B2D99824493}"/>
                  </c:ext>
                </c:extLst>
              </c15:ser>
            </c15:filteredBarSeries>
            <c15:filteredBarSeries>
              <c15:ser>
                <c:idx val="46"/>
                <c:order val="60"/>
                <c:tx>
                  <c:strRef>
                    <c:extLst xmlns:c15="http://schemas.microsoft.com/office/drawing/2012/chart">
                      <c:ext xmlns:c15="http://schemas.microsoft.com/office/drawing/2012/chart" uri="{02D57815-91ED-43cb-92C2-25804820EDAC}">
                        <c15:formulaRef>
                          <c15:sqref>'Grafik Heu-Milch'!$BL$3:$BL$4</c15:sqref>
                        </c15:formulaRef>
                      </c:ext>
                    </c:extLst>
                    <c:strCache>
                      <c:ptCount val="2"/>
                      <c:pt idx="0">
                        <c:v>PFHxS</c:v>
                      </c:pt>
                    </c:strCache>
                  </c:strRef>
                </c:tx>
                <c:spPr>
                  <a:solidFill>
                    <a:schemeClr val="accent5">
                      <a:lumMod val="70000"/>
                    </a:schemeClr>
                  </a:solidFill>
                  <a:ln>
                    <a:noFill/>
                  </a:ln>
                  <a:effectLst/>
                </c:spPr>
                <c:invertIfNegative val="0"/>
                <c:cat>
                  <c:numRef>
                    <c:extLst xmlns:c15="http://schemas.microsoft.com/office/drawing/2012/chart">
                      <c:ext xmlns:c15="http://schemas.microsoft.com/office/drawing/2012/chart" uri="{02D57815-91ED-43cb-92C2-25804820EDAC}">
                        <c15:formulaRef>
                          <c15:sqref>'Grafik Heu-Milch'!$C$5:$C$141</c15:sqref>
                        </c15:formulaRef>
                      </c:ext>
                    </c:extLst>
                    <c:numCache>
                      <c:formatCode>General</c:formatCode>
                      <c:ptCount val="1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numCache>
                  </c:numRef>
                </c:cat>
                <c:val>
                  <c:numRef>
                    <c:extLst xmlns:c15="http://schemas.microsoft.com/office/drawing/2012/chart">
                      <c:ext xmlns:c15="http://schemas.microsoft.com/office/drawing/2012/chart" uri="{02D57815-91ED-43cb-92C2-25804820EDAC}">
                        <c15:formulaRef>
                          <c15:sqref>'Grafik Heu-Milch'!$BL$5:$BL$141</c15:sqref>
                        </c15:formulaRef>
                      </c:ext>
                    </c:extLst>
                    <c:numCache>
                      <c:formatCode>General</c:formatCode>
                      <c:ptCount val="137"/>
                      <c:pt idx="1">
                        <c:v>0.20588088930538251</c:v>
                      </c:pt>
                      <c:pt idx="5">
                        <c:v>0.21289956715955391</c:v>
                      </c:pt>
                      <c:pt idx="10" formatCode="0.00">
                        <c:v>0.241640015183433</c:v>
                      </c:pt>
                      <c:pt idx="17">
                        <c:v>0.2030070180817605</c:v>
                      </c:pt>
                      <c:pt idx="24" formatCode="0.00">
                        <c:v>0.32545038707158197</c:v>
                      </c:pt>
                      <c:pt idx="31" formatCode="0.00">
                        <c:v>0.37167297787863601</c:v>
                      </c:pt>
                      <c:pt idx="38">
                        <c:v>0.19405605273753757</c:v>
                      </c:pt>
                      <c:pt idx="45" formatCode="0.00">
                        <c:v>0.25708020725474701</c:v>
                      </c:pt>
                      <c:pt idx="54">
                        <c:v>0.20154178690187802</c:v>
                      </c:pt>
                    </c:numCache>
                  </c:numRef>
                </c:val>
                <c:extLst xmlns:c15="http://schemas.microsoft.com/office/drawing/2012/chart">
                  <c:ext xmlns:c16="http://schemas.microsoft.com/office/drawing/2014/chart" uri="{C3380CC4-5D6E-409C-BE32-E72D297353CC}">
                    <c16:uniqueId val="{000000B4-8C1B-4C12-AABC-1B2D99824493}"/>
                  </c:ext>
                </c:extLst>
              </c15:ser>
            </c15:filteredBarSeries>
            <c15:filteredBarSeries>
              <c15:ser>
                <c:idx val="48"/>
                <c:order val="62"/>
                <c:tx>
                  <c:strRef>
                    <c:extLst xmlns:c15="http://schemas.microsoft.com/office/drawing/2012/chart">
                      <c:ext xmlns:c15="http://schemas.microsoft.com/office/drawing/2012/chart" uri="{02D57815-91ED-43cb-92C2-25804820EDAC}">
                        <c15:formulaRef>
                          <c15:sqref>'Grafik Heu-Milch'!$BN$3:$BN$4</c15:sqref>
                        </c15:formulaRef>
                      </c:ext>
                    </c:extLst>
                    <c:strCache>
                      <c:ptCount val="2"/>
                      <c:pt idx="0">
                        <c:v>PFHpS</c:v>
                      </c:pt>
                    </c:strCache>
                  </c:strRef>
                </c:tx>
                <c:spPr>
                  <a:solidFill>
                    <a:schemeClr val="accent1">
                      <a:lumMod val="50000"/>
                      <a:lumOff val="50000"/>
                    </a:schemeClr>
                  </a:solidFill>
                  <a:ln>
                    <a:noFill/>
                  </a:ln>
                  <a:effectLst/>
                </c:spPr>
                <c:invertIfNegative val="0"/>
                <c:cat>
                  <c:numRef>
                    <c:extLst xmlns:c15="http://schemas.microsoft.com/office/drawing/2012/chart">
                      <c:ext xmlns:c15="http://schemas.microsoft.com/office/drawing/2012/chart" uri="{02D57815-91ED-43cb-92C2-25804820EDAC}">
                        <c15:formulaRef>
                          <c15:sqref>'Grafik Heu-Milch'!$C$5:$C$141</c15:sqref>
                        </c15:formulaRef>
                      </c:ext>
                    </c:extLst>
                    <c:numCache>
                      <c:formatCode>General</c:formatCode>
                      <c:ptCount val="1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numCache>
                  </c:numRef>
                </c:cat>
                <c:val>
                  <c:numRef>
                    <c:extLst xmlns:c15="http://schemas.microsoft.com/office/drawing/2012/chart">
                      <c:ext xmlns:c15="http://schemas.microsoft.com/office/drawing/2012/chart" uri="{02D57815-91ED-43cb-92C2-25804820EDAC}">
                        <c15:formulaRef>
                          <c15:sqref>'Grafik Heu-Milch'!$BN$5:$BN$141</c15:sqref>
                        </c15:formulaRef>
                      </c:ext>
                    </c:extLst>
                    <c:numCache>
                      <c:formatCode>General</c:formatCode>
                      <c:ptCount val="137"/>
                      <c:pt idx="1">
                        <c:v>0</c:v>
                      </c:pt>
                      <c:pt idx="5">
                        <c:v>0</c:v>
                      </c:pt>
                      <c:pt idx="17">
                        <c:v>0</c:v>
                      </c:pt>
                      <c:pt idx="38">
                        <c:v>0</c:v>
                      </c:pt>
                      <c:pt idx="54">
                        <c:v>0</c:v>
                      </c:pt>
                    </c:numCache>
                  </c:numRef>
                </c:val>
                <c:extLst xmlns:c15="http://schemas.microsoft.com/office/drawing/2012/chart">
                  <c:ext xmlns:c16="http://schemas.microsoft.com/office/drawing/2014/chart" uri="{C3380CC4-5D6E-409C-BE32-E72D297353CC}">
                    <c16:uniqueId val="{000000B6-8C1B-4C12-AABC-1B2D99824493}"/>
                  </c:ext>
                </c:extLst>
              </c15:ser>
            </c15:filteredBarSeries>
          </c:ext>
        </c:extLst>
      </c:barChart>
      <c:scatterChart>
        <c:scatterStyle val="lineMarker"/>
        <c:varyColors val="0"/>
        <c:ser>
          <c:idx val="77"/>
          <c:order val="77"/>
          <c:tx>
            <c:strRef>
              <c:f>'Grafik Heu-Milch'!$CC$3:$CC$4</c:f>
              <c:strCache>
                <c:ptCount val="2"/>
                <c:pt idx="0">
                  <c:v>rest</c:v>
                </c:pt>
              </c:strCache>
            </c:strRef>
          </c:tx>
          <c:spPr>
            <a:ln w="19050" cap="rnd">
              <a:solidFill>
                <a:schemeClr val="tx1"/>
              </a:solidFill>
              <a:round/>
            </a:ln>
            <a:effectLst/>
          </c:spPr>
          <c:marker>
            <c:symbol val="square"/>
            <c:size val="7"/>
            <c:spPr>
              <a:solidFill>
                <a:schemeClr val="tx1"/>
              </a:solidFill>
              <a:ln w="9525">
                <a:noFill/>
              </a:ln>
              <a:effectLst/>
            </c:spPr>
          </c:marker>
          <c:xVal>
            <c:numRef>
              <c:f>'Grafik Heu-Milch'!$C$5:$C$141</c:f>
              <c:numCache>
                <c:formatCode>General</c:formatCode>
                <c:ptCount val="1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numCache>
            </c:numRef>
          </c:xVal>
          <c:yVal>
            <c:numRef>
              <c:f>'Grafik Heu-Milch'!$CC$5:$CC$141</c:f>
              <c:numCache>
                <c:formatCode>General</c:formatCode>
                <c:ptCount val="137"/>
                <c:pt idx="1">
                  <c:v>1.1444569689378115E-2</c:v>
                </c:pt>
                <c:pt idx="5">
                  <c:v>0.44143082875113632</c:v>
                </c:pt>
                <c:pt idx="17">
                  <c:v>2.4138700955846608</c:v>
                </c:pt>
                <c:pt idx="38">
                  <c:v>1.6518561460087446</c:v>
                </c:pt>
                <c:pt idx="54">
                  <c:v>1.6625124151260562</c:v>
                </c:pt>
                <c:pt idx="57">
                  <c:v>1.8472334826280106</c:v>
                </c:pt>
                <c:pt idx="61">
                  <c:v>0.81570679213497199</c:v>
                </c:pt>
                <c:pt idx="73">
                  <c:v>0.37290646199682592</c:v>
                </c:pt>
                <c:pt idx="101">
                  <c:v>0.11195356547081808</c:v>
                </c:pt>
                <c:pt idx="136">
                  <c:v>1.3051457269469734E-2</c:v>
                </c:pt>
              </c:numCache>
            </c:numRef>
          </c:yVal>
          <c:smooth val="0"/>
          <c:extLst>
            <c:ext xmlns:c16="http://schemas.microsoft.com/office/drawing/2014/chart" uri="{C3380CC4-5D6E-409C-BE32-E72D297353CC}">
              <c16:uniqueId val="{000000C5-8C1B-4C12-AABC-1B2D99824493}"/>
            </c:ext>
          </c:extLst>
        </c:ser>
        <c:ser>
          <c:idx val="1"/>
          <c:order val="1"/>
          <c:tx>
            <c:strRef>
              <c:f>'Grafik Heu-Milch'!$E$3:$E$4</c:f>
              <c:strCache>
                <c:ptCount val="2"/>
                <c:pt idx="0">
                  <c:v>PFBA</c:v>
                </c:pt>
              </c:strCache>
            </c:strRef>
          </c:tx>
          <c:spPr>
            <a:ln w="19050" cap="rnd">
              <a:solidFill>
                <a:schemeClr val="bg1">
                  <a:lumMod val="75000"/>
                </a:schemeClr>
              </a:solidFill>
              <a:round/>
            </a:ln>
            <a:effectLst/>
          </c:spPr>
          <c:marker>
            <c:symbol val="square"/>
            <c:size val="7"/>
            <c:spPr>
              <a:solidFill>
                <a:schemeClr val="bg1">
                  <a:lumMod val="75000"/>
                </a:schemeClr>
              </a:solidFill>
              <a:ln w="9525">
                <a:noFill/>
              </a:ln>
              <a:effectLst/>
            </c:spPr>
          </c:marker>
          <c:xVal>
            <c:numRef>
              <c:f>'Grafik Heu-Milch'!$C$5:$C$141</c:f>
              <c:numCache>
                <c:formatCode>General</c:formatCode>
                <c:ptCount val="1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numCache>
            </c:numRef>
          </c:xVal>
          <c:yVal>
            <c:numRef>
              <c:f>'Grafik Heu-Milch'!$E$5:$E$141</c:f>
              <c:numCache>
                <c:formatCode>General</c:formatCode>
                <c:ptCount val="137"/>
                <c:pt idx="1">
                  <c:v>5.1723938859974047E-3</c:v>
                </c:pt>
                <c:pt idx="5">
                  <c:v>0.85321208016812011</c:v>
                </c:pt>
                <c:pt idx="17">
                  <c:v>2.3089174589498578</c:v>
                </c:pt>
                <c:pt idx="38">
                  <c:v>0.61947876401251878</c:v>
                </c:pt>
                <c:pt idx="54">
                  <c:v>0.93878124748748693</c:v>
                </c:pt>
                <c:pt idx="57">
                  <c:v>0.40822934085581897</c:v>
                </c:pt>
                <c:pt idx="61">
                  <c:v>7.3325058500185898E-3</c:v>
                </c:pt>
                <c:pt idx="73">
                  <c:v>6.1730808417599196E-3</c:v>
                </c:pt>
                <c:pt idx="101">
                  <c:v>8.7786808739833133E-3</c:v>
                </c:pt>
                <c:pt idx="136">
                  <c:v>6.9320652725452132E-3</c:v>
                </c:pt>
              </c:numCache>
            </c:numRef>
          </c:yVal>
          <c:smooth val="0"/>
          <c:extLst>
            <c:ext xmlns:c16="http://schemas.microsoft.com/office/drawing/2014/chart" uri="{C3380CC4-5D6E-409C-BE32-E72D297353CC}">
              <c16:uniqueId val="{00000001-0635-4FE2-BA0A-D215CB6B9264}"/>
            </c:ext>
          </c:extLst>
        </c:ser>
        <c:ser>
          <c:idx val="73"/>
          <c:order val="31"/>
          <c:tx>
            <c:strRef>
              <c:f>'Grafik Heu-Milch'!$AI$3:$AI$4</c:f>
              <c:strCache>
                <c:ptCount val="2"/>
                <c:pt idx="0">
                  <c:v>PFOS </c:v>
                </c:pt>
              </c:strCache>
            </c:strRef>
          </c:tx>
          <c:spPr>
            <a:ln w="19050" cap="rnd">
              <a:solidFill>
                <a:schemeClr val="accent3">
                  <a:lumMod val="60000"/>
                  <a:lumOff val="40000"/>
                </a:schemeClr>
              </a:solidFill>
              <a:round/>
            </a:ln>
            <a:effectLst/>
          </c:spPr>
          <c:marker>
            <c:symbol val="square"/>
            <c:size val="7"/>
            <c:spPr>
              <a:solidFill>
                <a:schemeClr val="accent3">
                  <a:lumMod val="60000"/>
                  <a:lumOff val="40000"/>
                </a:schemeClr>
              </a:solidFill>
              <a:ln w="9525">
                <a:noFill/>
              </a:ln>
              <a:effectLst/>
            </c:spPr>
          </c:marker>
          <c:xVal>
            <c:numRef>
              <c:f>'Grafik Heu-Milch'!$C$5:$C$141</c:f>
              <c:numCache>
                <c:formatCode>General</c:formatCode>
                <c:ptCount val="1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numCache>
            </c:numRef>
          </c:xVal>
          <c:yVal>
            <c:numRef>
              <c:f>'Grafik Heu-Milch'!$AI$5:$AI$141</c:f>
              <c:numCache>
                <c:formatCode>General</c:formatCode>
                <c:ptCount val="137"/>
                <c:pt idx="1">
                  <c:v>0</c:v>
                </c:pt>
                <c:pt idx="5">
                  <c:v>0.76866936520161011</c:v>
                </c:pt>
                <c:pt idx="17">
                  <c:v>7.4547068733911726</c:v>
                </c:pt>
                <c:pt idx="38">
                  <c:v>11.605000344309133</c:v>
                </c:pt>
                <c:pt idx="54">
                  <c:v>12.114684260748042</c:v>
                </c:pt>
                <c:pt idx="57">
                  <c:v>14.076704224348823</c:v>
                </c:pt>
                <c:pt idx="61">
                  <c:v>10.044136137578262</c:v>
                </c:pt>
                <c:pt idx="73">
                  <c:v>11.184738733030041</c:v>
                </c:pt>
                <c:pt idx="101">
                  <c:v>6.5502433168814678</c:v>
                </c:pt>
                <c:pt idx="136">
                  <c:v>1.8733297201410348</c:v>
                </c:pt>
              </c:numCache>
            </c:numRef>
          </c:yVal>
          <c:smooth val="0"/>
          <c:extLst>
            <c:ext xmlns:c16="http://schemas.microsoft.com/office/drawing/2014/chart" uri="{C3380CC4-5D6E-409C-BE32-E72D297353CC}">
              <c16:uniqueId val="{0000004A-0635-4FE2-BA0A-D215CB6B9264}"/>
            </c:ext>
          </c:extLst>
        </c:ser>
        <c:ser>
          <c:idx val="5"/>
          <c:order val="33"/>
          <c:tx>
            <c:strRef>
              <c:f>'Grafik Heu-Milch'!$AK$3:$AK$4</c:f>
              <c:strCache>
                <c:ptCount val="2"/>
                <c:pt idx="0">
                  <c:v>PFNS </c:v>
                </c:pt>
              </c:strCache>
            </c:strRef>
          </c:tx>
          <c:spPr>
            <a:ln w="19050" cap="rnd">
              <a:solidFill>
                <a:schemeClr val="accent6"/>
              </a:solidFill>
              <a:round/>
            </a:ln>
            <a:effectLst/>
          </c:spPr>
          <c:marker>
            <c:symbol val="square"/>
            <c:size val="7"/>
            <c:spPr>
              <a:solidFill>
                <a:schemeClr val="accent6"/>
              </a:solidFill>
              <a:ln w="9525">
                <a:noFill/>
              </a:ln>
              <a:effectLst/>
            </c:spPr>
          </c:marker>
          <c:xVal>
            <c:numRef>
              <c:f>'Grafik Heu-Milch'!$C$5:$C$141</c:f>
              <c:numCache>
                <c:formatCode>General</c:formatCode>
                <c:ptCount val="1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numCache>
            </c:numRef>
          </c:xVal>
          <c:yVal>
            <c:numRef>
              <c:f>'Grafik Heu-Milch'!$AK$5:$AK$141</c:f>
              <c:numCache>
                <c:formatCode>General</c:formatCode>
                <c:ptCount val="137"/>
                <c:pt idx="1">
                  <c:v>0</c:v>
                </c:pt>
                <c:pt idx="5">
                  <c:v>0.47404368291357957</c:v>
                </c:pt>
                <c:pt idx="17">
                  <c:v>4.7880910271523653</c:v>
                </c:pt>
                <c:pt idx="38">
                  <c:v>9.1402489407894727</c:v>
                </c:pt>
                <c:pt idx="54">
                  <c:v>7.8088782781780939</c:v>
                </c:pt>
                <c:pt idx="57">
                  <c:v>10.780668198294162</c:v>
                </c:pt>
                <c:pt idx="61">
                  <c:v>7.1658652879994094</c:v>
                </c:pt>
                <c:pt idx="73">
                  <c:v>7.5917563297611821</c:v>
                </c:pt>
                <c:pt idx="101">
                  <c:v>2.7015214236813452</c:v>
                </c:pt>
                <c:pt idx="136">
                  <c:v>0.33927030273870173</c:v>
                </c:pt>
              </c:numCache>
            </c:numRef>
          </c:yVal>
          <c:smooth val="0"/>
          <c:extLst>
            <c:ext xmlns:c16="http://schemas.microsoft.com/office/drawing/2014/chart" uri="{C3380CC4-5D6E-409C-BE32-E72D297353CC}">
              <c16:uniqueId val="{00000099-8C1B-4C12-AABC-1B2D99824493}"/>
            </c:ext>
          </c:extLst>
        </c:ser>
        <c:ser>
          <c:idx val="7"/>
          <c:order val="35"/>
          <c:tx>
            <c:strRef>
              <c:f>'Grafik Heu-Milch'!$AM$3:$AM$4</c:f>
              <c:strCache>
                <c:ptCount val="2"/>
                <c:pt idx="0">
                  <c:v>PFDS </c:v>
                </c:pt>
              </c:strCache>
            </c:strRef>
          </c:tx>
          <c:spPr>
            <a:ln w="19050" cap="rnd">
              <a:solidFill>
                <a:schemeClr val="accent2">
                  <a:lumMod val="75000"/>
                </a:schemeClr>
              </a:solidFill>
              <a:round/>
            </a:ln>
            <a:effectLst/>
          </c:spPr>
          <c:marker>
            <c:symbol val="square"/>
            <c:size val="7"/>
            <c:spPr>
              <a:solidFill>
                <a:schemeClr val="accent2">
                  <a:lumMod val="75000"/>
                </a:schemeClr>
              </a:solidFill>
              <a:ln w="9525">
                <a:noFill/>
              </a:ln>
              <a:effectLst/>
            </c:spPr>
          </c:marker>
          <c:xVal>
            <c:numRef>
              <c:f>'Grafik Heu-Milch'!$C$5:$C$141</c:f>
              <c:numCache>
                <c:formatCode>General</c:formatCode>
                <c:ptCount val="1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numCache>
            </c:numRef>
          </c:xVal>
          <c:yVal>
            <c:numRef>
              <c:f>'Grafik Heu-Milch'!$AM$5:$AM$141</c:f>
              <c:numCache>
                <c:formatCode>General</c:formatCode>
                <c:ptCount val="137"/>
                <c:pt idx="1">
                  <c:v>0</c:v>
                </c:pt>
                <c:pt idx="5">
                  <c:v>0.3304335211617157</c:v>
                </c:pt>
                <c:pt idx="17">
                  <c:v>2.7656977465827026</c:v>
                </c:pt>
                <c:pt idx="38">
                  <c:v>3.6659224497913052</c:v>
                </c:pt>
                <c:pt idx="54">
                  <c:v>5.1831890988993026</c:v>
                </c:pt>
                <c:pt idx="57">
                  <c:v>4.0865793591024495</c:v>
                </c:pt>
                <c:pt idx="61">
                  <c:v>2.3999744360749475</c:v>
                </c:pt>
                <c:pt idx="73">
                  <c:v>1.8726619176715349</c:v>
                </c:pt>
                <c:pt idx="101">
                  <c:v>0.50733103924064149</c:v>
                </c:pt>
                <c:pt idx="136">
                  <c:v>4.3991815676489028E-2</c:v>
                </c:pt>
              </c:numCache>
            </c:numRef>
          </c:yVal>
          <c:smooth val="0"/>
          <c:extLst>
            <c:ext xmlns:c16="http://schemas.microsoft.com/office/drawing/2014/chart" uri="{C3380CC4-5D6E-409C-BE32-E72D297353CC}">
              <c16:uniqueId val="{0000009B-8C1B-4C12-AABC-1B2D99824493}"/>
            </c:ext>
          </c:extLst>
        </c:ser>
        <c:ser>
          <c:idx val="51"/>
          <c:order val="65"/>
          <c:tx>
            <c:strRef>
              <c:f>'Grafik Heu-Milch'!$BQ$3:$BQ$4</c:f>
              <c:strCache>
                <c:ptCount val="2"/>
                <c:pt idx="0">
                  <c:v>PFOS </c:v>
                </c:pt>
              </c:strCache>
            </c:strRef>
          </c:tx>
          <c:spPr>
            <a:ln w="19050" cap="rnd">
              <a:solidFill>
                <a:schemeClr val="accent3">
                  <a:lumMod val="60000"/>
                  <a:lumOff val="40000"/>
                </a:schemeClr>
              </a:solidFill>
              <a:prstDash val="dash"/>
              <a:round/>
            </a:ln>
            <a:effectLst/>
          </c:spPr>
          <c:marker>
            <c:symbol val="square"/>
            <c:size val="7"/>
            <c:spPr>
              <a:solidFill>
                <a:schemeClr val="accent3">
                  <a:lumMod val="60000"/>
                  <a:lumOff val="40000"/>
                </a:schemeClr>
              </a:solidFill>
              <a:ln w="9525">
                <a:noFill/>
              </a:ln>
              <a:effectLst/>
            </c:spPr>
          </c:marker>
          <c:xVal>
            <c:numRef>
              <c:f>'Grafik Heu-Milch'!$C$5:$C$141</c:f>
              <c:numCache>
                <c:formatCode>General</c:formatCode>
                <c:ptCount val="1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numCache>
            </c:numRef>
          </c:xVal>
          <c:yVal>
            <c:numRef>
              <c:f>'Grafik Heu-Milch'!$BQ$5:$BQ$141</c:f>
              <c:numCache>
                <c:formatCode>General</c:formatCode>
                <c:ptCount val="137"/>
                <c:pt idx="1">
                  <c:v>0</c:v>
                </c:pt>
                <c:pt idx="5">
                  <c:v>0.14172760057861289</c:v>
                </c:pt>
                <c:pt idx="17">
                  <c:v>0.99622041122724947</c:v>
                </c:pt>
                <c:pt idx="38">
                  <c:v>2.1150749164059017</c:v>
                </c:pt>
                <c:pt idx="54">
                  <c:v>2.3834637520754574</c:v>
                </c:pt>
                <c:pt idx="57">
                  <c:v>2.4059463786285447</c:v>
                </c:pt>
                <c:pt idx="61">
                  <c:v>1.4996158559246471</c:v>
                </c:pt>
                <c:pt idx="73">
                  <c:v>1.7641916354149023</c:v>
                </c:pt>
                <c:pt idx="101">
                  <c:v>0.91542596545072874</c:v>
                </c:pt>
                <c:pt idx="136">
                  <c:v>0.307309575185157</c:v>
                </c:pt>
              </c:numCache>
            </c:numRef>
          </c:yVal>
          <c:smooth val="0"/>
          <c:extLst>
            <c:ext xmlns:c16="http://schemas.microsoft.com/office/drawing/2014/chart" uri="{C3380CC4-5D6E-409C-BE32-E72D297353CC}">
              <c16:uniqueId val="{000000B9-8C1B-4C12-AABC-1B2D99824493}"/>
            </c:ext>
          </c:extLst>
        </c:ser>
        <c:ser>
          <c:idx val="53"/>
          <c:order val="67"/>
          <c:tx>
            <c:strRef>
              <c:f>'Grafik Heu-Milch'!$BS$3:$BS$4</c:f>
              <c:strCache>
                <c:ptCount val="2"/>
                <c:pt idx="0">
                  <c:v>PFNS </c:v>
                </c:pt>
              </c:strCache>
            </c:strRef>
          </c:tx>
          <c:spPr>
            <a:ln w="19050" cap="rnd">
              <a:solidFill>
                <a:schemeClr val="accent6"/>
              </a:solidFill>
              <a:prstDash val="dash"/>
              <a:round/>
            </a:ln>
            <a:effectLst/>
          </c:spPr>
          <c:marker>
            <c:symbol val="square"/>
            <c:size val="7"/>
            <c:spPr>
              <a:solidFill>
                <a:schemeClr val="accent6"/>
              </a:solidFill>
              <a:ln w="9525">
                <a:noFill/>
              </a:ln>
              <a:effectLst/>
            </c:spPr>
          </c:marker>
          <c:xVal>
            <c:numRef>
              <c:f>'Grafik Heu-Milch'!$C$5:$C$141</c:f>
              <c:numCache>
                <c:formatCode>General</c:formatCode>
                <c:ptCount val="1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numCache>
            </c:numRef>
          </c:xVal>
          <c:yVal>
            <c:numRef>
              <c:f>'Grafik Heu-Milch'!$BS$5:$BS$141</c:f>
              <c:numCache>
                <c:formatCode>General</c:formatCode>
                <c:ptCount val="137"/>
                <c:pt idx="1">
                  <c:v>0</c:v>
                </c:pt>
                <c:pt idx="5">
                  <c:v>0.80640764981079505</c:v>
                </c:pt>
                <c:pt idx="17">
                  <c:v>10.134075497016578</c:v>
                </c:pt>
                <c:pt idx="38">
                  <c:v>19.204016230503196</c:v>
                </c:pt>
                <c:pt idx="54">
                  <c:v>19.288553936407038</c:v>
                </c:pt>
                <c:pt idx="57">
                  <c:v>23.175070493982599</c:v>
                </c:pt>
                <c:pt idx="61">
                  <c:v>13.345218149352268</c:v>
                </c:pt>
                <c:pt idx="73">
                  <c:v>15.207864218962332</c:v>
                </c:pt>
                <c:pt idx="101">
                  <c:v>6.4602050004256322</c:v>
                </c:pt>
                <c:pt idx="136">
                  <c:v>1.2941348516501363</c:v>
                </c:pt>
              </c:numCache>
            </c:numRef>
          </c:yVal>
          <c:smooth val="0"/>
          <c:extLst>
            <c:ext xmlns:c16="http://schemas.microsoft.com/office/drawing/2014/chart" uri="{C3380CC4-5D6E-409C-BE32-E72D297353CC}">
              <c16:uniqueId val="{000000BB-8C1B-4C12-AABC-1B2D99824493}"/>
            </c:ext>
          </c:extLst>
        </c:ser>
        <c:ser>
          <c:idx val="55"/>
          <c:order val="69"/>
          <c:tx>
            <c:strRef>
              <c:f>'Grafik Heu-Milch'!$BU$3:$BU$4</c:f>
              <c:strCache>
                <c:ptCount val="2"/>
                <c:pt idx="0">
                  <c:v>PFDS </c:v>
                </c:pt>
              </c:strCache>
            </c:strRef>
          </c:tx>
          <c:spPr>
            <a:ln w="19050" cap="rnd">
              <a:solidFill>
                <a:schemeClr val="accent2">
                  <a:lumMod val="75000"/>
                </a:schemeClr>
              </a:solidFill>
              <a:prstDash val="dash"/>
              <a:round/>
            </a:ln>
            <a:effectLst/>
          </c:spPr>
          <c:marker>
            <c:symbol val="square"/>
            <c:size val="7"/>
            <c:spPr>
              <a:solidFill>
                <a:schemeClr val="accent2">
                  <a:lumMod val="75000"/>
                </a:schemeClr>
              </a:solidFill>
              <a:ln w="9525">
                <a:noFill/>
              </a:ln>
              <a:effectLst/>
            </c:spPr>
          </c:marker>
          <c:xVal>
            <c:numRef>
              <c:f>'Grafik Heu-Milch'!$C$5:$C$141</c:f>
              <c:numCache>
                <c:formatCode>General</c:formatCode>
                <c:ptCount val="1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numCache>
            </c:numRef>
          </c:xVal>
          <c:yVal>
            <c:numRef>
              <c:f>'Grafik Heu-Milch'!$BU$5:$BU$141</c:f>
              <c:numCache>
                <c:formatCode>General</c:formatCode>
                <c:ptCount val="137"/>
                <c:pt idx="1">
                  <c:v>0</c:v>
                </c:pt>
                <c:pt idx="5">
                  <c:v>0.20883309613596324</c:v>
                </c:pt>
                <c:pt idx="17">
                  <c:v>2.0577039885451338</c:v>
                </c:pt>
                <c:pt idx="38">
                  <c:v>2.6862473119152526</c:v>
                </c:pt>
                <c:pt idx="54">
                  <c:v>3.0188717339607516</c:v>
                </c:pt>
                <c:pt idx="57">
                  <c:v>2.8364254659032624</c:v>
                </c:pt>
                <c:pt idx="61">
                  <c:v>1.3922926922367131</c:v>
                </c:pt>
                <c:pt idx="73">
                  <c:v>0.90250363309860937</c:v>
                </c:pt>
                <c:pt idx="101">
                  <c:v>0.20082621346622848</c:v>
                </c:pt>
                <c:pt idx="136">
                  <c:v>3.8199928301204944E-2</c:v>
                </c:pt>
              </c:numCache>
            </c:numRef>
          </c:yVal>
          <c:smooth val="0"/>
          <c:extLst>
            <c:ext xmlns:c16="http://schemas.microsoft.com/office/drawing/2014/chart" uri="{C3380CC4-5D6E-409C-BE32-E72D297353CC}">
              <c16:uniqueId val="{000000BD-8C1B-4C12-AABC-1B2D99824493}"/>
            </c:ext>
          </c:extLst>
        </c:ser>
        <c:dLbls>
          <c:showLegendKey val="0"/>
          <c:showVal val="0"/>
          <c:showCatName val="0"/>
          <c:showSerName val="0"/>
          <c:showPercent val="0"/>
          <c:showBubbleSize val="0"/>
        </c:dLbls>
        <c:axId val="467302144"/>
        <c:axId val="467301728"/>
        <c:extLst>
          <c:ext xmlns:c15="http://schemas.microsoft.com/office/drawing/2012/chart" uri="{02D57815-91ED-43cb-92C2-25804820EDAC}">
            <c15:filteredScatterSeries>
              <c15:ser>
                <c:idx val="4"/>
                <c:order val="3"/>
                <c:tx>
                  <c:strRef>
                    <c:extLst>
                      <c:ext uri="{02D57815-91ED-43cb-92C2-25804820EDAC}">
                        <c15:formulaRef>
                          <c15:sqref>'Grafik Heu-Milch'!$G$3:$G$4</c15:sqref>
                        </c15:formulaRef>
                      </c:ext>
                    </c:extLst>
                    <c:strCache>
                      <c:ptCount val="2"/>
                      <c:pt idx="0">
                        <c:v>PFPeA </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xVal>
                  <c:numRef>
                    <c:extLst>
                      <c:ext uri="{02D57815-91ED-43cb-92C2-25804820EDAC}">
                        <c15:formulaRef>
                          <c15:sqref>'Grafik Heu-Milch'!$C$5:$C$141</c15:sqref>
                        </c15:formulaRef>
                      </c:ext>
                    </c:extLst>
                    <c:numCache>
                      <c:formatCode>General</c:formatCode>
                      <c:ptCount val="1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numCache>
                  </c:numRef>
                </c:xVal>
                <c:yVal>
                  <c:numRef>
                    <c:extLst>
                      <c:ext uri="{02D57815-91ED-43cb-92C2-25804820EDAC}">
                        <c15:formulaRef>
                          <c15:sqref>'Grafik Heu-Milch'!$G$5:$G$141</c15:sqref>
                        </c15:formulaRef>
                      </c:ext>
                    </c:extLst>
                    <c:numCache>
                      <c:formatCode>General</c:formatCode>
                      <c:ptCount val="137"/>
                      <c:pt idx="1">
                        <c:v>0</c:v>
                      </c:pt>
                      <c:pt idx="5">
                        <c:v>1.3417906553632578E-2</c:v>
                      </c:pt>
                      <c:pt idx="17">
                        <c:v>4.0332966435350448E-2</c:v>
                      </c:pt>
                      <c:pt idx="38">
                        <c:v>1.5853995684656501E-2</c:v>
                      </c:pt>
                      <c:pt idx="54">
                        <c:v>1.9572606556625478E-2</c:v>
                      </c:pt>
                      <c:pt idx="57">
                        <c:v>8.6545184158462306E-3</c:v>
                      </c:pt>
                      <c:pt idx="61">
                        <c:v>0</c:v>
                      </c:pt>
                      <c:pt idx="73">
                        <c:v>0</c:v>
                      </c:pt>
                      <c:pt idx="101">
                        <c:v>0</c:v>
                      </c:pt>
                      <c:pt idx="136">
                        <c:v>0</c:v>
                      </c:pt>
                    </c:numCache>
                  </c:numRef>
                </c:yVal>
                <c:smooth val="0"/>
                <c:extLst>
                  <c:ext xmlns:c16="http://schemas.microsoft.com/office/drawing/2014/chart" uri="{C3380CC4-5D6E-409C-BE32-E72D297353CC}">
                    <c16:uniqueId val="{00000004-0635-4FE2-BA0A-D215CB6B9264}"/>
                  </c:ext>
                </c:extLst>
              </c15:ser>
            </c15:filteredScatterSeries>
            <c15:filteredScatterSeries>
              <c15:ser>
                <c:idx val="26"/>
                <c:order val="5"/>
                <c:tx>
                  <c:strRef>
                    <c:extLst xmlns:c15="http://schemas.microsoft.com/office/drawing/2012/chart">
                      <c:ext xmlns:c15="http://schemas.microsoft.com/office/drawing/2012/chart" uri="{02D57815-91ED-43cb-92C2-25804820EDAC}">
                        <c15:formulaRef>
                          <c15:sqref>'Grafik Heu-Milch'!$I$3:$I$4</c15:sqref>
                        </c15:formulaRef>
                      </c:ext>
                    </c:extLst>
                    <c:strCache>
                      <c:ptCount val="2"/>
                      <c:pt idx="0">
                        <c:v>PFHxA </c:v>
                      </c:pt>
                    </c:strCache>
                  </c:strRef>
                </c:tx>
                <c:spPr>
                  <a:ln w="28575" cap="rnd">
                    <a:solidFill>
                      <a:schemeClr val="accent3">
                        <a:lumMod val="60000"/>
                        <a:lumOff val="40000"/>
                      </a:schemeClr>
                    </a:solidFill>
                    <a:round/>
                  </a:ln>
                  <a:effectLst/>
                </c:spPr>
                <c:marker>
                  <c:symbol val="circle"/>
                  <c:size val="5"/>
                  <c:spPr>
                    <a:solidFill>
                      <a:schemeClr val="accent3">
                        <a:lumMod val="60000"/>
                        <a:lumOff val="40000"/>
                      </a:schemeClr>
                    </a:solidFill>
                    <a:ln w="9525">
                      <a:solidFill>
                        <a:schemeClr val="accent3">
                          <a:lumMod val="60000"/>
                          <a:lumOff val="40000"/>
                        </a:schemeClr>
                      </a:solidFill>
                    </a:ln>
                    <a:effectLst/>
                  </c:spPr>
                </c:marker>
                <c:xVal>
                  <c:numRef>
                    <c:extLst xmlns:c15="http://schemas.microsoft.com/office/drawing/2012/chart">
                      <c:ext xmlns:c15="http://schemas.microsoft.com/office/drawing/2012/chart" uri="{02D57815-91ED-43cb-92C2-25804820EDAC}">
                        <c15:formulaRef>
                          <c15:sqref>'Grafik Heu-Milch'!$C$5:$C$141</c15:sqref>
                        </c15:formulaRef>
                      </c:ext>
                    </c:extLst>
                    <c:numCache>
                      <c:formatCode>General</c:formatCode>
                      <c:ptCount val="1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numCache>
                  </c:numRef>
                </c:xVal>
                <c:yVal>
                  <c:numRef>
                    <c:extLst xmlns:c15="http://schemas.microsoft.com/office/drawing/2012/chart">
                      <c:ext xmlns:c15="http://schemas.microsoft.com/office/drawing/2012/chart" uri="{02D57815-91ED-43cb-92C2-25804820EDAC}">
                        <c15:formulaRef>
                          <c15:sqref>'Grafik Heu-Milch'!$I$5:$I$141</c15:sqref>
                        </c15:formulaRef>
                      </c:ext>
                    </c:extLst>
                    <c:numCache>
                      <c:formatCode>General</c:formatCode>
                      <c:ptCount val="137"/>
                      <c:pt idx="1">
                        <c:v>0</c:v>
                      </c:pt>
                      <c:pt idx="5">
                        <c:v>0</c:v>
                      </c:pt>
                      <c:pt idx="17">
                        <c:v>0</c:v>
                      </c:pt>
                      <c:pt idx="38">
                        <c:v>0</c:v>
                      </c:pt>
                      <c:pt idx="54">
                        <c:v>0</c:v>
                      </c:pt>
                      <c:pt idx="57">
                        <c:v>0</c:v>
                      </c:pt>
                      <c:pt idx="61">
                        <c:v>0</c:v>
                      </c:pt>
                      <c:pt idx="73">
                        <c:v>0</c:v>
                      </c:pt>
                      <c:pt idx="101">
                        <c:v>0</c:v>
                      </c:pt>
                      <c:pt idx="136">
                        <c:v>0</c:v>
                      </c:pt>
                    </c:numCache>
                  </c:numRef>
                </c:yVal>
                <c:smooth val="0"/>
                <c:extLst xmlns:c15="http://schemas.microsoft.com/office/drawing/2012/chart">
                  <c:ext xmlns:c16="http://schemas.microsoft.com/office/drawing/2014/chart" uri="{C3380CC4-5D6E-409C-BE32-E72D297353CC}">
                    <c16:uniqueId val="{0000001B-0635-4FE2-BA0A-D215CB6B9264}"/>
                  </c:ext>
                </c:extLst>
              </c15:ser>
            </c15:filteredScatterSeries>
            <c15:filteredScatterSeries>
              <c15:ser>
                <c:idx val="31"/>
                <c:order val="7"/>
                <c:tx>
                  <c:strRef>
                    <c:extLst xmlns:c15="http://schemas.microsoft.com/office/drawing/2012/chart">
                      <c:ext xmlns:c15="http://schemas.microsoft.com/office/drawing/2012/chart" uri="{02D57815-91ED-43cb-92C2-25804820EDAC}">
                        <c15:formulaRef>
                          <c15:sqref>'Grafik Heu-Milch'!$K$3:$K$4</c15:sqref>
                        </c15:formulaRef>
                      </c:ext>
                    </c:extLst>
                    <c:strCache>
                      <c:ptCount val="2"/>
                      <c:pt idx="0">
                        <c:v>PFHpA </c:v>
                      </c:pt>
                    </c:strCache>
                  </c:strRef>
                </c:tx>
                <c:spPr>
                  <a:ln w="28575" cap="rnd">
                    <a:solidFill>
                      <a:schemeClr val="accent2">
                        <a:lumMod val="50000"/>
                      </a:schemeClr>
                    </a:solidFill>
                    <a:round/>
                  </a:ln>
                  <a:effectLst/>
                </c:spPr>
                <c:marker>
                  <c:symbol val="circle"/>
                  <c:size val="5"/>
                  <c:spPr>
                    <a:solidFill>
                      <a:schemeClr val="accent2">
                        <a:lumMod val="50000"/>
                      </a:schemeClr>
                    </a:solidFill>
                    <a:ln w="9525">
                      <a:solidFill>
                        <a:schemeClr val="accent2">
                          <a:lumMod val="50000"/>
                        </a:schemeClr>
                      </a:solidFill>
                    </a:ln>
                    <a:effectLst/>
                  </c:spPr>
                </c:marker>
                <c:xVal>
                  <c:numRef>
                    <c:extLst xmlns:c15="http://schemas.microsoft.com/office/drawing/2012/chart">
                      <c:ext xmlns:c15="http://schemas.microsoft.com/office/drawing/2012/chart" uri="{02D57815-91ED-43cb-92C2-25804820EDAC}">
                        <c15:formulaRef>
                          <c15:sqref>'Grafik Heu-Milch'!$C$5:$C$141</c15:sqref>
                        </c15:formulaRef>
                      </c:ext>
                    </c:extLst>
                    <c:numCache>
                      <c:formatCode>General</c:formatCode>
                      <c:ptCount val="1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numCache>
                  </c:numRef>
                </c:xVal>
                <c:yVal>
                  <c:numRef>
                    <c:extLst xmlns:c15="http://schemas.microsoft.com/office/drawing/2012/chart">
                      <c:ext xmlns:c15="http://schemas.microsoft.com/office/drawing/2012/chart" uri="{02D57815-91ED-43cb-92C2-25804820EDAC}">
                        <c15:formulaRef>
                          <c15:sqref>'Grafik Heu-Milch'!$K$5:$K$141</c15:sqref>
                        </c15:formulaRef>
                      </c:ext>
                    </c:extLst>
                    <c:numCache>
                      <c:formatCode>General</c:formatCode>
                      <c:ptCount val="137"/>
                      <c:pt idx="1">
                        <c:v>0</c:v>
                      </c:pt>
                      <c:pt idx="5">
                        <c:v>0</c:v>
                      </c:pt>
                      <c:pt idx="17">
                        <c:v>0</c:v>
                      </c:pt>
                      <c:pt idx="38">
                        <c:v>0</c:v>
                      </c:pt>
                      <c:pt idx="54">
                        <c:v>0</c:v>
                      </c:pt>
                      <c:pt idx="57">
                        <c:v>0</c:v>
                      </c:pt>
                      <c:pt idx="61">
                        <c:v>0</c:v>
                      </c:pt>
                      <c:pt idx="73">
                        <c:v>0</c:v>
                      </c:pt>
                      <c:pt idx="101">
                        <c:v>0</c:v>
                      </c:pt>
                      <c:pt idx="136">
                        <c:v>0</c:v>
                      </c:pt>
                    </c:numCache>
                  </c:numRef>
                </c:yVal>
                <c:smooth val="0"/>
                <c:extLst xmlns:c15="http://schemas.microsoft.com/office/drawing/2012/chart">
                  <c:ext xmlns:c16="http://schemas.microsoft.com/office/drawing/2014/chart" uri="{C3380CC4-5D6E-409C-BE32-E72D297353CC}">
                    <c16:uniqueId val="{00000020-0635-4FE2-BA0A-D215CB6B9264}"/>
                  </c:ext>
                </c:extLst>
              </c15:ser>
            </c15:filteredScatterSeries>
            <c15:filteredScatterSeries>
              <c15:ser>
                <c:idx val="33"/>
                <c:order val="9"/>
                <c:tx>
                  <c:strRef>
                    <c:extLst xmlns:c15="http://schemas.microsoft.com/office/drawing/2012/chart">
                      <c:ext xmlns:c15="http://schemas.microsoft.com/office/drawing/2012/chart" uri="{02D57815-91ED-43cb-92C2-25804820EDAC}">
                        <c15:formulaRef>
                          <c15:sqref>'Grafik Heu-Milch'!$M$3:$M$4</c15:sqref>
                        </c15:formulaRef>
                      </c:ext>
                    </c:extLst>
                    <c:strCache>
                      <c:ptCount val="2"/>
                      <c:pt idx="0">
                        <c:v>PFOA </c:v>
                      </c:pt>
                    </c:strCache>
                  </c:strRef>
                </c:tx>
                <c:spPr>
                  <a:ln w="28575" cap="rnd">
                    <a:solidFill>
                      <a:schemeClr val="accent4">
                        <a:lumMod val="50000"/>
                      </a:schemeClr>
                    </a:solidFill>
                    <a:round/>
                  </a:ln>
                  <a:effectLst/>
                </c:spPr>
                <c:marker>
                  <c:symbol val="circle"/>
                  <c:size val="5"/>
                  <c:spPr>
                    <a:solidFill>
                      <a:schemeClr val="accent4">
                        <a:lumMod val="50000"/>
                      </a:schemeClr>
                    </a:solidFill>
                    <a:ln w="9525">
                      <a:solidFill>
                        <a:schemeClr val="accent4">
                          <a:lumMod val="50000"/>
                        </a:schemeClr>
                      </a:solidFill>
                    </a:ln>
                    <a:effectLst/>
                  </c:spPr>
                </c:marker>
                <c:xVal>
                  <c:numRef>
                    <c:extLst xmlns:c15="http://schemas.microsoft.com/office/drawing/2012/chart">
                      <c:ext xmlns:c15="http://schemas.microsoft.com/office/drawing/2012/chart" uri="{02D57815-91ED-43cb-92C2-25804820EDAC}">
                        <c15:formulaRef>
                          <c15:sqref>'Grafik Heu-Milch'!$C$5:$C$141</c15:sqref>
                        </c15:formulaRef>
                      </c:ext>
                    </c:extLst>
                    <c:numCache>
                      <c:formatCode>General</c:formatCode>
                      <c:ptCount val="1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numCache>
                  </c:numRef>
                </c:xVal>
                <c:yVal>
                  <c:numRef>
                    <c:extLst xmlns:c15="http://schemas.microsoft.com/office/drawing/2012/chart">
                      <c:ext xmlns:c15="http://schemas.microsoft.com/office/drawing/2012/chart" uri="{02D57815-91ED-43cb-92C2-25804820EDAC}">
                        <c15:formulaRef>
                          <c15:sqref>'Grafik Heu-Milch'!$M$5:$M$141</c15:sqref>
                        </c15:formulaRef>
                      </c:ext>
                    </c:extLst>
                    <c:numCache>
                      <c:formatCode>General</c:formatCode>
                      <c:ptCount val="137"/>
                      <c:pt idx="1">
                        <c:v>2.5333937095100499E-4</c:v>
                      </c:pt>
                      <c:pt idx="5">
                        <c:v>7.117249006218368E-2</c:v>
                      </c:pt>
                      <c:pt idx="17">
                        <c:v>0.1414289265028722</c:v>
                      </c:pt>
                      <c:pt idx="38">
                        <c:v>2.5698304791204801E-2</c:v>
                      </c:pt>
                      <c:pt idx="54">
                        <c:v>3.641465374733014E-2</c:v>
                      </c:pt>
                      <c:pt idx="57">
                        <c:v>1.5278870960463086E-2</c:v>
                      </c:pt>
                      <c:pt idx="61">
                        <c:v>1.5661228155799275E-3</c:v>
                      </c:pt>
                      <c:pt idx="73">
                        <c:v>1.55329173132934E-3</c:v>
                      </c:pt>
                      <c:pt idx="101">
                        <c:v>6.1192362091205257E-4</c:v>
                      </c:pt>
                      <c:pt idx="136">
                        <c:v>0</c:v>
                      </c:pt>
                    </c:numCache>
                  </c:numRef>
                </c:yVal>
                <c:smooth val="0"/>
                <c:extLst xmlns:c15="http://schemas.microsoft.com/office/drawing/2012/chart">
                  <c:ext xmlns:c16="http://schemas.microsoft.com/office/drawing/2014/chart" uri="{C3380CC4-5D6E-409C-BE32-E72D297353CC}">
                    <c16:uniqueId val="{00000022-0635-4FE2-BA0A-D215CB6B9264}"/>
                  </c:ext>
                </c:extLst>
              </c15:ser>
            </c15:filteredScatterSeries>
            <c15:filteredScatterSeries>
              <c15:ser>
                <c:idx val="35"/>
                <c:order val="11"/>
                <c:tx>
                  <c:strRef>
                    <c:extLst xmlns:c15="http://schemas.microsoft.com/office/drawing/2012/chart">
                      <c:ext xmlns:c15="http://schemas.microsoft.com/office/drawing/2012/chart" uri="{02D57815-91ED-43cb-92C2-25804820EDAC}">
                        <c15:formulaRef>
                          <c15:sqref>'Grafik Heu-Milch'!$O$3:$O$4</c15:sqref>
                        </c15:formulaRef>
                      </c:ext>
                    </c:extLst>
                    <c:strCache>
                      <c:ptCount val="2"/>
                      <c:pt idx="0">
                        <c:v>PFNA </c:v>
                      </c:pt>
                    </c:strCache>
                  </c:strRef>
                </c:tx>
                <c:spPr>
                  <a:ln w="28575" cap="rnd">
                    <a:solidFill>
                      <a:schemeClr val="accent6">
                        <a:lumMod val="50000"/>
                      </a:schemeClr>
                    </a:solidFill>
                    <a:round/>
                  </a:ln>
                  <a:effectLst/>
                </c:spPr>
                <c:marker>
                  <c:symbol val="circle"/>
                  <c:size val="5"/>
                  <c:spPr>
                    <a:solidFill>
                      <a:schemeClr val="accent6">
                        <a:lumMod val="50000"/>
                      </a:schemeClr>
                    </a:solidFill>
                    <a:ln w="9525">
                      <a:solidFill>
                        <a:schemeClr val="accent6">
                          <a:lumMod val="50000"/>
                        </a:schemeClr>
                      </a:solidFill>
                    </a:ln>
                    <a:effectLst/>
                  </c:spPr>
                </c:marker>
                <c:xVal>
                  <c:numRef>
                    <c:extLst xmlns:c15="http://schemas.microsoft.com/office/drawing/2012/chart">
                      <c:ext xmlns:c15="http://schemas.microsoft.com/office/drawing/2012/chart" uri="{02D57815-91ED-43cb-92C2-25804820EDAC}">
                        <c15:formulaRef>
                          <c15:sqref>'Grafik Heu-Milch'!$C$5:$C$141</c15:sqref>
                        </c15:formulaRef>
                      </c:ext>
                    </c:extLst>
                    <c:numCache>
                      <c:formatCode>General</c:formatCode>
                      <c:ptCount val="1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numCache>
                  </c:numRef>
                </c:xVal>
                <c:yVal>
                  <c:numRef>
                    <c:extLst xmlns:c15="http://schemas.microsoft.com/office/drawing/2012/chart">
                      <c:ext xmlns:c15="http://schemas.microsoft.com/office/drawing/2012/chart" uri="{02D57815-91ED-43cb-92C2-25804820EDAC}">
                        <c15:formulaRef>
                          <c15:sqref>'Grafik Heu-Milch'!$O$5:$O$141</c15:sqref>
                        </c15:formulaRef>
                      </c:ext>
                    </c:extLst>
                    <c:numCache>
                      <c:formatCode>General</c:formatCode>
                      <c:ptCount val="137"/>
                      <c:pt idx="1">
                        <c:v>1.0040110226742674E-3</c:v>
                      </c:pt>
                      <c:pt idx="5">
                        <c:v>3.4768101231260175E-3</c:v>
                      </c:pt>
                      <c:pt idx="17">
                        <c:v>9.7374995094770336E-3</c:v>
                      </c:pt>
                      <c:pt idx="38">
                        <c:v>4.4841359669472742E-3</c:v>
                      </c:pt>
                      <c:pt idx="54">
                        <c:v>2.8477948201427973E-3</c:v>
                      </c:pt>
                      <c:pt idx="57">
                        <c:v>3.0239708036575519E-3</c:v>
                      </c:pt>
                      <c:pt idx="61">
                        <c:v>1.962361435948265E-3</c:v>
                      </c:pt>
                      <c:pt idx="73">
                        <c:v>1.2529159968816248E-3</c:v>
                      </c:pt>
                      <c:pt idx="101">
                        <c:v>5.2078715969948756E-4</c:v>
                      </c:pt>
                      <c:pt idx="136">
                        <c:v>0</c:v>
                      </c:pt>
                    </c:numCache>
                  </c:numRef>
                </c:yVal>
                <c:smooth val="0"/>
                <c:extLst xmlns:c15="http://schemas.microsoft.com/office/drawing/2012/chart">
                  <c:ext xmlns:c16="http://schemas.microsoft.com/office/drawing/2014/chart" uri="{C3380CC4-5D6E-409C-BE32-E72D297353CC}">
                    <c16:uniqueId val="{00000024-0635-4FE2-BA0A-D215CB6B9264}"/>
                  </c:ext>
                </c:extLst>
              </c15:ser>
            </c15:filteredScatterSeries>
            <c15:filteredScatterSeries>
              <c15:ser>
                <c:idx val="37"/>
                <c:order val="13"/>
                <c:tx>
                  <c:strRef>
                    <c:extLst xmlns:c15="http://schemas.microsoft.com/office/drawing/2012/chart">
                      <c:ext xmlns:c15="http://schemas.microsoft.com/office/drawing/2012/chart" uri="{02D57815-91ED-43cb-92C2-25804820EDAC}">
                        <c15:formulaRef>
                          <c15:sqref>'Grafik Heu-Milch'!$Q$3:$Q$4</c15:sqref>
                        </c15:formulaRef>
                      </c:ext>
                    </c:extLst>
                    <c:strCache>
                      <c:ptCount val="2"/>
                      <c:pt idx="0">
                        <c:v>PFDA </c:v>
                      </c:pt>
                    </c:strCache>
                  </c:strRef>
                </c:tx>
                <c:spPr>
                  <a:ln w="28575" cap="rnd">
                    <a:solidFill>
                      <a:schemeClr val="accent2">
                        <a:lumMod val="70000"/>
                        <a:lumOff val="30000"/>
                      </a:schemeClr>
                    </a:solidFill>
                    <a:round/>
                  </a:ln>
                  <a:effectLst/>
                </c:spPr>
                <c:marker>
                  <c:symbol val="circle"/>
                  <c:size val="5"/>
                  <c:spPr>
                    <a:solidFill>
                      <a:schemeClr val="accent2">
                        <a:lumMod val="70000"/>
                        <a:lumOff val="30000"/>
                      </a:schemeClr>
                    </a:solidFill>
                    <a:ln w="9525">
                      <a:solidFill>
                        <a:schemeClr val="accent2">
                          <a:lumMod val="70000"/>
                          <a:lumOff val="30000"/>
                        </a:schemeClr>
                      </a:solidFill>
                    </a:ln>
                    <a:effectLst/>
                  </c:spPr>
                </c:marker>
                <c:xVal>
                  <c:numRef>
                    <c:extLst xmlns:c15="http://schemas.microsoft.com/office/drawing/2012/chart">
                      <c:ext xmlns:c15="http://schemas.microsoft.com/office/drawing/2012/chart" uri="{02D57815-91ED-43cb-92C2-25804820EDAC}">
                        <c15:formulaRef>
                          <c15:sqref>'Grafik Heu-Milch'!$C$5:$C$141</c15:sqref>
                        </c15:formulaRef>
                      </c:ext>
                    </c:extLst>
                    <c:numCache>
                      <c:formatCode>General</c:formatCode>
                      <c:ptCount val="1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numCache>
                  </c:numRef>
                </c:xVal>
                <c:yVal>
                  <c:numRef>
                    <c:extLst xmlns:c15="http://schemas.microsoft.com/office/drawing/2012/chart">
                      <c:ext xmlns:c15="http://schemas.microsoft.com/office/drawing/2012/chart" uri="{02D57815-91ED-43cb-92C2-25804820EDAC}">
                        <c15:formulaRef>
                          <c15:sqref>'Grafik Heu-Milch'!$Q$5:$Q$141</c15:sqref>
                        </c15:formulaRef>
                      </c:ext>
                    </c:extLst>
                    <c:numCache>
                      <c:formatCode>General</c:formatCode>
                      <c:ptCount val="137"/>
                      <c:pt idx="1">
                        <c:v>9.5267019176279253E-3</c:v>
                      </c:pt>
                      <c:pt idx="5">
                        <c:v>2.0213739617112324E-2</c:v>
                      </c:pt>
                      <c:pt idx="17">
                        <c:v>5.8444619636963291E-2</c:v>
                      </c:pt>
                      <c:pt idx="38">
                        <c:v>7.2693502659969059E-2</c:v>
                      </c:pt>
                      <c:pt idx="54">
                        <c:v>6.9340278462715399E-2</c:v>
                      </c:pt>
                      <c:pt idx="57">
                        <c:v>8.4880293294181008E-2</c:v>
                      </c:pt>
                      <c:pt idx="61">
                        <c:v>6.3439920700409339E-2</c:v>
                      </c:pt>
                      <c:pt idx="73">
                        <c:v>7.5488264432546637E-2</c:v>
                      </c:pt>
                      <c:pt idx="101">
                        <c:v>4.2460387938881967E-2</c:v>
                      </c:pt>
                      <c:pt idx="136">
                        <c:v>9.0009340121872637E-3</c:v>
                      </c:pt>
                    </c:numCache>
                  </c:numRef>
                </c:yVal>
                <c:smooth val="0"/>
                <c:extLst xmlns:c15="http://schemas.microsoft.com/office/drawing/2012/chart">
                  <c:ext xmlns:c16="http://schemas.microsoft.com/office/drawing/2014/chart" uri="{C3380CC4-5D6E-409C-BE32-E72D297353CC}">
                    <c16:uniqueId val="{00000026-0635-4FE2-BA0A-D215CB6B9264}"/>
                  </c:ext>
                </c:extLst>
              </c15:ser>
            </c15:filteredScatterSeries>
            <c15:filteredScatterSeries>
              <c15:ser>
                <c:idx val="39"/>
                <c:order val="15"/>
                <c:tx>
                  <c:strRef>
                    <c:extLst xmlns:c15="http://schemas.microsoft.com/office/drawing/2012/chart">
                      <c:ext xmlns:c15="http://schemas.microsoft.com/office/drawing/2012/chart" uri="{02D57815-91ED-43cb-92C2-25804820EDAC}">
                        <c15:formulaRef>
                          <c15:sqref>'Grafik Heu-Milch'!$S$3:$S$4</c15:sqref>
                        </c15:formulaRef>
                      </c:ext>
                    </c:extLst>
                    <c:strCache>
                      <c:ptCount val="2"/>
                      <c:pt idx="0">
                        <c:v>PFUnDA </c:v>
                      </c:pt>
                    </c:strCache>
                  </c:strRef>
                </c:tx>
                <c:spPr>
                  <a:ln w="28575" cap="rnd">
                    <a:solidFill>
                      <a:schemeClr val="accent4">
                        <a:lumMod val="70000"/>
                        <a:lumOff val="30000"/>
                      </a:schemeClr>
                    </a:solidFill>
                    <a:round/>
                  </a:ln>
                  <a:effectLst/>
                </c:spPr>
                <c:marker>
                  <c:symbol val="circle"/>
                  <c:size val="5"/>
                  <c:spPr>
                    <a:solidFill>
                      <a:schemeClr val="accent4">
                        <a:lumMod val="70000"/>
                        <a:lumOff val="30000"/>
                      </a:schemeClr>
                    </a:solidFill>
                    <a:ln w="9525">
                      <a:solidFill>
                        <a:schemeClr val="accent4">
                          <a:lumMod val="70000"/>
                          <a:lumOff val="30000"/>
                        </a:schemeClr>
                      </a:solidFill>
                    </a:ln>
                    <a:effectLst/>
                  </c:spPr>
                </c:marker>
                <c:xVal>
                  <c:numRef>
                    <c:extLst xmlns:c15="http://schemas.microsoft.com/office/drawing/2012/chart">
                      <c:ext xmlns:c15="http://schemas.microsoft.com/office/drawing/2012/chart" uri="{02D57815-91ED-43cb-92C2-25804820EDAC}">
                        <c15:formulaRef>
                          <c15:sqref>'Grafik Heu-Milch'!$C$5:$C$141</c15:sqref>
                        </c15:formulaRef>
                      </c:ext>
                    </c:extLst>
                    <c:numCache>
                      <c:formatCode>General</c:formatCode>
                      <c:ptCount val="1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numCache>
                  </c:numRef>
                </c:xVal>
                <c:yVal>
                  <c:numRef>
                    <c:extLst xmlns:c15="http://schemas.microsoft.com/office/drawing/2012/chart">
                      <c:ext xmlns:c15="http://schemas.microsoft.com/office/drawing/2012/chart" uri="{02D57815-91ED-43cb-92C2-25804820EDAC}">
                        <c15:formulaRef>
                          <c15:sqref>'Grafik Heu-Milch'!$S$5:$S$141</c15:sqref>
                        </c15:formulaRef>
                      </c:ext>
                    </c:extLst>
                    <c:numCache>
                      <c:formatCode>General</c:formatCode>
                      <c:ptCount val="137"/>
                      <c:pt idx="1">
                        <c:v>6.4728707277456499E-4</c:v>
                      </c:pt>
                      <c:pt idx="5">
                        <c:v>5.5917078665083803E-3</c:v>
                      </c:pt>
                      <c:pt idx="17">
                        <c:v>2.8027010168973979E-2</c:v>
                      </c:pt>
                      <c:pt idx="38">
                        <c:v>3.8092317237744699E-2</c:v>
                      </c:pt>
                      <c:pt idx="54">
                        <c:v>3.2621673697004923E-2</c:v>
                      </c:pt>
                      <c:pt idx="57">
                        <c:v>4.058967984185665E-2</c:v>
                      </c:pt>
                      <c:pt idx="61">
                        <c:v>3.054371713531593E-2</c:v>
                      </c:pt>
                      <c:pt idx="73">
                        <c:v>3.1717888853727096E-2</c:v>
                      </c:pt>
                      <c:pt idx="101">
                        <c:v>1.4943290385150076E-2</c:v>
                      </c:pt>
                      <c:pt idx="136">
                        <c:v>1.6614920594478775E-3</c:v>
                      </c:pt>
                    </c:numCache>
                  </c:numRef>
                </c:yVal>
                <c:smooth val="0"/>
                <c:extLst xmlns:c15="http://schemas.microsoft.com/office/drawing/2012/chart">
                  <c:ext xmlns:c16="http://schemas.microsoft.com/office/drawing/2014/chart" uri="{C3380CC4-5D6E-409C-BE32-E72D297353CC}">
                    <c16:uniqueId val="{00000028-0635-4FE2-BA0A-D215CB6B9264}"/>
                  </c:ext>
                </c:extLst>
              </c15:ser>
            </c15:filteredScatterSeries>
            <c15:filteredScatterSeries>
              <c15:ser>
                <c:idx val="44"/>
                <c:order val="17"/>
                <c:tx>
                  <c:strRef>
                    <c:extLst xmlns:c15="http://schemas.microsoft.com/office/drawing/2012/chart">
                      <c:ext xmlns:c15="http://schemas.microsoft.com/office/drawing/2012/chart" uri="{02D57815-91ED-43cb-92C2-25804820EDAC}">
                        <c15:formulaRef>
                          <c15:sqref>'Grafik Heu-Milch'!$U$3:$U$4</c15:sqref>
                        </c15:formulaRef>
                      </c:ext>
                    </c:extLst>
                    <c:strCache>
                      <c:ptCount val="2"/>
                      <c:pt idx="0">
                        <c:v>PFDoDA </c:v>
                      </c:pt>
                    </c:strCache>
                  </c:strRef>
                </c:tx>
                <c:spPr>
                  <a:ln w="28575" cap="rnd">
                    <a:solidFill>
                      <a:schemeClr val="accent3">
                        <a:lumMod val="70000"/>
                      </a:schemeClr>
                    </a:solidFill>
                    <a:round/>
                  </a:ln>
                  <a:effectLst/>
                </c:spPr>
                <c:marker>
                  <c:symbol val="circle"/>
                  <c:size val="5"/>
                  <c:spPr>
                    <a:solidFill>
                      <a:schemeClr val="accent3">
                        <a:lumMod val="70000"/>
                      </a:schemeClr>
                    </a:solidFill>
                    <a:ln w="9525">
                      <a:solidFill>
                        <a:schemeClr val="accent3">
                          <a:lumMod val="70000"/>
                        </a:schemeClr>
                      </a:solidFill>
                    </a:ln>
                    <a:effectLst/>
                  </c:spPr>
                </c:marker>
                <c:xVal>
                  <c:numRef>
                    <c:extLst xmlns:c15="http://schemas.microsoft.com/office/drawing/2012/chart">
                      <c:ext xmlns:c15="http://schemas.microsoft.com/office/drawing/2012/chart" uri="{02D57815-91ED-43cb-92C2-25804820EDAC}">
                        <c15:formulaRef>
                          <c15:sqref>'Grafik Heu-Milch'!$C$5:$C$141</c15:sqref>
                        </c15:formulaRef>
                      </c:ext>
                    </c:extLst>
                    <c:numCache>
                      <c:formatCode>General</c:formatCode>
                      <c:ptCount val="1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numCache>
                  </c:numRef>
                </c:xVal>
                <c:yVal>
                  <c:numRef>
                    <c:extLst xmlns:c15="http://schemas.microsoft.com/office/drawing/2012/chart">
                      <c:ext xmlns:c15="http://schemas.microsoft.com/office/drawing/2012/chart" uri="{02D57815-91ED-43cb-92C2-25804820EDAC}">
                        <c15:formulaRef>
                          <c15:sqref>'Grafik Heu-Milch'!$U$5:$U$141</c15:sqref>
                        </c15:formulaRef>
                      </c:ext>
                    </c:extLst>
                    <c:numCache>
                      <c:formatCode>General</c:formatCode>
                      <c:ptCount val="137"/>
                      <c:pt idx="1">
                        <c:v>0</c:v>
                      </c:pt>
                      <c:pt idx="5">
                        <c:v>1.97412126330273E-3</c:v>
                      </c:pt>
                      <c:pt idx="17">
                        <c:v>2.3854710311027448E-2</c:v>
                      </c:pt>
                      <c:pt idx="38">
                        <c:v>2.8409015678178148E-2</c:v>
                      </c:pt>
                      <c:pt idx="54">
                        <c:v>2.4411039298320149E-2</c:v>
                      </c:pt>
                      <c:pt idx="57">
                        <c:v>2.979014133004175E-2</c:v>
                      </c:pt>
                      <c:pt idx="61">
                        <c:v>2.1161698122101426E-2</c:v>
                      </c:pt>
                      <c:pt idx="73">
                        <c:v>1.6928699171639375E-2</c:v>
                      </c:pt>
                      <c:pt idx="101">
                        <c:v>5.0868400515241977E-3</c:v>
                      </c:pt>
                      <c:pt idx="136">
                        <c:v>0</c:v>
                      </c:pt>
                    </c:numCache>
                  </c:numRef>
                </c:yVal>
                <c:smooth val="0"/>
                <c:extLst xmlns:c15="http://schemas.microsoft.com/office/drawing/2012/chart">
                  <c:ext xmlns:c16="http://schemas.microsoft.com/office/drawing/2014/chart" uri="{C3380CC4-5D6E-409C-BE32-E72D297353CC}">
                    <c16:uniqueId val="{0000002D-0635-4FE2-BA0A-D215CB6B9264}"/>
                  </c:ext>
                </c:extLst>
              </c15:ser>
            </c15:filteredScatterSeries>
            <c15:filteredScatterSeries>
              <c15:ser>
                <c:idx val="60"/>
                <c:order val="19"/>
                <c:tx>
                  <c:strRef>
                    <c:extLst xmlns:c15="http://schemas.microsoft.com/office/drawing/2012/chart">
                      <c:ext xmlns:c15="http://schemas.microsoft.com/office/drawing/2012/chart" uri="{02D57815-91ED-43cb-92C2-25804820EDAC}">
                        <c15:formulaRef>
                          <c15:sqref>'Grafik Heu-Milch'!$W$3:$W$4</c15:sqref>
                        </c15:formulaRef>
                      </c:ext>
                    </c:extLst>
                    <c:strCache>
                      <c:ptCount val="2"/>
                      <c:pt idx="0">
                        <c:v>PFTrDA </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xVal>
                  <c:numRef>
                    <c:extLst xmlns:c15="http://schemas.microsoft.com/office/drawing/2012/chart">
                      <c:ext xmlns:c15="http://schemas.microsoft.com/office/drawing/2012/chart" uri="{02D57815-91ED-43cb-92C2-25804820EDAC}">
                        <c15:formulaRef>
                          <c15:sqref>'Grafik Heu-Milch'!$C$5:$C$141</c15:sqref>
                        </c15:formulaRef>
                      </c:ext>
                    </c:extLst>
                    <c:numCache>
                      <c:formatCode>General</c:formatCode>
                      <c:ptCount val="1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numCache>
                  </c:numRef>
                </c:xVal>
                <c:yVal>
                  <c:numRef>
                    <c:extLst xmlns:c15="http://schemas.microsoft.com/office/drawing/2012/chart">
                      <c:ext xmlns:c15="http://schemas.microsoft.com/office/drawing/2012/chart" uri="{02D57815-91ED-43cb-92C2-25804820EDAC}">
                        <c15:formulaRef>
                          <c15:sqref>'Grafik Heu-Milch'!$W$5:$W$141</c15:sqref>
                        </c15:formulaRef>
                      </c:ext>
                    </c:extLst>
                    <c:numCache>
                      <c:formatCode>General</c:formatCode>
                      <c:ptCount val="137"/>
                      <c:pt idx="1">
                        <c:v>0</c:v>
                      </c:pt>
                      <c:pt idx="5">
                        <c:v>0</c:v>
                      </c:pt>
                      <c:pt idx="17">
                        <c:v>8.3714475931800682E-3</c:v>
                      </c:pt>
                      <c:pt idx="38">
                        <c:v>1.0017572817538165E-2</c:v>
                      </c:pt>
                      <c:pt idx="54">
                        <c:v>6.7601928425284645E-3</c:v>
                      </c:pt>
                      <c:pt idx="57">
                        <c:v>9.9662282371779948E-3</c:v>
                      </c:pt>
                      <c:pt idx="61">
                        <c:v>5.7717847948439401E-3</c:v>
                      </c:pt>
                      <c:pt idx="73">
                        <c:v>4.064834119247851E-3</c:v>
                      </c:pt>
                      <c:pt idx="101">
                        <c:v>0</c:v>
                      </c:pt>
                      <c:pt idx="136">
                        <c:v>0</c:v>
                      </c:pt>
                    </c:numCache>
                  </c:numRef>
                </c:yVal>
                <c:smooth val="0"/>
                <c:extLst xmlns:c15="http://schemas.microsoft.com/office/drawing/2012/chart">
                  <c:ext xmlns:c16="http://schemas.microsoft.com/office/drawing/2014/chart" uri="{C3380CC4-5D6E-409C-BE32-E72D297353CC}">
                    <c16:uniqueId val="{0000003D-0635-4FE2-BA0A-D215CB6B9264}"/>
                  </c:ext>
                </c:extLst>
              </c15:ser>
            </c15:filteredScatterSeries>
            <c15:filteredScatterSeries>
              <c15:ser>
                <c:idx val="62"/>
                <c:order val="21"/>
                <c:tx>
                  <c:strRef>
                    <c:extLst xmlns:c15="http://schemas.microsoft.com/office/drawing/2012/chart">
                      <c:ext xmlns:c15="http://schemas.microsoft.com/office/drawing/2012/chart" uri="{02D57815-91ED-43cb-92C2-25804820EDAC}">
                        <c15:formulaRef>
                          <c15:sqref>'Grafik Heu-Milch'!$Y$3:$Y$4</c15:sqref>
                        </c15:formulaRef>
                      </c:ext>
                    </c:extLst>
                    <c:strCache>
                      <c:ptCount val="2"/>
                      <c:pt idx="0">
                        <c:v>PFTeDA </c:v>
                      </c:pt>
                    </c:strCache>
                  </c:strRef>
                </c:tx>
                <c:spPr>
                  <a:ln w="28575"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xVal>
                  <c:numRef>
                    <c:extLst xmlns:c15="http://schemas.microsoft.com/office/drawing/2012/chart">
                      <c:ext xmlns:c15="http://schemas.microsoft.com/office/drawing/2012/chart" uri="{02D57815-91ED-43cb-92C2-25804820EDAC}">
                        <c15:formulaRef>
                          <c15:sqref>'Grafik Heu-Milch'!$C$5:$C$141</c15:sqref>
                        </c15:formulaRef>
                      </c:ext>
                    </c:extLst>
                    <c:numCache>
                      <c:formatCode>General</c:formatCode>
                      <c:ptCount val="1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numCache>
                  </c:numRef>
                </c:xVal>
                <c:yVal>
                  <c:numRef>
                    <c:extLst xmlns:c15="http://schemas.microsoft.com/office/drawing/2012/chart">
                      <c:ext xmlns:c15="http://schemas.microsoft.com/office/drawing/2012/chart" uri="{02D57815-91ED-43cb-92C2-25804820EDAC}">
                        <c15:formulaRef>
                          <c15:sqref>'Grafik Heu-Milch'!$Y$5:$Y$141</c15:sqref>
                        </c15:formulaRef>
                      </c:ext>
                    </c:extLst>
                    <c:numCache>
                      <c:formatCode>General</c:formatCode>
                      <c:ptCount val="137"/>
                      <c:pt idx="1">
                        <c:v>0</c:v>
                      </c:pt>
                      <c:pt idx="5">
                        <c:v>0</c:v>
                      </c:pt>
                      <c:pt idx="17">
                        <c:v>1.9510441128170802E-3</c:v>
                      </c:pt>
                      <c:pt idx="38">
                        <c:v>1.751743256959135E-3</c:v>
                      </c:pt>
                      <c:pt idx="54">
                        <c:v>3.1638680952942376E-3</c:v>
                      </c:pt>
                      <c:pt idx="57">
                        <c:v>2.5899188419415452E-3</c:v>
                      </c:pt>
                      <c:pt idx="61">
                        <c:v>8.236536660502225E-4</c:v>
                      </c:pt>
                      <c:pt idx="73">
                        <c:v>0</c:v>
                      </c:pt>
                      <c:pt idx="101">
                        <c:v>0</c:v>
                      </c:pt>
                      <c:pt idx="136">
                        <c:v>0</c:v>
                      </c:pt>
                    </c:numCache>
                  </c:numRef>
                </c:yVal>
                <c:smooth val="0"/>
                <c:extLst xmlns:c15="http://schemas.microsoft.com/office/drawing/2012/chart">
                  <c:ext xmlns:c16="http://schemas.microsoft.com/office/drawing/2014/chart" uri="{C3380CC4-5D6E-409C-BE32-E72D297353CC}">
                    <c16:uniqueId val="{0000003F-0635-4FE2-BA0A-D215CB6B9264}"/>
                  </c:ext>
                </c:extLst>
              </c15:ser>
            </c15:filteredScatterSeries>
            <c15:filteredScatterSeries>
              <c15:ser>
                <c:idx val="64"/>
                <c:order val="23"/>
                <c:tx>
                  <c:strRef>
                    <c:extLst xmlns:c15="http://schemas.microsoft.com/office/drawing/2012/chart">
                      <c:ext xmlns:c15="http://schemas.microsoft.com/office/drawing/2012/chart" uri="{02D57815-91ED-43cb-92C2-25804820EDAC}">
                        <c15:formulaRef>
                          <c15:sqref>'Grafik Heu-Milch'!$AA$3:$AA$4</c15:sqref>
                        </c15:formulaRef>
                      </c:ext>
                    </c:extLst>
                    <c:strCache>
                      <c:ptCount val="2"/>
                      <c:pt idx="0">
                        <c:v>PFBS </c:v>
                      </c:pt>
                    </c:strCache>
                  </c:strRef>
                </c:tx>
                <c:spPr>
                  <a:ln w="28575"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xVal>
                  <c:numRef>
                    <c:extLst xmlns:c15="http://schemas.microsoft.com/office/drawing/2012/chart">
                      <c:ext xmlns:c15="http://schemas.microsoft.com/office/drawing/2012/chart" uri="{02D57815-91ED-43cb-92C2-25804820EDAC}">
                        <c15:formulaRef>
                          <c15:sqref>'Grafik Heu-Milch'!$C$5:$C$141</c15:sqref>
                        </c15:formulaRef>
                      </c:ext>
                    </c:extLst>
                    <c:numCache>
                      <c:formatCode>General</c:formatCode>
                      <c:ptCount val="1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numCache>
                  </c:numRef>
                </c:xVal>
                <c:yVal>
                  <c:numRef>
                    <c:extLst xmlns:c15="http://schemas.microsoft.com/office/drawing/2012/chart">
                      <c:ext xmlns:c15="http://schemas.microsoft.com/office/drawing/2012/chart" uri="{02D57815-91ED-43cb-92C2-25804820EDAC}">
                        <c15:formulaRef>
                          <c15:sqref>'Grafik Heu-Milch'!$AA$5:$AA$141</c15:sqref>
                        </c15:formulaRef>
                      </c:ext>
                    </c:extLst>
                    <c:numCache>
                      <c:formatCode>General</c:formatCode>
                      <c:ptCount val="137"/>
                      <c:pt idx="1">
                        <c:v>0</c:v>
                      </c:pt>
                      <c:pt idx="5">
                        <c:v>0</c:v>
                      </c:pt>
                      <c:pt idx="17">
                        <c:v>0</c:v>
                      </c:pt>
                      <c:pt idx="38">
                        <c:v>0</c:v>
                      </c:pt>
                      <c:pt idx="54">
                        <c:v>0</c:v>
                      </c:pt>
                      <c:pt idx="57">
                        <c:v>0</c:v>
                      </c:pt>
                      <c:pt idx="61">
                        <c:v>0</c:v>
                      </c:pt>
                      <c:pt idx="73">
                        <c:v>0</c:v>
                      </c:pt>
                      <c:pt idx="101">
                        <c:v>0</c:v>
                      </c:pt>
                      <c:pt idx="136">
                        <c:v>0</c:v>
                      </c:pt>
                    </c:numCache>
                  </c:numRef>
                </c:yVal>
                <c:smooth val="0"/>
                <c:extLst xmlns:c15="http://schemas.microsoft.com/office/drawing/2012/chart">
                  <c:ext xmlns:c16="http://schemas.microsoft.com/office/drawing/2014/chart" uri="{C3380CC4-5D6E-409C-BE32-E72D297353CC}">
                    <c16:uniqueId val="{00000041-0635-4FE2-BA0A-D215CB6B9264}"/>
                  </c:ext>
                </c:extLst>
              </c15:ser>
            </c15:filteredScatterSeries>
            <c15:filteredScatterSeries>
              <c15:ser>
                <c:idx val="66"/>
                <c:order val="25"/>
                <c:tx>
                  <c:strRef>
                    <c:extLst xmlns:c15="http://schemas.microsoft.com/office/drawing/2012/chart">
                      <c:ext xmlns:c15="http://schemas.microsoft.com/office/drawing/2012/chart" uri="{02D57815-91ED-43cb-92C2-25804820EDAC}">
                        <c15:formulaRef>
                          <c15:sqref>'Grafik Heu-Milch'!$AC$3:$AC$4</c15:sqref>
                        </c15:formulaRef>
                      </c:ext>
                    </c:extLst>
                    <c:strCache>
                      <c:ptCount val="2"/>
                      <c:pt idx="0">
                        <c:v>PFPeS </c:v>
                      </c:pt>
                    </c:strCache>
                  </c:strRef>
                </c:tx>
                <c:spPr>
                  <a:ln w="28575" cap="rnd">
                    <a:solidFill>
                      <a:schemeClr val="accent1">
                        <a:lumMod val="80000"/>
                        <a:lumOff val="20000"/>
                      </a:schemeClr>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xVal>
                  <c:numRef>
                    <c:extLst xmlns:c15="http://schemas.microsoft.com/office/drawing/2012/chart">
                      <c:ext xmlns:c15="http://schemas.microsoft.com/office/drawing/2012/chart" uri="{02D57815-91ED-43cb-92C2-25804820EDAC}">
                        <c15:formulaRef>
                          <c15:sqref>'Grafik Heu-Milch'!$C$5:$C$141</c15:sqref>
                        </c15:formulaRef>
                      </c:ext>
                    </c:extLst>
                    <c:numCache>
                      <c:formatCode>General</c:formatCode>
                      <c:ptCount val="1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numCache>
                  </c:numRef>
                </c:xVal>
                <c:yVal>
                  <c:numRef>
                    <c:extLst xmlns:c15="http://schemas.microsoft.com/office/drawing/2012/chart">
                      <c:ext xmlns:c15="http://schemas.microsoft.com/office/drawing/2012/chart" uri="{02D57815-91ED-43cb-92C2-25804820EDAC}">
                        <c15:formulaRef>
                          <c15:sqref>'Grafik Heu-Milch'!$AC$5:$AC$141</c15:sqref>
                        </c15:formulaRef>
                      </c:ext>
                    </c:extLst>
                    <c:numCache>
                      <c:formatCode>General</c:formatCode>
                      <c:ptCount val="137"/>
                      <c:pt idx="1">
                        <c:v>0</c:v>
                      </c:pt>
                      <c:pt idx="5">
                        <c:v>0</c:v>
                      </c:pt>
                      <c:pt idx="17">
                        <c:v>0</c:v>
                      </c:pt>
                      <c:pt idx="38">
                        <c:v>0</c:v>
                      </c:pt>
                      <c:pt idx="54">
                        <c:v>0</c:v>
                      </c:pt>
                      <c:pt idx="57">
                        <c:v>0</c:v>
                      </c:pt>
                      <c:pt idx="61">
                        <c:v>0</c:v>
                      </c:pt>
                      <c:pt idx="73">
                        <c:v>0</c:v>
                      </c:pt>
                      <c:pt idx="101">
                        <c:v>0</c:v>
                      </c:pt>
                      <c:pt idx="136">
                        <c:v>0</c:v>
                      </c:pt>
                    </c:numCache>
                  </c:numRef>
                </c:yVal>
                <c:smooth val="0"/>
                <c:extLst xmlns:c15="http://schemas.microsoft.com/office/drawing/2012/chart">
                  <c:ext xmlns:c16="http://schemas.microsoft.com/office/drawing/2014/chart" uri="{C3380CC4-5D6E-409C-BE32-E72D297353CC}">
                    <c16:uniqueId val="{00000043-0635-4FE2-BA0A-D215CB6B9264}"/>
                  </c:ext>
                </c:extLst>
              </c15:ser>
            </c15:filteredScatterSeries>
            <c15:filteredScatterSeries>
              <c15:ser>
                <c:idx val="68"/>
                <c:order val="27"/>
                <c:tx>
                  <c:strRef>
                    <c:extLst xmlns:c15="http://schemas.microsoft.com/office/drawing/2012/chart">
                      <c:ext xmlns:c15="http://schemas.microsoft.com/office/drawing/2012/chart" uri="{02D57815-91ED-43cb-92C2-25804820EDAC}">
                        <c15:formulaRef>
                          <c15:sqref>'Grafik Heu-Milch'!$AE$3:$AE$4</c15:sqref>
                        </c15:formulaRef>
                      </c:ext>
                    </c:extLst>
                    <c:strCache>
                      <c:ptCount val="2"/>
                      <c:pt idx="0">
                        <c:v>PFHxS </c:v>
                      </c:pt>
                    </c:strCache>
                  </c:strRef>
                </c:tx>
                <c:spPr>
                  <a:ln w="28575" cap="rnd">
                    <a:solidFill>
                      <a:schemeClr val="accent3">
                        <a:lumMod val="80000"/>
                        <a:lumOff val="20000"/>
                      </a:schemeClr>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xVal>
                  <c:numRef>
                    <c:extLst xmlns:c15="http://schemas.microsoft.com/office/drawing/2012/chart">
                      <c:ext xmlns:c15="http://schemas.microsoft.com/office/drawing/2012/chart" uri="{02D57815-91ED-43cb-92C2-25804820EDAC}">
                        <c15:formulaRef>
                          <c15:sqref>'Grafik Heu-Milch'!$C$5:$C$141</c15:sqref>
                        </c15:formulaRef>
                      </c:ext>
                    </c:extLst>
                    <c:numCache>
                      <c:formatCode>General</c:formatCode>
                      <c:ptCount val="1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numCache>
                  </c:numRef>
                </c:xVal>
                <c:yVal>
                  <c:numRef>
                    <c:extLst xmlns:c15="http://schemas.microsoft.com/office/drawing/2012/chart">
                      <c:ext xmlns:c15="http://schemas.microsoft.com/office/drawing/2012/chart" uri="{02D57815-91ED-43cb-92C2-25804820EDAC}">
                        <c15:formulaRef>
                          <c15:sqref>'Grafik Heu-Milch'!$AE$5:$AE$141</c15:sqref>
                        </c15:formulaRef>
                      </c:ext>
                    </c:extLst>
                    <c:numCache>
                      <c:formatCode>General</c:formatCode>
                      <c:ptCount val="137"/>
                      <c:pt idx="1">
                        <c:v>0</c:v>
                      </c:pt>
                      <c:pt idx="5">
                        <c:v>0</c:v>
                      </c:pt>
                      <c:pt idx="17">
                        <c:v>1.1669057824726343E-2</c:v>
                      </c:pt>
                      <c:pt idx="38">
                        <c:v>1.9639776176058475E-2</c:v>
                      </c:pt>
                      <c:pt idx="54">
                        <c:v>1.2951559184429225E-2</c:v>
                      </c:pt>
                      <c:pt idx="57">
                        <c:v>1.2746547846229405E-2</c:v>
                      </c:pt>
                      <c:pt idx="61">
                        <c:v>6.5082837532847099E-3</c:v>
                      </c:pt>
                      <c:pt idx="73">
                        <c:v>0</c:v>
                      </c:pt>
                      <c:pt idx="101">
                        <c:v>0</c:v>
                      </c:pt>
                      <c:pt idx="136">
                        <c:v>0</c:v>
                      </c:pt>
                    </c:numCache>
                  </c:numRef>
                </c:yVal>
                <c:smooth val="0"/>
                <c:extLst xmlns:c15="http://schemas.microsoft.com/office/drawing/2012/chart">
                  <c:ext xmlns:c16="http://schemas.microsoft.com/office/drawing/2014/chart" uri="{C3380CC4-5D6E-409C-BE32-E72D297353CC}">
                    <c16:uniqueId val="{00000045-0635-4FE2-BA0A-D215CB6B9264}"/>
                  </c:ext>
                </c:extLst>
              </c15:ser>
            </c15:filteredScatterSeries>
            <c15:filteredScatterSeries>
              <c15:ser>
                <c:idx val="70"/>
                <c:order val="29"/>
                <c:tx>
                  <c:strRef>
                    <c:extLst xmlns:c15="http://schemas.microsoft.com/office/drawing/2012/chart">
                      <c:ext xmlns:c15="http://schemas.microsoft.com/office/drawing/2012/chart" uri="{02D57815-91ED-43cb-92C2-25804820EDAC}">
                        <c15:formulaRef>
                          <c15:sqref>'Grafik Heu-Milch'!$AG$3:$AG$4</c15:sqref>
                        </c15:formulaRef>
                      </c:ext>
                    </c:extLst>
                    <c:strCache>
                      <c:ptCount val="2"/>
                      <c:pt idx="0">
                        <c:v>PFHpS </c:v>
                      </c:pt>
                    </c:strCache>
                  </c:strRef>
                </c:tx>
                <c:spPr>
                  <a:ln w="28575" cap="rnd">
                    <a:solidFill>
                      <a:schemeClr val="accent5">
                        <a:lumMod val="80000"/>
                        <a:lumOff val="20000"/>
                      </a:schemeClr>
                    </a:solid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xVal>
                  <c:numRef>
                    <c:extLst xmlns:c15="http://schemas.microsoft.com/office/drawing/2012/chart">
                      <c:ext xmlns:c15="http://schemas.microsoft.com/office/drawing/2012/chart" uri="{02D57815-91ED-43cb-92C2-25804820EDAC}">
                        <c15:formulaRef>
                          <c15:sqref>'Grafik Heu-Milch'!$C$5:$C$141</c15:sqref>
                        </c15:formulaRef>
                      </c:ext>
                    </c:extLst>
                    <c:numCache>
                      <c:formatCode>General</c:formatCode>
                      <c:ptCount val="1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numCache>
                  </c:numRef>
                </c:xVal>
                <c:yVal>
                  <c:numRef>
                    <c:extLst xmlns:c15="http://schemas.microsoft.com/office/drawing/2012/chart">
                      <c:ext xmlns:c15="http://schemas.microsoft.com/office/drawing/2012/chart" uri="{02D57815-91ED-43cb-92C2-25804820EDAC}">
                        <c15:formulaRef>
                          <c15:sqref>'Grafik Heu-Milch'!$AG$5:$AG$141</c15:sqref>
                        </c15:formulaRef>
                      </c:ext>
                    </c:extLst>
                    <c:numCache>
                      <c:formatCode>General</c:formatCode>
                      <c:ptCount val="137"/>
                      <c:pt idx="1">
                        <c:v>0</c:v>
                      </c:pt>
                      <c:pt idx="5">
                        <c:v>0</c:v>
                      </c:pt>
                      <c:pt idx="17">
                        <c:v>8.0804028258339468E-3</c:v>
                      </c:pt>
                      <c:pt idx="38">
                        <c:v>1.5628639064206949E-2</c:v>
                      </c:pt>
                      <c:pt idx="54">
                        <c:v>1.533833398812855E-2</c:v>
                      </c:pt>
                      <c:pt idx="57">
                        <c:v>1.5669051325312426E-2</c:v>
                      </c:pt>
                      <c:pt idx="61">
                        <c:v>1.071599614779597E-2</c:v>
                      </c:pt>
                      <c:pt idx="73">
                        <c:v>1.0571896179888364E-2</c:v>
                      </c:pt>
                      <c:pt idx="101">
                        <c:v>3.2426175690903826E-3</c:v>
                      </c:pt>
                      <c:pt idx="136">
                        <c:v>0</c:v>
                      </c:pt>
                    </c:numCache>
                  </c:numRef>
                </c:yVal>
                <c:smooth val="0"/>
                <c:extLst xmlns:c15="http://schemas.microsoft.com/office/drawing/2012/chart">
                  <c:ext xmlns:c16="http://schemas.microsoft.com/office/drawing/2014/chart" uri="{C3380CC4-5D6E-409C-BE32-E72D297353CC}">
                    <c16:uniqueId val="{00000047-0635-4FE2-BA0A-D215CB6B9264}"/>
                  </c:ext>
                </c:extLst>
              </c15:ser>
            </c15:filteredScatterSeries>
            <c15:filteredScatterSeries>
              <c15:ser>
                <c:idx val="10"/>
                <c:order val="37"/>
                <c:tx>
                  <c:strRef>
                    <c:extLst xmlns:c15="http://schemas.microsoft.com/office/drawing/2012/chart">
                      <c:ext xmlns:c15="http://schemas.microsoft.com/office/drawing/2012/chart" uri="{02D57815-91ED-43cb-92C2-25804820EDAC}">
                        <c15:formulaRef>
                          <c15:sqref>'Grafik Heu-Milch'!$AO$3:$AO$4</c15:sqref>
                        </c15:formulaRef>
                      </c:ext>
                    </c:extLst>
                    <c:strCache>
                      <c:ptCount val="2"/>
                      <c:pt idx="0">
                        <c:v>PFUnDS </c:v>
                      </c:pt>
                    </c:strCache>
                  </c:strRef>
                </c:tx>
                <c:spPr>
                  <a:ln w="28575"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xVal>
                  <c:numRef>
                    <c:extLst xmlns:c15="http://schemas.microsoft.com/office/drawing/2012/chart">
                      <c:ext xmlns:c15="http://schemas.microsoft.com/office/drawing/2012/chart" uri="{02D57815-91ED-43cb-92C2-25804820EDAC}">
                        <c15:formulaRef>
                          <c15:sqref>'Grafik Heu-Milch'!$C$5:$C$141</c15:sqref>
                        </c15:formulaRef>
                      </c:ext>
                    </c:extLst>
                    <c:numCache>
                      <c:formatCode>General</c:formatCode>
                      <c:ptCount val="1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numCache>
                  </c:numRef>
                </c:xVal>
                <c:yVal>
                  <c:numRef>
                    <c:extLst xmlns:c15="http://schemas.microsoft.com/office/drawing/2012/chart">
                      <c:ext xmlns:c15="http://schemas.microsoft.com/office/drawing/2012/chart" uri="{02D57815-91ED-43cb-92C2-25804820EDAC}">
                        <c15:formulaRef>
                          <c15:sqref>'Grafik Heu-Milch'!$AO$5:$AO$141</c15:sqref>
                        </c15:formulaRef>
                      </c:ext>
                    </c:extLst>
                    <c:numCache>
                      <c:formatCode>General</c:formatCode>
                      <c:ptCount val="137"/>
                      <c:pt idx="1">
                        <c:v>0</c:v>
                      </c:pt>
                      <c:pt idx="5">
                        <c:v>3.172583200893675E-2</c:v>
                      </c:pt>
                      <c:pt idx="17">
                        <c:v>0.25512834508986248</c:v>
                      </c:pt>
                      <c:pt idx="38">
                        <c:v>0.29728735555045505</c:v>
                      </c:pt>
                      <c:pt idx="54">
                        <c:v>0.26429538497007299</c:v>
                      </c:pt>
                      <c:pt idx="57">
                        <c:v>0.34071257998891524</c:v>
                      </c:pt>
                      <c:pt idx="61">
                        <c:v>0.18284579112865801</c:v>
                      </c:pt>
                      <c:pt idx="73">
                        <c:v>0.10104042566593087</c:v>
                      </c:pt>
                      <c:pt idx="101">
                        <c:v>1.5974933137708775E-2</c:v>
                      </c:pt>
                      <c:pt idx="136">
                        <c:v>0</c:v>
                      </c:pt>
                    </c:numCache>
                  </c:numRef>
                </c:yVal>
                <c:smooth val="0"/>
                <c:extLst xmlns:c15="http://schemas.microsoft.com/office/drawing/2012/chart">
                  <c:ext xmlns:c16="http://schemas.microsoft.com/office/drawing/2014/chart" uri="{C3380CC4-5D6E-409C-BE32-E72D297353CC}">
                    <c16:uniqueId val="{0000009D-8C1B-4C12-AABC-1B2D99824493}"/>
                  </c:ext>
                </c:extLst>
              </c15:ser>
            </c15:filteredScatterSeries>
            <c15:filteredScatterSeries>
              <c15:ser>
                <c:idx val="12"/>
                <c:order val="39"/>
                <c:tx>
                  <c:strRef>
                    <c:extLst xmlns:c15="http://schemas.microsoft.com/office/drawing/2012/chart">
                      <c:ext xmlns:c15="http://schemas.microsoft.com/office/drawing/2012/chart" uri="{02D57815-91ED-43cb-92C2-25804820EDAC}">
                        <c15:formulaRef>
                          <c15:sqref>'Grafik Heu-Milch'!$AQ$3:$AQ$4</c15:sqref>
                        </c15:formulaRef>
                      </c:ext>
                    </c:extLst>
                    <c:strCache>
                      <c:ptCount val="2"/>
                      <c:pt idx="0">
                        <c:v>PFDoDS </c:v>
                      </c:pt>
                    </c:strCache>
                  </c:strRef>
                </c:tx>
                <c:spPr>
                  <a:ln w="28575" cap="rnd">
                    <a:solidFill>
                      <a:schemeClr val="accent1">
                        <a:lumMod val="80000"/>
                        <a:lumOff val="20000"/>
                      </a:schemeClr>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xVal>
                  <c:numRef>
                    <c:extLst xmlns:c15="http://schemas.microsoft.com/office/drawing/2012/chart">
                      <c:ext xmlns:c15="http://schemas.microsoft.com/office/drawing/2012/chart" uri="{02D57815-91ED-43cb-92C2-25804820EDAC}">
                        <c15:formulaRef>
                          <c15:sqref>'Grafik Heu-Milch'!$C$5:$C$141</c15:sqref>
                        </c15:formulaRef>
                      </c:ext>
                    </c:extLst>
                    <c:numCache>
                      <c:formatCode>General</c:formatCode>
                      <c:ptCount val="1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numCache>
                  </c:numRef>
                </c:xVal>
                <c:yVal>
                  <c:numRef>
                    <c:extLst xmlns:c15="http://schemas.microsoft.com/office/drawing/2012/chart">
                      <c:ext xmlns:c15="http://schemas.microsoft.com/office/drawing/2012/chart" uri="{02D57815-91ED-43cb-92C2-25804820EDAC}">
                        <c15:formulaRef>
                          <c15:sqref>'Grafik Heu-Milch'!$AQ$5:$AQ$141</c15:sqref>
                        </c15:formulaRef>
                      </c:ext>
                    </c:extLst>
                    <c:numCache>
                      <c:formatCode>General</c:formatCode>
                      <c:ptCount val="137"/>
                      <c:pt idx="1">
                        <c:v>0</c:v>
                      </c:pt>
                      <c:pt idx="5">
                        <c:v>1.1606909627734998E-2</c:v>
                      </c:pt>
                      <c:pt idx="17">
                        <c:v>0.12933294383887428</c:v>
                      </c:pt>
                      <c:pt idx="38">
                        <c:v>0.13548303765611597</c:v>
                      </c:pt>
                      <c:pt idx="54">
                        <c:v>0.123179478032613</c:v>
                      </c:pt>
                      <c:pt idx="57">
                        <c:v>0.16384706643913874</c:v>
                      </c:pt>
                      <c:pt idx="61">
                        <c:v>9.2933531679118456E-2</c:v>
                      </c:pt>
                      <c:pt idx="73">
                        <c:v>3.7776014463438895E-2</c:v>
                      </c:pt>
                      <c:pt idx="101">
                        <c:v>5.5243730922837023E-3</c:v>
                      </c:pt>
                      <c:pt idx="136">
                        <c:v>0</c:v>
                      </c:pt>
                    </c:numCache>
                  </c:numRef>
                </c:yVal>
                <c:smooth val="0"/>
                <c:extLst xmlns:c15="http://schemas.microsoft.com/office/drawing/2012/chart">
                  <c:ext xmlns:c16="http://schemas.microsoft.com/office/drawing/2014/chart" uri="{C3380CC4-5D6E-409C-BE32-E72D297353CC}">
                    <c16:uniqueId val="{0000009F-8C1B-4C12-AABC-1B2D99824493}"/>
                  </c:ext>
                </c:extLst>
              </c15:ser>
            </c15:filteredScatterSeries>
            <c15:filteredScatterSeries>
              <c15:ser>
                <c:idx val="14"/>
                <c:order val="41"/>
                <c:tx>
                  <c:strRef>
                    <c:extLst xmlns:c15="http://schemas.microsoft.com/office/drawing/2012/chart">
                      <c:ext xmlns:c15="http://schemas.microsoft.com/office/drawing/2012/chart" uri="{02D57815-91ED-43cb-92C2-25804820EDAC}">
                        <c15:formulaRef>
                          <c15:sqref>'Grafik Heu-Milch'!$AS$3:$AS$4</c15:sqref>
                        </c15:formulaRef>
                      </c:ext>
                    </c:extLst>
                    <c:strCache>
                      <c:ptCount val="2"/>
                      <c:pt idx="0">
                        <c:v>PFTrDS </c:v>
                      </c:pt>
                    </c:strCache>
                  </c:strRef>
                </c:tx>
                <c:spPr>
                  <a:ln w="28575" cap="rnd">
                    <a:solidFill>
                      <a:schemeClr val="accent3">
                        <a:lumMod val="80000"/>
                        <a:lumOff val="20000"/>
                      </a:schemeClr>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xVal>
                  <c:numRef>
                    <c:extLst xmlns:c15="http://schemas.microsoft.com/office/drawing/2012/chart">
                      <c:ext xmlns:c15="http://schemas.microsoft.com/office/drawing/2012/chart" uri="{02D57815-91ED-43cb-92C2-25804820EDAC}">
                        <c15:formulaRef>
                          <c15:sqref>'Grafik Heu-Milch'!$C$5:$C$141</c15:sqref>
                        </c15:formulaRef>
                      </c:ext>
                    </c:extLst>
                    <c:numCache>
                      <c:formatCode>General</c:formatCode>
                      <c:ptCount val="1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numCache>
                  </c:numRef>
                </c:xVal>
                <c:yVal>
                  <c:numRef>
                    <c:extLst xmlns:c15="http://schemas.microsoft.com/office/drawing/2012/chart">
                      <c:ext xmlns:c15="http://schemas.microsoft.com/office/drawing/2012/chart" uri="{02D57815-91ED-43cb-92C2-25804820EDAC}">
                        <c15:formulaRef>
                          <c15:sqref>'Grafik Heu-Milch'!$AS$5:$AS$141</c15:sqref>
                        </c15:formulaRef>
                      </c:ext>
                    </c:extLst>
                    <c:numCache>
                      <c:formatCode>General</c:formatCode>
                      <c:ptCount val="137"/>
                      <c:pt idx="1">
                        <c:v>0</c:v>
                      </c:pt>
                      <c:pt idx="5">
                        <c:v>0</c:v>
                      </c:pt>
                      <c:pt idx="17">
                        <c:v>1.5083610966765599E-2</c:v>
                      </c:pt>
                      <c:pt idx="38">
                        <c:v>2.2057276647693649E-2</c:v>
                      </c:pt>
                      <c:pt idx="54">
                        <c:v>1.6188053596271425E-2</c:v>
                      </c:pt>
                      <c:pt idx="57">
                        <c:v>2.6691177867022724E-2</c:v>
                      </c:pt>
                      <c:pt idx="61">
                        <c:v>1.589937472433375E-2</c:v>
                      </c:pt>
                      <c:pt idx="73">
                        <c:v>6.7874211799915842E-3</c:v>
                      </c:pt>
                      <c:pt idx="101">
                        <c:v>5.0783188236733006E-4</c:v>
                      </c:pt>
                      <c:pt idx="136">
                        <c:v>0</c:v>
                      </c:pt>
                    </c:numCache>
                  </c:numRef>
                </c:yVal>
                <c:smooth val="0"/>
                <c:extLst xmlns:c15="http://schemas.microsoft.com/office/drawing/2012/chart">
                  <c:ext xmlns:c16="http://schemas.microsoft.com/office/drawing/2014/chart" uri="{C3380CC4-5D6E-409C-BE32-E72D297353CC}">
                    <c16:uniqueId val="{000000A1-8C1B-4C12-AABC-1B2D99824493}"/>
                  </c:ext>
                </c:extLst>
              </c15:ser>
            </c15:filteredScatterSeries>
            <c15:filteredScatterSeries>
              <c15:ser>
                <c:idx val="16"/>
                <c:order val="43"/>
                <c:tx>
                  <c:strRef>
                    <c:extLst xmlns:c15="http://schemas.microsoft.com/office/drawing/2012/chart">
                      <c:ext xmlns:c15="http://schemas.microsoft.com/office/drawing/2012/chart" uri="{02D57815-91ED-43cb-92C2-25804820EDAC}">
                        <c15:formulaRef>
                          <c15:sqref>'Grafik Heu-Milch'!$AU$3:$AU$4</c15:sqref>
                        </c15:formulaRef>
                      </c:ext>
                    </c:extLst>
                    <c:strCache>
                      <c:ptCount val="2"/>
                      <c:pt idx="0">
                        <c:v>PFHxA</c:v>
                      </c:pt>
                    </c:strCache>
                  </c:strRef>
                </c:tx>
                <c:spPr>
                  <a:ln w="28575" cap="rnd">
                    <a:solidFill>
                      <a:schemeClr val="accent5">
                        <a:lumMod val="80000"/>
                        <a:lumOff val="20000"/>
                      </a:schemeClr>
                    </a:solid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xVal>
                  <c:numRef>
                    <c:extLst xmlns:c15="http://schemas.microsoft.com/office/drawing/2012/chart">
                      <c:ext xmlns:c15="http://schemas.microsoft.com/office/drawing/2012/chart" uri="{02D57815-91ED-43cb-92C2-25804820EDAC}">
                        <c15:formulaRef>
                          <c15:sqref>'Grafik Heu-Milch'!$C$5:$C$141</c15:sqref>
                        </c15:formulaRef>
                      </c:ext>
                    </c:extLst>
                    <c:numCache>
                      <c:formatCode>General</c:formatCode>
                      <c:ptCount val="1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numCache>
                  </c:numRef>
                </c:xVal>
                <c:yVal>
                  <c:numRef>
                    <c:extLst xmlns:c15="http://schemas.microsoft.com/office/drawing/2012/chart">
                      <c:ext xmlns:c15="http://schemas.microsoft.com/office/drawing/2012/chart" uri="{02D57815-91ED-43cb-92C2-25804820EDAC}">
                        <c15:formulaRef>
                          <c15:sqref>'Grafik Heu-Milch'!$AU$5:$AU$141</c15:sqref>
                        </c15:formulaRef>
                      </c:ext>
                    </c:extLst>
                    <c:numCache>
                      <c:formatCode>General</c:formatCode>
                      <c:ptCount val="137"/>
                      <c:pt idx="1">
                        <c:v>0</c:v>
                      </c:pt>
                      <c:pt idx="5">
                        <c:v>0</c:v>
                      </c:pt>
                      <c:pt idx="17">
                        <c:v>0</c:v>
                      </c:pt>
                      <c:pt idx="38">
                        <c:v>0</c:v>
                      </c:pt>
                      <c:pt idx="54">
                        <c:v>0</c:v>
                      </c:pt>
                      <c:pt idx="57">
                        <c:v>0</c:v>
                      </c:pt>
                      <c:pt idx="61">
                        <c:v>0</c:v>
                      </c:pt>
                      <c:pt idx="73">
                        <c:v>0</c:v>
                      </c:pt>
                      <c:pt idx="101">
                        <c:v>0</c:v>
                      </c:pt>
                      <c:pt idx="136">
                        <c:v>0</c:v>
                      </c:pt>
                    </c:numCache>
                  </c:numRef>
                </c:yVal>
                <c:smooth val="0"/>
                <c:extLst xmlns:c15="http://schemas.microsoft.com/office/drawing/2012/chart">
                  <c:ext xmlns:c16="http://schemas.microsoft.com/office/drawing/2014/chart" uri="{C3380CC4-5D6E-409C-BE32-E72D297353CC}">
                    <c16:uniqueId val="{000000A3-8C1B-4C12-AABC-1B2D99824493}"/>
                  </c:ext>
                </c:extLst>
              </c15:ser>
            </c15:filteredScatterSeries>
            <c15:filteredScatterSeries>
              <c15:ser>
                <c:idx val="18"/>
                <c:order val="45"/>
                <c:tx>
                  <c:strRef>
                    <c:extLst xmlns:c15="http://schemas.microsoft.com/office/drawing/2012/chart">
                      <c:ext xmlns:c15="http://schemas.microsoft.com/office/drawing/2012/chart" uri="{02D57815-91ED-43cb-92C2-25804820EDAC}">
                        <c15:formulaRef>
                          <c15:sqref>'Grafik Heu-Milch'!$AW$3:$AW$4</c15:sqref>
                        </c15:formulaRef>
                      </c:ext>
                    </c:extLst>
                    <c:strCache>
                      <c:ptCount val="2"/>
                      <c:pt idx="0">
                        <c:v>PFHpA </c:v>
                      </c:pt>
                    </c:strCache>
                  </c:strRef>
                </c:tx>
                <c:spPr>
                  <a:ln w="28575" cap="rnd">
                    <a:solidFill>
                      <a:schemeClr val="accent1">
                        <a:lumMod val="80000"/>
                      </a:schemeClr>
                    </a:solidFill>
                    <a:round/>
                  </a:ln>
                  <a:effectLst/>
                </c:spPr>
                <c:marker>
                  <c:symbol val="circle"/>
                  <c:size val="5"/>
                  <c:spPr>
                    <a:solidFill>
                      <a:schemeClr val="accent1">
                        <a:lumMod val="80000"/>
                      </a:schemeClr>
                    </a:solidFill>
                    <a:ln w="9525">
                      <a:solidFill>
                        <a:schemeClr val="accent1">
                          <a:lumMod val="80000"/>
                        </a:schemeClr>
                      </a:solidFill>
                    </a:ln>
                    <a:effectLst/>
                  </c:spPr>
                </c:marker>
                <c:xVal>
                  <c:numRef>
                    <c:extLst xmlns:c15="http://schemas.microsoft.com/office/drawing/2012/chart">
                      <c:ext xmlns:c15="http://schemas.microsoft.com/office/drawing/2012/chart" uri="{02D57815-91ED-43cb-92C2-25804820EDAC}">
                        <c15:formulaRef>
                          <c15:sqref>'Grafik Heu-Milch'!$C$5:$C$141</c15:sqref>
                        </c15:formulaRef>
                      </c:ext>
                    </c:extLst>
                    <c:numCache>
                      <c:formatCode>General</c:formatCode>
                      <c:ptCount val="1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numCache>
                  </c:numRef>
                </c:xVal>
                <c:yVal>
                  <c:numRef>
                    <c:extLst xmlns:c15="http://schemas.microsoft.com/office/drawing/2012/chart">
                      <c:ext xmlns:c15="http://schemas.microsoft.com/office/drawing/2012/chart" uri="{02D57815-91ED-43cb-92C2-25804820EDAC}">
                        <c15:formulaRef>
                          <c15:sqref>'Grafik Heu-Milch'!$AW$5:$AW$141</c15:sqref>
                        </c15:formulaRef>
                      </c:ext>
                    </c:extLst>
                    <c:numCache>
                      <c:formatCode>General</c:formatCode>
                      <c:ptCount val="137"/>
                      <c:pt idx="1">
                        <c:v>0</c:v>
                      </c:pt>
                      <c:pt idx="5">
                        <c:v>0</c:v>
                      </c:pt>
                      <c:pt idx="17">
                        <c:v>0</c:v>
                      </c:pt>
                      <c:pt idx="38">
                        <c:v>0</c:v>
                      </c:pt>
                      <c:pt idx="54">
                        <c:v>0</c:v>
                      </c:pt>
                      <c:pt idx="57">
                        <c:v>0</c:v>
                      </c:pt>
                      <c:pt idx="61">
                        <c:v>0</c:v>
                      </c:pt>
                      <c:pt idx="73">
                        <c:v>0</c:v>
                      </c:pt>
                      <c:pt idx="101">
                        <c:v>0</c:v>
                      </c:pt>
                      <c:pt idx="136">
                        <c:v>0</c:v>
                      </c:pt>
                    </c:numCache>
                  </c:numRef>
                </c:yVal>
                <c:smooth val="0"/>
                <c:extLst xmlns:c15="http://schemas.microsoft.com/office/drawing/2012/chart">
                  <c:ext xmlns:c16="http://schemas.microsoft.com/office/drawing/2014/chart" uri="{C3380CC4-5D6E-409C-BE32-E72D297353CC}">
                    <c16:uniqueId val="{000000A5-8C1B-4C12-AABC-1B2D99824493}"/>
                  </c:ext>
                </c:extLst>
              </c15:ser>
            </c15:filteredScatterSeries>
            <c15:filteredScatterSeries>
              <c15:ser>
                <c:idx val="20"/>
                <c:order val="47"/>
                <c:tx>
                  <c:strRef>
                    <c:extLst xmlns:c15="http://schemas.microsoft.com/office/drawing/2012/chart">
                      <c:ext xmlns:c15="http://schemas.microsoft.com/office/drawing/2012/chart" uri="{02D57815-91ED-43cb-92C2-25804820EDAC}">
                        <c15:formulaRef>
                          <c15:sqref>'Grafik Heu-Milch'!$AY$3:$AY$4</c15:sqref>
                        </c15:formulaRef>
                      </c:ext>
                    </c:extLst>
                    <c:strCache>
                      <c:ptCount val="2"/>
                      <c:pt idx="0">
                        <c:v>PFOA </c:v>
                      </c:pt>
                    </c:strCache>
                  </c:strRef>
                </c:tx>
                <c:spPr>
                  <a:ln w="28575" cap="rnd">
                    <a:solidFill>
                      <a:schemeClr val="accent3">
                        <a:lumMod val="80000"/>
                      </a:schemeClr>
                    </a:solidFill>
                    <a:round/>
                  </a:ln>
                  <a:effectLst/>
                </c:spPr>
                <c:marker>
                  <c:symbol val="circle"/>
                  <c:size val="5"/>
                  <c:spPr>
                    <a:solidFill>
                      <a:schemeClr val="accent3">
                        <a:lumMod val="80000"/>
                      </a:schemeClr>
                    </a:solidFill>
                    <a:ln w="9525">
                      <a:solidFill>
                        <a:schemeClr val="accent3">
                          <a:lumMod val="80000"/>
                        </a:schemeClr>
                      </a:solidFill>
                    </a:ln>
                    <a:effectLst/>
                  </c:spPr>
                </c:marker>
                <c:xVal>
                  <c:numRef>
                    <c:extLst xmlns:c15="http://schemas.microsoft.com/office/drawing/2012/chart">
                      <c:ext xmlns:c15="http://schemas.microsoft.com/office/drawing/2012/chart" uri="{02D57815-91ED-43cb-92C2-25804820EDAC}">
                        <c15:formulaRef>
                          <c15:sqref>'Grafik Heu-Milch'!$C$5:$C$141</c15:sqref>
                        </c15:formulaRef>
                      </c:ext>
                    </c:extLst>
                    <c:numCache>
                      <c:formatCode>General</c:formatCode>
                      <c:ptCount val="1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numCache>
                  </c:numRef>
                </c:xVal>
                <c:yVal>
                  <c:numRef>
                    <c:extLst xmlns:c15="http://schemas.microsoft.com/office/drawing/2012/chart">
                      <c:ext xmlns:c15="http://schemas.microsoft.com/office/drawing/2012/chart" uri="{02D57815-91ED-43cb-92C2-25804820EDAC}">
                        <c15:formulaRef>
                          <c15:sqref>'Grafik Heu-Milch'!$AY$5:$AY$141</c15:sqref>
                        </c15:formulaRef>
                      </c:ext>
                    </c:extLst>
                    <c:numCache>
                      <c:formatCode>General</c:formatCode>
                      <c:ptCount val="137"/>
                      <c:pt idx="1">
                        <c:v>1.3230305350351995E-5</c:v>
                      </c:pt>
                      <c:pt idx="5">
                        <c:v>6.6656346684719038E-3</c:v>
                      </c:pt>
                      <c:pt idx="17">
                        <c:v>1.6566822189054919E-2</c:v>
                      </c:pt>
                      <c:pt idx="38">
                        <c:v>3.3886488638472266E-3</c:v>
                      </c:pt>
                      <c:pt idx="54">
                        <c:v>4.4242580664495736E-3</c:v>
                      </c:pt>
                      <c:pt idx="57">
                        <c:v>1.1115165815001008E-3</c:v>
                      </c:pt>
                      <c:pt idx="61">
                        <c:v>3.1928429689304621E-5</c:v>
                      </c:pt>
                      <c:pt idx="73">
                        <c:v>1.0079106685117994E-5</c:v>
                      </c:pt>
                      <c:pt idx="101">
                        <c:v>2.6630698897605497E-5</c:v>
                      </c:pt>
                      <c:pt idx="136">
                        <c:v>1.964802978307012E-5</c:v>
                      </c:pt>
                    </c:numCache>
                  </c:numRef>
                </c:yVal>
                <c:smooth val="0"/>
                <c:extLst xmlns:c15="http://schemas.microsoft.com/office/drawing/2012/chart">
                  <c:ext xmlns:c16="http://schemas.microsoft.com/office/drawing/2014/chart" uri="{C3380CC4-5D6E-409C-BE32-E72D297353CC}">
                    <c16:uniqueId val="{000000A7-8C1B-4C12-AABC-1B2D99824493}"/>
                  </c:ext>
                </c:extLst>
              </c15:ser>
            </c15:filteredScatterSeries>
            <c15:filteredScatterSeries>
              <c15:ser>
                <c:idx val="22"/>
                <c:order val="49"/>
                <c:tx>
                  <c:strRef>
                    <c:extLst xmlns:c15="http://schemas.microsoft.com/office/drawing/2012/chart">
                      <c:ext xmlns:c15="http://schemas.microsoft.com/office/drawing/2012/chart" uri="{02D57815-91ED-43cb-92C2-25804820EDAC}">
                        <c15:formulaRef>
                          <c15:sqref>'Grafik Heu-Milch'!$BA$3:$BA$4</c15:sqref>
                        </c15:formulaRef>
                      </c:ext>
                    </c:extLst>
                    <c:strCache>
                      <c:ptCount val="2"/>
                      <c:pt idx="0">
                        <c:v>PFNA </c:v>
                      </c:pt>
                    </c:strCache>
                  </c:strRef>
                </c:tx>
                <c:spPr>
                  <a:ln w="28575" cap="rnd">
                    <a:solidFill>
                      <a:schemeClr val="accent5">
                        <a:lumMod val="80000"/>
                      </a:schemeClr>
                    </a:solidFill>
                    <a:round/>
                  </a:ln>
                  <a:effectLst/>
                </c:spPr>
                <c:marker>
                  <c:symbol val="circle"/>
                  <c:size val="5"/>
                  <c:spPr>
                    <a:solidFill>
                      <a:schemeClr val="accent5">
                        <a:lumMod val="80000"/>
                      </a:schemeClr>
                    </a:solidFill>
                    <a:ln w="9525">
                      <a:solidFill>
                        <a:schemeClr val="accent5">
                          <a:lumMod val="80000"/>
                        </a:schemeClr>
                      </a:solidFill>
                    </a:ln>
                    <a:effectLst/>
                  </c:spPr>
                </c:marker>
                <c:xVal>
                  <c:numRef>
                    <c:extLst xmlns:c15="http://schemas.microsoft.com/office/drawing/2012/chart">
                      <c:ext xmlns:c15="http://schemas.microsoft.com/office/drawing/2012/chart" uri="{02D57815-91ED-43cb-92C2-25804820EDAC}">
                        <c15:formulaRef>
                          <c15:sqref>'Grafik Heu-Milch'!$C$5:$C$141</c15:sqref>
                        </c15:formulaRef>
                      </c:ext>
                    </c:extLst>
                    <c:numCache>
                      <c:formatCode>General</c:formatCode>
                      <c:ptCount val="1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numCache>
                  </c:numRef>
                </c:xVal>
                <c:yVal>
                  <c:numRef>
                    <c:extLst xmlns:c15="http://schemas.microsoft.com/office/drawing/2012/chart">
                      <c:ext xmlns:c15="http://schemas.microsoft.com/office/drawing/2012/chart" uri="{02D57815-91ED-43cb-92C2-25804820EDAC}">
                        <c15:formulaRef>
                          <c15:sqref>'Grafik Heu-Milch'!$BA$5:$BA$141</c15:sqref>
                        </c15:formulaRef>
                      </c:ext>
                    </c:extLst>
                    <c:numCache>
                      <c:formatCode>General</c:formatCode>
                      <c:ptCount val="137"/>
                      <c:pt idx="1">
                        <c:v>0</c:v>
                      </c:pt>
                      <c:pt idx="5">
                        <c:v>4.1172349751166751E-4</c:v>
                      </c:pt>
                      <c:pt idx="17">
                        <c:v>1.4264531186678039E-3</c:v>
                      </c:pt>
                      <c:pt idx="38">
                        <c:v>6.5905630316147123E-5</c:v>
                      </c:pt>
                      <c:pt idx="54">
                        <c:v>6.7760773280484135E-5</c:v>
                      </c:pt>
                      <c:pt idx="57">
                        <c:v>2.7385540593418113E-5</c:v>
                      </c:pt>
                      <c:pt idx="61">
                        <c:v>0</c:v>
                      </c:pt>
                      <c:pt idx="73">
                        <c:v>0</c:v>
                      </c:pt>
                      <c:pt idx="101">
                        <c:v>0</c:v>
                      </c:pt>
                      <c:pt idx="136">
                        <c:v>0</c:v>
                      </c:pt>
                    </c:numCache>
                  </c:numRef>
                </c:yVal>
                <c:smooth val="0"/>
                <c:extLst xmlns:c15="http://schemas.microsoft.com/office/drawing/2012/chart">
                  <c:ext xmlns:c16="http://schemas.microsoft.com/office/drawing/2014/chart" uri="{C3380CC4-5D6E-409C-BE32-E72D297353CC}">
                    <c16:uniqueId val="{000000A9-8C1B-4C12-AABC-1B2D99824493}"/>
                  </c:ext>
                </c:extLst>
              </c15:ser>
            </c15:filteredScatterSeries>
            <c15:filteredScatterSeries>
              <c15:ser>
                <c:idx val="24"/>
                <c:order val="51"/>
                <c:tx>
                  <c:strRef>
                    <c:extLst xmlns:c15="http://schemas.microsoft.com/office/drawing/2012/chart">
                      <c:ext xmlns:c15="http://schemas.microsoft.com/office/drawing/2012/chart" uri="{02D57815-91ED-43cb-92C2-25804820EDAC}">
                        <c15:formulaRef>
                          <c15:sqref>'Grafik Heu-Milch'!$BC$3:$BC$4</c15:sqref>
                        </c15:formulaRef>
                      </c:ext>
                    </c:extLst>
                    <c:strCache>
                      <c:ptCount val="2"/>
                      <c:pt idx="0">
                        <c:v>PFDA </c:v>
                      </c:pt>
                    </c:strCache>
                  </c:strRef>
                </c:tx>
                <c:spPr>
                  <a:ln w="28575" cap="rnd">
                    <a:solidFill>
                      <a:schemeClr val="accent1">
                        <a:lumMod val="60000"/>
                        <a:lumOff val="40000"/>
                      </a:schemeClr>
                    </a:solidFill>
                    <a:round/>
                  </a:ln>
                  <a:effectLst/>
                </c:spPr>
                <c:marker>
                  <c:symbol val="circle"/>
                  <c:size val="5"/>
                  <c:spPr>
                    <a:solidFill>
                      <a:schemeClr val="accent1">
                        <a:lumMod val="60000"/>
                        <a:lumOff val="40000"/>
                      </a:schemeClr>
                    </a:solidFill>
                    <a:ln w="9525">
                      <a:solidFill>
                        <a:schemeClr val="accent1">
                          <a:lumMod val="60000"/>
                          <a:lumOff val="40000"/>
                        </a:schemeClr>
                      </a:solidFill>
                    </a:ln>
                    <a:effectLst/>
                  </c:spPr>
                </c:marker>
                <c:xVal>
                  <c:numRef>
                    <c:extLst xmlns:c15="http://schemas.microsoft.com/office/drawing/2012/chart">
                      <c:ext xmlns:c15="http://schemas.microsoft.com/office/drawing/2012/chart" uri="{02D57815-91ED-43cb-92C2-25804820EDAC}">
                        <c15:formulaRef>
                          <c15:sqref>'Grafik Heu-Milch'!$C$5:$C$141</c15:sqref>
                        </c15:formulaRef>
                      </c:ext>
                    </c:extLst>
                    <c:numCache>
                      <c:formatCode>General</c:formatCode>
                      <c:ptCount val="1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numCache>
                  </c:numRef>
                </c:xVal>
                <c:yVal>
                  <c:numRef>
                    <c:extLst xmlns:c15="http://schemas.microsoft.com/office/drawing/2012/chart">
                      <c:ext xmlns:c15="http://schemas.microsoft.com/office/drawing/2012/chart" uri="{02D57815-91ED-43cb-92C2-25804820EDAC}">
                        <c15:formulaRef>
                          <c15:sqref>'Grafik Heu-Milch'!$BC$5:$BC$141</c15:sqref>
                        </c15:formulaRef>
                      </c:ext>
                    </c:extLst>
                    <c:numCache>
                      <c:formatCode>General</c:formatCode>
                      <c:ptCount val="137"/>
                      <c:pt idx="1">
                        <c:v>0</c:v>
                      </c:pt>
                      <c:pt idx="5">
                        <c:v>0</c:v>
                      </c:pt>
                      <c:pt idx="17">
                        <c:v>7.0955579918327496E-4</c:v>
                      </c:pt>
                      <c:pt idx="38">
                        <c:v>3.4930438908842999E-3</c:v>
                      </c:pt>
                      <c:pt idx="54">
                        <c:v>8.4950384452249386E-4</c:v>
                      </c:pt>
                      <c:pt idx="57">
                        <c:v>9.1641143603447622E-4</c:v>
                      </c:pt>
                      <c:pt idx="61">
                        <c:v>6.1888828582567883E-4</c:v>
                      </c:pt>
                      <c:pt idx="73">
                        <c:v>5.0517857492787756E-4</c:v>
                      </c:pt>
                      <c:pt idx="101">
                        <c:v>2.2022419137443299E-4</c:v>
                      </c:pt>
                      <c:pt idx="136">
                        <c:v>7.3654394017892759E-5</c:v>
                      </c:pt>
                    </c:numCache>
                  </c:numRef>
                </c:yVal>
                <c:smooth val="0"/>
                <c:extLst xmlns:c15="http://schemas.microsoft.com/office/drawing/2012/chart">
                  <c:ext xmlns:c16="http://schemas.microsoft.com/office/drawing/2014/chart" uri="{C3380CC4-5D6E-409C-BE32-E72D297353CC}">
                    <c16:uniqueId val="{000000AB-8C1B-4C12-AABC-1B2D99824493}"/>
                  </c:ext>
                </c:extLst>
              </c15:ser>
            </c15:filteredScatterSeries>
            <c15:filteredScatterSeries>
              <c15:ser>
                <c:idx val="27"/>
                <c:order val="53"/>
                <c:tx>
                  <c:strRef>
                    <c:extLst xmlns:c15="http://schemas.microsoft.com/office/drawing/2012/chart">
                      <c:ext xmlns:c15="http://schemas.microsoft.com/office/drawing/2012/chart" uri="{02D57815-91ED-43cb-92C2-25804820EDAC}">
                        <c15:formulaRef>
                          <c15:sqref>'Grafik Heu-Milch'!$BE$3:$BE$4</c15:sqref>
                        </c15:formulaRef>
                      </c:ext>
                    </c:extLst>
                    <c:strCache>
                      <c:ptCount val="2"/>
                      <c:pt idx="0">
                        <c:v>PFUnDA </c:v>
                      </c:pt>
                    </c:strCache>
                  </c:strRef>
                </c:tx>
                <c:spPr>
                  <a:ln w="28575" cap="rnd">
                    <a:solidFill>
                      <a:schemeClr val="accent4">
                        <a:lumMod val="60000"/>
                        <a:lumOff val="40000"/>
                      </a:schemeClr>
                    </a:solidFill>
                    <a:round/>
                  </a:ln>
                  <a:effectLst/>
                </c:spPr>
                <c:marker>
                  <c:symbol val="circle"/>
                  <c:size val="5"/>
                  <c:spPr>
                    <a:solidFill>
                      <a:schemeClr val="accent4">
                        <a:lumMod val="60000"/>
                        <a:lumOff val="40000"/>
                      </a:schemeClr>
                    </a:solidFill>
                    <a:ln w="9525">
                      <a:solidFill>
                        <a:schemeClr val="accent4">
                          <a:lumMod val="60000"/>
                          <a:lumOff val="40000"/>
                        </a:schemeClr>
                      </a:solidFill>
                    </a:ln>
                    <a:effectLst/>
                  </c:spPr>
                </c:marker>
                <c:xVal>
                  <c:numRef>
                    <c:extLst xmlns:c15="http://schemas.microsoft.com/office/drawing/2012/chart">
                      <c:ext xmlns:c15="http://schemas.microsoft.com/office/drawing/2012/chart" uri="{02D57815-91ED-43cb-92C2-25804820EDAC}">
                        <c15:formulaRef>
                          <c15:sqref>'Grafik Heu-Milch'!$C$5:$C$141</c15:sqref>
                        </c15:formulaRef>
                      </c:ext>
                    </c:extLst>
                    <c:numCache>
                      <c:formatCode>General</c:formatCode>
                      <c:ptCount val="1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numCache>
                  </c:numRef>
                </c:xVal>
                <c:yVal>
                  <c:numRef>
                    <c:extLst xmlns:c15="http://schemas.microsoft.com/office/drawing/2012/chart">
                      <c:ext xmlns:c15="http://schemas.microsoft.com/office/drawing/2012/chart" uri="{02D57815-91ED-43cb-92C2-25804820EDAC}">
                        <c15:formulaRef>
                          <c15:sqref>'Grafik Heu-Milch'!$BE$5:$BE$141</c15:sqref>
                        </c15:formulaRef>
                      </c:ext>
                    </c:extLst>
                    <c:numCache>
                      <c:formatCode>General</c:formatCode>
                      <c:ptCount val="137"/>
                      <c:pt idx="1">
                        <c:v>0</c:v>
                      </c:pt>
                      <c:pt idx="5">
                        <c:v>0</c:v>
                      </c:pt>
                      <c:pt idx="17">
                        <c:v>9.5527262010306237E-3</c:v>
                      </c:pt>
                      <c:pt idx="38">
                        <c:v>1.5172736562437047E-2</c:v>
                      </c:pt>
                      <c:pt idx="54">
                        <c:v>1.4890973369154729E-2</c:v>
                      </c:pt>
                      <c:pt idx="57">
                        <c:v>1.6622288173280701E-2</c:v>
                      </c:pt>
                      <c:pt idx="61">
                        <c:v>1.2666054158735484E-2</c:v>
                      </c:pt>
                      <c:pt idx="73">
                        <c:v>1.5560484120744669E-2</c:v>
                      </c:pt>
                      <c:pt idx="101">
                        <c:v>1.0172282507818688E-2</c:v>
                      </c:pt>
                      <c:pt idx="136">
                        <c:v>1.3171140879265964E-3</c:v>
                      </c:pt>
                    </c:numCache>
                  </c:numRef>
                </c:yVal>
                <c:smooth val="0"/>
                <c:extLst xmlns:c15="http://schemas.microsoft.com/office/drawing/2012/chart">
                  <c:ext xmlns:c16="http://schemas.microsoft.com/office/drawing/2014/chart" uri="{C3380CC4-5D6E-409C-BE32-E72D297353CC}">
                    <c16:uniqueId val="{000000AD-8C1B-4C12-AABC-1B2D99824493}"/>
                  </c:ext>
                </c:extLst>
              </c15:ser>
            </c15:filteredScatterSeries>
            <c15:filteredScatterSeries>
              <c15:ser>
                <c:idx val="29"/>
                <c:order val="55"/>
                <c:tx>
                  <c:strRef>
                    <c:extLst xmlns:c15="http://schemas.microsoft.com/office/drawing/2012/chart">
                      <c:ext xmlns:c15="http://schemas.microsoft.com/office/drawing/2012/chart" uri="{02D57815-91ED-43cb-92C2-25804820EDAC}">
                        <c15:formulaRef>
                          <c15:sqref>'Grafik Heu-Milch'!$BG$3:$BG$4</c15:sqref>
                        </c15:formulaRef>
                      </c:ext>
                    </c:extLst>
                    <c:strCache>
                      <c:ptCount val="2"/>
                      <c:pt idx="0">
                        <c:v>PFDoDA </c:v>
                      </c:pt>
                    </c:strCache>
                  </c:strRef>
                </c:tx>
                <c:spPr>
                  <a:ln w="28575" cap="rnd">
                    <a:solidFill>
                      <a:schemeClr val="accent6">
                        <a:lumMod val="60000"/>
                        <a:lumOff val="40000"/>
                      </a:schemeClr>
                    </a:solidFill>
                    <a:round/>
                  </a:ln>
                  <a:effectLst/>
                </c:spPr>
                <c:marker>
                  <c:symbol val="circle"/>
                  <c:size val="5"/>
                  <c:spPr>
                    <a:solidFill>
                      <a:schemeClr val="accent6">
                        <a:lumMod val="60000"/>
                        <a:lumOff val="40000"/>
                      </a:schemeClr>
                    </a:solidFill>
                    <a:ln w="9525">
                      <a:solidFill>
                        <a:schemeClr val="accent6">
                          <a:lumMod val="60000"/>
                          <a:lumOff val="40000"/>
                        </a:schemeClr>
                      </a:solidFill>
                    </a:ln>
                    <a:effectLst/>
                  </c:spPr>
                </c:marker>
                <c:xVal>
                  <c:numRef>
                    <c:extLst xmlns:c15="http://schemas.microsoft.com/office/drawing/2012/chart">
                      <c:ext xmlns:c15="http://schemas.microsoft.com/office/drawing/2012/chart" uri="{02D57815-91ED-43cb-92C2-25804820EDAC}">
                        <c15:formulaRef>
                          <c15:sqref>'Grafik Heu-Milch'!$C$5:$C$141</c15:sqref>
                        </c15:formulaRef>
                      </c:ext>
                    </c:extLst>
                    <c:numCache>
                      <c:formatCode>General</c:formatCode>
                      <c:ptCount val="1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numCache>
                  </c:numRef>
                </c:xVal>
                <c:yVal>
                  <c:numRef>
                    <c:extLst xmlns:c15="http://schemas.microsoft.com/office/drawing/2012/chart">
                      <c:ext xmlns:c15="http://schemas.microsoft.com/office/drawing/2012/chart" uri="{02D57815-91ED-43cb-92C2-25804820EDAC}">
                        <c15:formulaRef>
                          <c15:sqref>'Grafik Heu-Milch'!$BG$5:$BG$141</c15:sqref>
                        </c15:formulaRef>
                      </c:ext>
                    </c:extLst>
                    <c:numCache>
                      <c:formatCode>General</c:formatCode>
                      <c:ptCount val="137"/>
                      <c:pt idx="1">
                        <c:v>0</c:v>
                      </c:pt>
                      <c:pt idx="5">
                        <c:v>7.0205606805730182E-4</c:v>
                      </c:pt>
                      <c:pt idx="17">
                        <c:v>3.5557836605531926E-2</c:v>
                      </c:pt>
                      <c:pt idx="38">
                        <c:v>4.9795363117221818E-2</c:v>
                      </c:pt>
                      <c:pt idx="54">
                        <c:v>3.891122778689754E-2</c:v>
                      </c:pt>
                      <c:pt idx="57">
                        <c:v>4.6756776342572602E-2</c:v>
                      </c:pt>
                      <c:pt idx="61">
                        <c:v>3.4086192039754264E-2</c:v>
                      </c:pt>
                      <c:pt idx="73">
                        <c:v>2.6381674552878129E-2</c:v>
                      </c:pt>
                      <c:pt idx="101">
                        <c:v>1.1049445916705753E-2</c:v>
                      </c:pt>
                      <c:pt idx="136">
                        <c:v>9.7861468610703321E-4</c:v>
                      </c:pt>
                    </c:numCache>
                  </c:numRef>
                </c:yVal>
                <c:smooth val="0"/>
                <c:extLst xmlns:c15="http://schemas.microsoft.com/office/drawing/2012/chart">
                  <c:ext xmlns:c16="http://schemas.microsoft.com/office/drawing/2014/chart" uri="{C3380CC4-5D6E-409C-BE32-E72D297353CC}">
                    <c16:uniqueId val="{000000AF-8C1B-4C12-AABC-1B2D99824493}"/>
                  </c:ext>
                </c:extLst>
              </c15:ser>
            </c15:filteredScatterSeries>
            <c15:filteredScatterSeries>
              <c15:ser>
                <c:idx val="42"/>
                <c:order val="57"/>
                <c:tx>
                  <c:strRef>
                    <c:extLst xmlns:c15="http://schemas.microsoft.com/office/drawing/2012/chart">
                      <c:ext xmlns:c15="http://schemas.microsoft.com/office/drawing/2012/chart" uri="{02D57815-91ED-43cb-92C2-25804820EDAC}">
                        <c15:formulaRef>
                          <c15:sqref>'Grafik Heu-Milch'!$BI$3:$BI$4</c15:sqref>
                        </c15:formulaRef>
                      </c:ext>
                    </c:extLst>
                    <c:strCache>
                      <c:ptCount val="2"/>
                      <c:pt idx="0">
                        <c:v>PFTrDA </c:v>
                      </c:pt>
                    </c:strCache>
                  </c:strRef>
                </c:tx>
                <c:spPr>
                  <a:ln w="28575" cap="rnd">
                    <a:solidFill>
                      <a:schemeClr val="accent1">
                        <a:lumMod val="70000"/>
                      </a:schemeClr>
                    </a:solidFill>
                    <a:round/>
                  </a:ln>
                  <a:effectLst/>
                </c:spPr>
                <c:marker>
                  <c:symbol val="circle"/>
                  <c:size val="5"/>
                  <c:spPr>
                    <a:solidFill>
                      <a:schemeClr val="accent1">
                        <a:lumMod val="70000"/>
                      </a:schemeClr>
                    </a:solidFill>
                    <a:ln w="9525">
                      <a:solidFill>
                        <a:schemeClr val="accent1">
                          <a:lumMod val="70000"/>
                        </a:schemeClr>
                      </a:solidFill>
                    </a:ln>
                    <a:effectLst/>
                  </c:spPr>
                </c:marker>
                <c:xVal>
                  <c:numRef>
                    <c:extLst xmlns:c15="http://schemas.microsoft.com/office/drawing/2012/chart">
                      <c:ext xmlns:c15="http://schemas.microsoft.com/office/drawing/2012/chart" uri="{02D57815-91ED-43cb-92C2-25804820EDAC}">
                        <c15:formulaRef>
                          <c15:sqref>'Grafik Heu-Milch'!$C$5:$C$141</c15:sqref>
                        </c15:formulaRef>
                      </c:ext>
                    </c:extLst>
                    <c:numCache>
                      <c:formatCode>General</c:formatCode>
                      <c:ptCount val="1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numCache>
                  </c:numRef>
                </c:xVal>
                <c:yVal>
                  <c:numRef>
                    <c:extLst xmlns:c15="http://schemas.microsoft.com/office/drawing/2012/chart">
                      <c:ext xmlns:c15="http://schemas.microsoft.com/office/drawing/2012/chart" uri="{02D57815-91ED-43cb-92C2-25804820EDAC}">
                        <c15:formulaRef>
                          <c15:sqref>'Grafik Heu-Milch'!$BI$5:$BI$141</c15:sqref>
                        </c15:formulaRef>
                      </c:ext>
                    </c:extLst>
                    <c:numCache>
                      <c:formatCode>General</c:formatCode>
                      <c:ptCount val="137"/>
                      <c:pt idx="1">
                        <c:v>0</c:v>
                      </c:pt>
                      <c:pt idx="5">
                        <c:v>2.5133203793562845E-3</c:v>
                      </c:pt>
                      <c:pt idx="17">
                        <c:v>2.0303427222428429E-2</c:v>
                      </c:pt>
                      <c:pt idx="38">
                        <c:v>1.6244120266830316E-2</c:v>
                      </c:pt>
                      <c:pt idx="54">
                        <c:v>1.2913500800577613E-2</c:v>
                      </c:pt>
                      <c:pt idx="57">
                        <c:v>1.5065663346580231E-2</c:v>
                      </c:pt>
                      <c:pt idx="61">
                        <c:v>7.2384018726777879E-3</c:v>
                      </c:pt>
                      <c:pt idx="73">
                        <c:v>2.5396506640408185E-3</c:v>
                      </c:pt>
                      <c:pt idx="101">
                        <c:v>8.4295018724994515E-5</c:v>
                      </c:pt>
                      <c:pt idx="136">
                        <c:v>0</c:v>
                      </c:pt>
                    </c:numCache>
                  </c:numRef>
                </c:yVal>
                <c:smooth val="0"/>
                <c:extLst xmlns:c15="http://schemas.microsoft.com/office/drawing/2012/chart">
                  <c:ext xmlns:c16="http://schemas.microsoft.com/office/drawing/2014/chart" uri="{C3380CC4-5D6E-409C-BE32-E72D297353CC}">
                    <c16:uniqueId val="{000000B1-8C1B-4C12-AABC-1B2D99824493}"/>
                  </c:ext>
                </c:extLst>
              </c15:ser>
            </c15:filteredScatterSeries>
            <c15:filteredScatterSeries>
              <c15:ser>
                <c:idx val="45"/>
                <c:order val="59"/>
                <c:tx>
                  <c:strRef>
                    <c:extLst xmlns:c15="http://schemas.microsoft.com/office/drawing/2012/chart">
                      <c:ext xmlns:c15="http://schemas.microsoft.com/office/drawing/2012/chart" uri="{02D57815-91ED-43cb-92C2-25804820EDAC}">
                        <c15:formulaRef>
                          <c15:sqref>'Grafik Heu-Milch'!$BK$3:$BK$4</c15:sqref>
                        </c15:formulaRef>
                      </c:ext>
                    </c:extLst>
                    <c:strCache>
                      <c:ptCount val="2"/>
                      <c:pt idx="0">
                        <c:v>PFTeDA </c:v>
                      </c:pt>
                    </c:strCache>
                  </c:strRef>
                </c:tx>
                <c:spPr>
                  <a:ln w="28575" cap="rnd">
                    <a:solidFill>
                      <a:schemeClr val="accent4">
                        <a:lumMod val="70000"/>
                      </a:schemeClr>
                    </a:solidFill>
                    <a:round/>
                  </a:ln>
                  <a:effectLst/>
                </c:spPr>
                <c:marker>
                  <c:symbol val="circle"/>
                  <c:size val="5"/>
                  <c:spPr>
                    <a:solidFill>
                      <a:schemeClr val="accent4">
                        <a:lumMod val="70000"/>
                      </a:schemeClr>
                    </a:solidFill>
                    <a:ln w="9525">
                      <a:solidFill>
                        <a:schemeClr val="accent4">
                          <a:lumMod val="70000"/>
                        </a:schemeClr>
                      </a:solidFill>
                    </a:ln>
                    <a:effectLst/>
                  </c:spPr>
                </c:marker>
                <c:xVal>
                  <c:numRef>
                    <c:extLst xmlns:c15="http://schemas.microsoft.com/office/drawing/2012/chart">
                      <c:ext xmlns:c15="http://schemas.microsoft.com/office/drawing/2012/chart" uri="{02D57815-91ED-43cb-92C2-25804820EDAC}">
                        <c15:formulaRef>
                          <c15:sqref>'Grafik Heu-Milch'!$C$5:$C$141</c15:sqref>
                        </c15:formulaRef>
                      </c:ext>
                    </c:extLst>
                    <c:numCache>
                      <c:formatCode>General</c:formatCode>
                      <c:ptCount val="1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numCache>
                  </c:numRef>
                </c:xVal>
                <c:yVal>
                  <c:numRef>
                    <c:extLst xmlns:c15="http://schemas.microsoft.com/office/drawing/2012/chart">
                      <c:ext xmlns:c15="http://schemas.microsoft.com/office/drawing/2012/chart" uri="{02D57815-91ED-43cb-92C2-25804820EDAC}">
                        <c15:formulaRef>
                          <c15:sqref>'Grafik Heu-Milch'!$BK$5:$BK$141</c15:sqref>
                        </c15:formulaRef>
                      </c:ext>
                    </c:extLst>
                    <c:numCache>
                      <c:formatCode>General</c:formatCode>
                      <c:ptCount val="137"/>
                      <c:pt idx="1">
                        <c:v>0</c:v>
                      </c:pt>
                      <c:pt idx="5">
                        <c:v>2.7415149856105272E-3</c:v>
                      </c:pt>
                      <c:pt idx="17">
                        <c:v>1.4997562172844203E-2</c:v>
                      </c:pt>
                      <c:pt idx="38">
                        <c:v>4.8260881816243545E-3</c:v>
                      </c:pt>
                      <c:pt idx="54">
                        <c:v>4.8088299198440635E-3</c:v>
                      </c:pt>
                      <c:pt idx="57">
                        <c:v>5.9025164979644466E-3</c:v>
                      </c:pt>
                      <c:pt idx="61">
                        <c:v>6.2150509336594503E-4</c:v>
                      </c:pt>
                      <c:pt idx="73">
                        <c:v>6.8681134312208994E-5</c:v>
                      </c:pt>
                      <c:pt idx="101">
                        <c:v>0</c:v>
                      </c:pt>
                      <c:pt idx="136">
                        <c:v>0</c:v>
                      </c:pt>
                    </c:numCache>
                  </c:numRef>
                </c:yVal>
                <c:smooth val="0"/>
                <c:extLst xmlns:c15="http://schemas.microsoft.com/office/drawing/2012/chart">
                  <c:ext xmlns:c16="http://schemas.microsoft.com/office/drawing/2014/chart" uri="{C3380CC4-5D6E-409C-BE32-E72D297353CC}">
                    <c16:uniqueId val="{000000B3-8C1B-4C12-AABC-1B2D99824493}"/>
                  </c:ext>
                </c:extLst>
              </c15:ser>
            </c15:filteredScatterSeries>
            <c15:filteredScatterSeries>
              <c15:ser>
                <c:idx val="47"/>
                <c:order val="61"/>
                <c:tx>
                  <c:strRef>
                    <c:extLst xmlns:c15="http://schemas.microsoft.com/office/drawing/2012/chart">
                      <c:ext xmlns:c15="http://schemas.microsoft.com/office/drawing/2012/chart" uri="{02D57815-91ED-43cb-92C2-25804820EDAC}">
                        <c15:formulaRef>
                          <c15:sqref>'Grafik Heu-Milch'!$BM$3:$BM$4</c15:sqref>
                        </c15:formulaRef>
                      </c:ext>
                    </c:extLst>
                    <c:strCache>
                      <c:ptCount val="2"/>
                      <c:pt idx="0">
                        <c:v>PFHxS</c:v>
                      </c:pt>
                    </c:strCache>
                  </c:strRef>
                </c:tx>
                <c:spPr>
                  <a:ln w="28575" cap="rnd">
                    <a:solidFill>
                      <a:schemeClr val="accent6">
                        <a:lumMod val="70000"/>
                      </a:schemeClr>
                    </a:solidFill>
                    <a:round/>
                  </a:ln>
                  <a:effectLst/>
                </c:spPr>
                <c:marker>
                  <c:symbol val="circle"/>
                  <c:size val="5"/>
                  <c:spPr>
                    <a:solidFill>
                      <a:schemeClr val="accent6">
                        <a:lumMod val="70000"/>
                      </a:schemeClr>
                    </a:solidFill>
                    <a:ln w="9525">
                      <a:solidFill>
                        <a:schemeClr val="accent6">
                          <a:lumMod val="70000"/>
                        </a:schemeClr>
                      </a:solidFill>
                    </a:ln>
                    <a:effectLst/>
                  </c:spPr>
                </c:marker>
                <c:xVal>
                  <c:numRef>
                    <c:extLst xmlns:c15="http://schemas.microsoft.com/office/drawing/2012/chart">
                      <c:ext xmlns:c15="http://schemas.microsoft.com/office/drawing/2012/chart" uri="{02D57815-91ED-43cb-92C2-25804820EDAC}">
                        <c15:formulaRef>
                          <c15:sqref>'Grafik Heu-Milch'!$C$5:$C$141</c15:sqref>
                        </c15:formulaRef>
                      </c:ext>
                    </c:extLst>
                    <c:numCache>
                      <c:formatCode>General</c:formatCode>
                      <c:ptCount val="1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numCache>
                  </c:numRef>
                </c:xVal>
                <c:yVal>
                  <c:numRef>
                    <c:extLst xmlns:c15="http://schemas.microsoft.com/office/drawing/2012/chart">
                      <c:ext xmlns:c15="http://schemas.microsoft.com/office/drawing/2012/chart" uri="{02D57815-91ED-43cb-92C2-25804820EDAC}">
                        <c15:formulaRef>
                          <c15:sqref>'Grafik Heu-Milch'!$BM$5:$BM$141</c15:sqref>
                        </c15:formulaRef>
                      </c:ext>
                    </c:extLst>
                    <c:numCache>
                      <c:formatCode>General</c:formatCode>
                      <c:ptCount val="137"/>
                      <c:pt idx="1">
                        <c:v>0</c:v>
                      </c:pt>
                      <c:pt idx="5">
                        <c:v>0</c:v>
                      </c:pt>
                      <c:pt idx="17">
                        <c:v>0</c:v>
                      </c:pt>
                      <c:pt idx="38">
                        <c:v>0</c:v>
                      </c:pt>
                      <c:pt idx="54">
                        <c:v>0</c:v>
                      </c:pt>
                      <c:pt idx="57">
                        <c:v>0</c:v>
                      </c:pt>
                      <c:pt idx="61">
                        <c:v>0</c:v>
                      </c:pt>
                      <c:pt idx="73">
                        <c:v>0</c:v>
                      </c:pt>
                      <c:pt idx="101">
                        <c:v>0</c:v>
                      </c:pt>
                      <c:pt idx="136">
                        <c:v>0</c:v>
                      </c:pt>
                    </c:numCache>
                  </c:numRef>
                </c:yVal>
                <c:smooth val="0"/>
                <c:extLst xmlns:c15="http://schemas.microsoft.com/office/drawing/2012/chart">
                  <c:ext xmlns:c16="http://schemas.microsoft.com/office/drawing/2014/chart" uri="{C3380CC4-5D6E-409C-BE32-E72D297353CC}">
                    <c16:uniqueId val="{000000B5-8C1B-4C12-AABC-1B2D99824493}"/>
                  </c:ext>
                </c:extLst>
              </c15:ser>
            </c15:filteredScatterSeries>
            <c15:filteredScatterSeries>
              <c15:ser>
                <c:idx val="49"/>
                <c:order val="63"/>
                <c:tx>
                  <c:strRef>
                    <c:extLst xmlns:c15="http://schemas.microsoft.com/office/drawing/2012/chart">
                      <c:ext xmlns:c15="http://schemas.microsoft.com/office/drawing/2012/chart" uri="{02D57815-91ED-43cb-92C2-25804820EDAC}">
                        <c15:formulaRef>
                          <c15:sqref>'Grafik Heu-Milch'!$BO$3:$BO$4</c15:sqref>
                        </c15:formulaRef>
                      </c:ext>
                    </c:extLst>
                    <c:strCache>
                      <c:ptCount val="2"/>
                      <c:pt idx="0">
                        <c:v>PFHpS</c:v>
                      </c:pt>
                    </c:strCache>
                  </c:strRef>
                </c:tx>
                <c:spPr>
                  <a:ln w="28575" cap="rnd">
                    <a:solidFill>
                      <a:schemeClr val="accent2">
                        <a:lumMod val="50000"/>
                        <a:lumOff val="50000"/>
                      </a:schemeClr>
                    </a:solidFill>
                    <a:round/>
                  </a:ln>
                  <a:effectLst/>
                </c:spPr>
                <c:marker>
                  <c:symbol val="circle"/>
                  <c:size val="5"/>
                  <c:spPr>
                    <a:solidFill>
                      <a:schemeClr val="accent2">
                        <a:lumMod val="50000"/>
                        <a:lumOff val="50000"/>
                      </a:schemeClr>
                    </a:solidFill>
                    <a:ln w="9525">
                      <a:solidFill>
                        <a:schemeClr val="accent2">
                          <a:lumMod val="50000"/>
                          <a:lumOff val="50000"/>
                        </a:schemeClr>
                      </a:solidFill>
                    </a:ln>
                    <a:effectLst/>
                  </c:spPr>
                </c:marker>
                <c:xVal>
                  <c:numRef>
                    <c:extLst xmlns:c15="http://schemas.microsoft.com/office/drawing/2012/chart">
                      <c:ext xmlns:c15="http://schemas.microsoft.com/office/drawing/2012/chart" uri="{02D57815-91ED-43cb-92C2-25804820EDAC}">
                        <c15:formulaRef>
                          <c15:sqref>'Grafik Heu-Milch'!$C$5:$C$141</c15:sqref>
                        </c15:formulaRef>
                      </c:ext>
                    </c:extLst>
                    <c:numCache>
                      <c:formatCode>General</c:formatCode>
                      <c:ptCount val="1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numCache>
                  </c:numRef>
                </c:xVal>
                <c:yVal>
                  <c:numRef>
                    <c:extLst xmlns:c15="http://schemas.microsoft.com/office/drawing/2012/chart">
                      <c:ext xmlns:c15="http://schemas.microsoft.com/office/drawing/2012/chart" uri="{02D57815-91ED-43cb-92C2-25804820EDAC}">
                        <c15:formulaRef>
                          <c15:sqref>'Grafik Heu-Milch'!$BO$5:$BO$141</c15:sqref>
                        </c15:formulaRef>
                      </c:ext>
                    </c:extLst>
                    <c:numCache>
                      <c:formatCode>General</c:formatCode>
                      <c:ptCount val="137"/>
                      <c:pt idx="1">
                        <c:v>0</c:v>
                      </c:pt>
                      <c:pt idx="5">
                        <c:v>0</c:v>
                      </c:pt>
                      <c:pt idx="17">
                        <c:v>0</c:v>
                      </c:pt>
                      <c:pt idx="38">
                        <c:v>0</c:v>
                      </c:pt>
                      <c:pt idx="54">
                        <c:v>0</c:v>
                      </c:pt>
                      <c:pt idx="57">
                        <c:v>0</c:v>
                      </c:pt>
                      <c:pt idx="61">
                        <c:v>0</c:v>
                      </c:pt>
                      <c:pt idx="73">
                        <c:v>0</c:v>
                      </c:pt>
                      <c:pt idx="101">
                        <c:v>0</c:v>
                      </c:pt>
                      <c:pt idx="136">
                        <c:v>0</c:v>
                      </c:pt>
                    </c:numCache>
                  </c:numRef>
                </c:yVal>
                <c:smooth val="0"/>
                <c:extLst xmlns:c15="http://schemas.microsoft.com/office/drawing/2012/chart">
                  <c:ext xmlns:c16="http://schemas.microsoft.com/office/drawing/2014/chart" uri="{C3380CC4-5D6E-409C-BE32-E72D297353CC}">
                    <c16:uniqueId val="{000000B7-8C1B-4C12-AABC-1B2D99824493}"/>
                  </c:ext>
                </c:extLst>
              </c15:ser>
            </c15:filteredScatterSeries>
            <c15:filteredScatterSeries>
              <c15:ser>
                <c:idx val="57"/>
                <c:order val="71"/>
                <c:tx>
                  <c:strRef>
                    <c:extLst xmlns:c15="http://schemas.microsoft.com/office/drawing/2012/chart">
                      <c:ext xmlns:c15="http://schemas.microsoft.com/office/drawing/2012/chart" uri="{02D57815-91ED-43cb-92C2-25804820EDAC}">
                        <c15:formulaRef>
                          <c15:sqref>'Grafik Heu-Milch'!$BW$3:$BW$4</c15:sqref>
                        </c15:formulaRef>
                      </c:ext>
                    </c:extLst>
                    <c:strCache>
                      <c:ptCount val="2"/>
                      <c:pt idx="0">
                        <c:v>PFUnDS </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xVal>
                  <c:numRef>
                    <c:extLst xmlns:c15="http://schemas.microsoft.com/office/drawing/2012/chart">
                      <c:ext xmlns:c15="http://schemas.microsoft.com/office/drawing/2012/chart" uri="{02D57815-91ED-43cb-92C2-25804820EDAC}">
                        <c15:formulaRef>
                          <c15:sqref>'Grafik Heu-Milch'!$C$5:$C$141</c15:sqref>
                        </c15:formulaRef>
                      </c:ext>
                    </c:extLst>
                    <c:numCache>
                      <c:formatCode>General</c:formatCode>
                      <c:ptCount val="1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numCache>
                  </c:numRef>
                </c:xVal>
                <c:yVal>
                  <c:numRef>
                    <c:extLst xmlns:c15="http://schemas.microsoft.com/office/drawing/2012/chart">
                      <c:ext xmlns:c15="http://schemas.microsoft.com/office/drawing/2012/chart" uri="{02D57815-91ED-43cb-92C2-25804820EDAC}">
                        <c15:formulaRef>
                          <c15:sqref>'Grafik Heu-Milch'!$BW$5:$BW$141</c15:sqref>
                        </c15:formulaRef>
                      </c:ext>
                    </c:extLst>
                    <c:numCache>
                      <c:formatCode>General</c:formatCode>
                      <c:ptCount val="137"/>
                      <c:pt idx="1">
                        <c:v>0</c:v>
                      </c:pt>
                      <c:pt idx="5">
                        <c:v>0.18899551615248475</c:v>
                      </c:pt>
                      <c:pt idx="17">
                        <c:v>1.1944071029853354</c:v>
                      </c:pt>
                      <c:pt idx="38">
                        <c:v>0.73668682239732575</c:v>
                      </c:pt>
                      <c:pt idx="54">
                        <c:v>0.7454181149147433</c:v>
                      </c:pt>
                      <c:pt idx="57">
                        <c:v>0.81545233186239652</c:v>
                      </c:pt>
                      <c:pt idx="61">
                        <c:v>0.28691628090800103</c:v>
                      </c:pt>
                      <c:pt idx="73">
                        <c:v>3.943240579007358E-2</c:v>
                      </c:pt>
                      <c:pt idx="101">
                        <c:v>1.5277022996786024E-3</c:v>
                      </c:pt>
                      <c:pt idx="136">
                        <c:v>0</c:v>
                      </c:pt>
                    </c:numCache>
                  </c:numRef>
                </c:yVal>
                <c:smooth val="0"/>
                <c:extLst xmlns:c15="http://schemas.microsoft.com/office/drawing/2012/chart">
                  <c:ext xmlns:c16="http://schemas.microsoft.com/office/drawing/2014/chart" uri="{C3380CC4-5D6E-409C-BE32-E72D297353CC}">
                    <c16:uniqueId val="{000000BF-8C1B-4C12-AABC-1B2D99824493}"/>
                  </c:ext>
                </c:extLst>
              </c15:ser>
            </c15:filteredScatterSeries>
            <c15:filteredScatterSeries>
              <c15:ser>
                <c:idx val="71"/>
                <c:order val="73"/>
                <c:tx>
                  <c:strRef>
                    <c:extLst xmlns:c15="http://schemas.microsoft.com/office/drawing/2012/chart">
                      <c:ext xmlns:c15="http://schemas.microsoft.com/office/drawing/2012/chart" uri="{02D57815-91ED-43cb-92C2-25804820EDAC}">
                        <c15:formulaRef>
                          <c15:sqref>'Grafik Heu-Milch'!$BY$3:$BY$4</c15:sqref>
                        </c15:formulaRef>
                      </c:ext>
                    </c:extLst>
                    <c:strCache>
                      <c:ptCount val="2"/>
                      <c:pt idx="0">
                        <c:v>PFDoDS </c:v>
                      </c:pt>
                    </c:strCache>
                  </c:strRef>
                </c:tx>
                <c:spPr>
                  <a:ln w="28575" cap="rnd">
                    <a:solidFill>
                      <a:schemeClr val="accent6">
                        <a:lumMod val="80000"/>
                        <a:lumOff val="20000"/>
                      </a:schemeClr>
                    </a:solid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xVal>
                  <c:numRef>
                    <c:extLst xmlns:c15="http://schemas.microsoft.com/office/drawing/2012/chart">
                      <c:ext xmlns:c15="http://schemas.microsoft.com/office/drawing/2012/chart" uri="{02D57815-91ED-43cb-92C2-25804820EDAC}">
                        <c15:formulaRef>
                          <c15:sqref>'Grafik Heu-Milch'!$C$5:$C$141</c15:sqref>
                        </c15:formulaRef>
                      </c:ext>
                    </c:extLst>
                    <c:numCache>
                      <c:formatCode>General</c:formatCode>
                      <c:ptCount val="1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numCache>
                  </c:numRef>
                </c:xVal>
                <c:yVal>
                  <c:numRef>
                    <c:extLst xmlns:c15="http://schemas.microsoft.com/office/drawing/2012/chart">
                      <c:ext xmlns:c15="http://schemas.microsoft.com/office/drawing/2012/chart" uri="{02D57815-91ED-43cb-92C2-25804820EDAC}">
                        <c15:formulaRef>
                          <c15:sqref>'Grafik Heu-Milch'!$BY$5:$BY$141</c15:sqref>
                        </c15:formulaRef>
                      </c:ext>
                    </c:extLst>
                    <c:numCache>
                      <c:formatCode>General</c:formatCode>
                      <c:ptCount val="137"/>
                      <c:pt idx="1">
                        <c:v>0</c:v>
                      </c:pt>
                      <c:pt idx="5">
                        <c:v>5.4757186843355177E-2</c:v>
                      </c:pt>
                      <c:pt idx="17">
                        <c:v>0.26709595247278245</c:v>
                      </c:pt>
                      <c:pt idx="38">
                        <c:v>0.1014179690881214</c:v>
                      </c:pt>
                      <c:pt idx="54">
                        <c:v>0.15013892063543224</c:v>
                      </c:pt>
                      <c:pt idx="57">
                        <c:v>0.14310612453179825</c:v>
                      </c:pt>
                      <c:pt idx="61">
                        <c:v>3.4190712570129053E-2</c:v>
                      </c:pt>
                      <c:pt idx="73">
                        <c:v>7.06158355288255E-4</c:v>
                      </c:pt>
                      <c:pt idx="101">
                        <c:v>0</c:v>
                      </c:pt>
                      <c:pt idx="136">
                        <c:v>0</c:v>
                      </c:pt>
                    </c:numCache>
                  </c:numRef>
                </c:yVal>
                <c:smooth val="0"/>
                <c:extLst xmlns:c15="http://schemas.microsoft.com/office/drawing/2012/chart">
                  <c:ext xmlns:c16="http://schemas.microsoft.com/office/drawing/2014/chart" uri="{C3380CC4-5D6E-409C-BE32-E72D297353CC}">
                    <c16:uniqueId val="{000000C1-8C1B-4C12-AABC-1B2D99824493}"/>
                  </c:ext>
                </c:extLst>
              </c15:ser>
            </c15:filteredScatterSeries>
            <c15:filteredScatterSeries>
              <c15:ser>
                <c:idx val="75"/>
                <c:order val="75"/>
                <c:tx>
                  <c:strRef>
                    <c:extLst xmlns:c15="http://schemas.microsoft.com/office/drawing/2012/chart">
                      <c:ext xmlns:c15="http://schemas.microsoft.com/office/drawing/2012/chart" uri="{02D57815-91ED-43cb-92C2-25804820EDAC}">
                        <c15:formulaRef>
                          <c15:sqref>'Grafik Heu-Milch'!$CA$3:$CA$4</c15:sqref>
                        </c15:formulaRef>
                      </c:ext>
                    </c:extLst>
                    <c:strCache>
                      <c:ptCount val="2"/>
                      <c:pt idx="0">
                        <c:v>PFTrDS </c:v>
                      </c:pt>
                    </c:strCache>
                  </c:strRef>
                </c:tx>
                <c:spPr>
                  <a:ln w="28575" cap="rnd">
                    <a:solidFill>
                      <a:schemeClr val="accent4">
                        <a:lumMod val="80000"/>
                      </a:schemeClr>
                    </a:solidFill>
                    <a:round/>
                  </a:ln>
                  <a:effectLst/>
                </c:spPr>
                <c:marker>
                  <c:symbol val="circle"/>
                  <c:size val="5"/>
                  <c:spPr>
                    <a:solidFill>
                      <a:schemeClr val="accent4">
                        <a:lumMod val="80000"/>
                      </a:schemeClr>
                    </a:solidFill>
                    <a:ln w="9525">
                      <a:solidFill>
                        <a:schemeClr val="accent4">
                          <a:lumMod val="80000"/>
                        </a:schemeClr>
                      </a:solidFill>
                    </a:ln>
                    <a:effectLst/>
                  </c:spPr>
                </c:marker>
                <c:xVal>
                  <c:numRef>
                    <c:extLst xmlns:c15="http://schemas.microsoft.com/office/drawing/2012/chart">
                      <c:ext xmlns:c15="http://schemas.microsoft.com/office/drawing/2012/chart" uri="{02D57815-91ED-43cb-92C2-25804820EDAC}">
                        <c15:formulaRef>
                          <c15:sqref>'Grafik Heu-Milch'!$C$5:$C$141</c15:sqref>
                        </c15:formulaRef>
                      </c:ext>
                    </c:extLst>
                    <c:numCache>
                      <c:formatCode>General</c:formatCode>
                      <c:ptCount val="1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numCache>
                  </c:numRef>
                </c:xVal>
                <c:yVal>
                  <c:numRef>
                    <c:extLst xmlns:c15="http://schemas.microsoft.com/office/drawing/2012/chart">
                      <c:ext xmlns:c15="http://schemas.microsoft.com/office/drawing/2012/chart" uri="{02D57815-91ED-43cb-92C2-25804820EDAC}">
                        <c15:formulaRef>
                          <c15:sqref>'Grafik Heu-Milch'!$CA$5:$CA$141</c15:sqref>
                        </c15:formulaRef>
                      </c:ext>
                    </c:extLst>
                    <c:numCache>
                      <c:formatCode>General</c:formatCode>
                      <c:ptCount val="137"/>
                      <c:pt idx="1">
                        <c:v>0</c:v>
                      </c:pt>
                      <c:pt idx="5">
                        <c:v>2.5464359033751355E-2</c:v>
                      </c:pt>
                      <c:pt idx="17">
                        <c:v>0.12181007200107703</c:v>
                      </c:pt>
                      <c:pt idx="38">
                        <c:v>3.3668774822408515E-2</c:v>
                      </c:pt>
                      <c:pt idx="54">
                        <c:v>6.3004407723677242E-2</c:v>
                      </c:pt>
                      <c:pt idx="57">
                        <c:v>4.7832423123505712E-2</c:v>
                      </c:pt>
                      <c:pt idx="61">
                        <c:v>5.1645926733535075E-3</c:v>
                      </c:pt>
                      <c:pt idx="73">
                        <c:v>5.2049790325361879E-4</c:v>
                      </c:pt>
                      <c:pt idx="101">
                        <c:v>0</c:v>
                      </c:pt>
                      <c:pt idx="136">
                        <c:v>0</c:v>
                      </c:pt>
                    </c:numCache>
                  </c:numRef>
                </c:yVal>
                <c:smooth val="0"/>
                <c:extLst xmlns:c15="http://schemas.microsoft.com/office/drawing/2012/chart">
                  <c:ext xmlns:c16="http://schemas.microsoft.com/office/drawing/2014/chart" uri="{C3380CC4-5D6E-409C-BE32-E72D297353CC}">
                    <c16:uniqueId val="{000000C3-8C1B-4C12-AABC-1B2D99824493}"/>
                  </c:ext>
                </c:extLst>
              </c15:ser>
            </c15:filteredScatterSeries>
          </c:ext>
        </c:extLst>
      </c:scatterChart>
      <c:catAx>
        <c:axId val="483878992"/>
        <c:scaling>
          <c:orientation val="minMax"/>
        </c:scaling>
        <c:delete val="0"/>
        <c:axPos val="b"/>
        <c:title>
          <c:tx>
            <c:rich>
              <a:bodyPr rot="0" spcFirstLastPara="1" vertOverflow="ellipsis" vert="horz" wrap="square" anchor="ctr" anchorCtr="1"/>
              <a:lstStyle/>
              <a:p>
                <a:pPr>
                  <a:defRPr sz="16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US"/>
                  <a:t>Day</a:t>
                </a:r>
              </a:p>
            </c:rich>
          </c:tx>
          <c:overlay val="0"/>
          <c:spPr>
            <a:noFill/>
            <a:ln>
              <a:noFill/>
            </a:ln>
            <a:effectLst/>
          </c:spPr>
          <c:txPr>
            <a:bodyPr rot="0" spcFirstLastPara="1" vertOverflow="ellipsis" vert="horz" wrap="square" anchor="ctr" anchorCtr="1"/>
            <a:lstStyle/>
            <a:p>
              <a:pPr>
                <a:defRPr sz="16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none"/>
        <c:minorTickMark val="none"/>
        <c:tickLblPos val="nextTo"/>
        <c:spPr>
          <a:noFill/>
          <a:ln w="9525" cap="flat" cmpd="sng" algn="ctr">
            <a:solidFill>
              <a:schemeClr val="dk1"/>
            </a:solidFill>
            <a:round/>
          </a:ln>
          <a:effectLst/>
        </c:spPr>
        <c:txPr>
          <a:bodyPr rot="-60000000" spcFirstLastPara="1" vertOverflow="ellipsis" vert="horz" wrap="square" anchor="ctr" anchorCtr="1"/>
          <a:lstStyle/>
          <a:p>
            <a:pPr>
              <a:defRPr sz="16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483879408"/>
        <c:crosses val="autoZero"/>
        <c:auto val="1"/>
        <c:lblAlgn val="ctr"/>
        <c:lblOffset val="100"/>
        <c:tickLblSkip val="7"/>
        <c:noMultiLvlLbl val="0"/>
      </c:catAx>
      <c:valAx>
        <c:axId val="483879408"/>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6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US"/>
                  <a:t>Mean PFAA content in </a:t>
                </a:r>
                <a:r>
                  <a:rPr lang="en-US" b="1"/>
                  <a:t>hay</a:t>
                </a:r>
                <a:r>
                  <a:rPr lang="en-US"/>
                  <a:t> (µg/kg 88 % dry matter)</a:t>
                </a:r>
              </a:p>
            </c:rich>
          </c:tx>
          <c:layout>
            <c:manualLayout>
              <c:xMode val="edge"/>
              <c:yMode val="edge"/>
              <c:x val="4.1150272153427222E-3"/>
              <c:y val="0.23580887304608505"/>
            </c:manualLayout>
          </c:layout>
          <c:overlay val="0"/>
          <c:spPr>
            <a:noFill/>
            <a:ln>
              <a:noFill/>
            </a:ln>
            <a:effectLst/>
          </c:spPr>
          <c:txPr>
            <a:bodyPr rot="-5400000" spcFirstLastPara="1" vertOverflow="ellipsis" vert="horz" wrap="square" anchor="ctr" anchorCtr="1"/>
            <a:lstStyle/>
            <a:p>
              <a:pPr>
                <a:defRPr sz="16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483878992"/>
        <c:crosses val="autoZero"/>
        <c:crossBetween val="between"/>
      </c:valAx>
      <c:valAx>
        <c:axId val="467301728"/>
        <c:scaling>
          <c:orientation val="minMax"/>
        </c:scaling>
        <c:delete val="0"/>
        <c:axPos val="r"/>
        <c:title>
          <c:tx>
            <c:rich>
              <a:bodyPr rot="-5400000" spcFirstLastPara="1" vertOverflow="ellipsis" vert="horz" wrap="square" anchor="ctr" anchorCtr="1"/>
              <a:lstStyle/>
              <a:p>
                <a:pPr>
                  <a:defRPr sz="16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US"/>
                  <a:t>Mean PFAA content in goat </a:t>
                </a:r>
                <a:r>
                  <a:rPr lang="en-US" b="1"/>
                  <a:t>milk</a:t>
                </a:r>
                <a:r>
                  <a:rPr lang="en-US"/>
                  <a:t> (µg/kg)</a:t>
                </a:r>
              </a:p>
            </c:rich>
          </c:tx>
          <c:layout>
            <c:manualLayout>
              <c:xMode val="edge"/>
              <c:yMode val="edge"/>
              <c:x val="0.8284321487095232"/>
              <c:y val="0.28875542295037909"/>
            </c:manualLayout>
          </c:layout>
          <c:overlay val="0"/>
          <c:spPr>
            <a:noFill/>
            <a:ln>
              <a:noFill/>
            </a:ln>
            <a:effectLst/>
          </c:spPr>
          <c:txPr>
            <a:bodyPr rot="-5400000" spcFirstLastPara="1" vertOverflow="ellipsis" vert="horz" wrap="square" anchor="ctr" anchorCtr="1"/>
            <a:lstStyle/>
            <a:p>
              <a:pPr>
                <a:defRPr sz="16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numFmt formatCode="0" sourceLinked="0"/>
        <c:majorTickMark val="out"/>
        <c:minorTickMark val="none"/>
        <c:tickLblPos val="nextTo"/>
        <c:spPr>
          <a:noFill/>
          <a:ln>
            <a:noFill/>
          </a:ln>
          <a:effectLst/>
        </c:spPr>
        <c:txPr>
          <a:bodyPr rot="-60000000" spcFirstLastPara="1" vertOverflow="ellipsis" vert="horz" wrap="square" anchor="ctr" anchorCtr="0"/>
          <a:lstStyle/>
          <a:p>
            <a:pPr>
              <a:defRPr sz="16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467302144"/>
        <c:crosses val="max"/>
        <c:crossBetween val="midCat"/>
      </c:valAx>
      <c:valAx>
        <c:axId val="467302144"/>
        <c:scaling>
          <c:orientation val="minMax"/>
        </c:scaling>
        <c:delete val="1"/>
        <c:axPos val="b"/>
        <c:numFmt formatCode="General" sourceLinked="1"/>
        <c:majorTickMark val="out"/>
        <c:minorTickMark val="none"/>
        <c:tickLblPos val="nextTo"/>
        <c:crossAx val="467301728"/>
        <c:crosses val="autoZero"/>
        <c:crossBetween val="midCat"/>
      </c:valAx>
      <c:spPr>
        <a:noFill/>
        <a:ln>
          <a:solidFill>
            <a:schemeClr val="tx2"/>
          </a:solidFill>
        </a:ln>
        <a:effectLst/>
      </c:spPr>
    </c:plotArea>
    <c:legend>
      <c:legendPos val="r"/>
      <c:legendEntry>
        <c:idx val="1"/>
        <c:delete val="1"/>
      </c:legendEntry>
      <c:legendEntry>
        <c:idx val="2"/>
        <c:delete val="1"/>
      </c:legendEntry>
      <c:legendEntry>
        <c:idx val="3"/>
        <c:delete val="1"/>
      </c:legendEntry>
      <c:legendEntry>
        <c:idx val="4"/>
        <c:delete val="1"/>
      </c:legendEntry>
      <c:legendEntry>
        <c:idx val="5"/>
        <c:delete val="1"/>
      </c:legendEntry>
      <c:legendEntry>
        <c:idx val="6"/>
        <c:delete val="1"/>
      </c:legendEntry>
      <c:legendEntry>
        <c:idx val="7"/>
        <c:delete val="1"/>
      </c:legendEntry>
      <c:legendEntry>
        <c:idx val="17"/>
        <c:delete val="1"/>
      </c:legendEntry>
      <c:legendEntry>
        <c:idx val="18"/>
        <c:delete val="1"/>
      </c:legendEntry>
      <c:legendEntry>
        <c:idx val="19"/>
        <c:delete val="1"/>
      </c:legendEntry>
      <c:legendEntry>
        <c:idx val="20"/>
        <c:delete val="1"/>
      </c:legendEntry>
      <c:legendEntry>
        <c:idx val="21"/>
        <c:delete val="1"/>
      </c:legendEntry>
      <c:legendEntry>
        <c:idx val="22"/>
        <c:delete val="1"/>
      </c:legendEntry>
      <c:legendEntry>
        <c:idx val="23"/>
        <c:delete val="1"/>
      </c:legendEntry>
      <c:legendEntry>
        <c:idx val="24"/>
        <c:delete val="1"/>
      </c:legendEntry>
      <c:layout>
        <c:manualLayout>
          <c:xMode val="edge"/>
          <c:yMode val="edge"/>
          <c:x val="0.85271080928004517"/>
          <c:y val="0.35923426129460279"/>
          <c:w val="5.9501943459310036E-2"/>
          <c:h val="0.52293924896837074"/>
        </c:manualLayout>
      </c:layout>
      <c:overlay val="0"/>
      <c:spPr>
        <a:noFill/>
        <a:ln>
          <a:noFill/>
        </a:ln>
        <a:effectLst/>
      </c:spPr>
      <c:txPr>
        <a:bodyPr rot="0" spcFirstLastPara="1" vertOverflow="ellipsis" vert="horz" wrap="square" anchor="ctr" anchorCtr="1"/>
        <a:lstStyle/>
        <a:p>
          <a:pPr>
            <a:defRPr sz="16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legend>
    <c:plotVisOnly val="1"/>
    <c:dispBlanksAs val="span"/>
    <c:showDLblsOverMax val="0"/>
    <c:extLst/>
  </c:chart>
  <c:spPr>
    <a:solidFill>
      <a:sysClr val="window" lastClr="FFFFFF"/>
    </a:solidFill>
    <a:ln w="9525" cap="flat" cmpd="sng" algn="ctr">
      <a:noFill/>
      <a:round/>
    </a:ln>
    <a:effectLst/>
  </c:spPr>
  <c:txPr>
    <a:bodyPr/>
    <a:lstStyle/>
    <a:p>
      <a:pPr>
        <a:defRPr sz="1600">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8740157499999996" l="0.7" r="0.7" t="0.78740157499999996"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image" Target="../media/image1.png"/><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8" Type="http://schemas.openxmlformats.org/officeDocument/2006/relationships/chart" Target="../charts/chart14.xml"/><Relationship Id="rId13" Type="http://schemas.openxmlformats.org/officeDocument/2006/relationships/chart" Target="../charts/chart19.xml"/><Relationship Id="rId18" Type="http://schemas.openxmlformats.org/officeDocument/2006/relationships/chart" Target="../charts/chart24.xml"/><Relationship Id="rId26" Type="http://schemas.openxmlformats.org/officeDocument/2006/relationships/chart" Target="../charts/chart32.xml"/><Relationship Id="rId3" Type="http://schemas.openxmlformats.org/officeDocument/2006/relationships/chart" Target="../charts/chart9.xml"/><Relationship Id="rId21" Type="http://schemas.openxmlformats.org/officeDocument/2006/relationships/chart" Target="../charts/chart27.xml"/><Relationship Id="rId7" Type="http://schemas.openxmlformats.org/officeDocument/2006/relationships/chart" Target="../charts/chart13.xml"/><Relationship Id="rId12" Type="http://schemas.openxmlformats.org/officeDocument/2006/relationships/chart" Target="../charts/chart18.xml"/><Relationship Id="rId17" Type="http://schemas.openxmlformats.org/officeDocument/2006/relationships/chart" Target="../charts/chart23.xml"/><Relationship Id="rId25" Type="http://schemas.openxmlformats.org/officeDocument/2006/relationships/chart" Target="../charts/chart31.xml"/><Relationship Id="rId2" Type="http://schemas.openxmlformats.org/officeDocument/2006/relationships/chart" Target="../charts/chart8.xml"/><Relationship Id="rId16" Type="http://schemas.openxmlformats.org/officeDocument/2006/relationships/chart" Target="../charts/chart22.xml"/><Relationship Id="rId20" Type="http://schemas.openxmlformats.org/officeDocument/2006/relationships/chart" Target="../charts/chart26.xml"/><Relationship Id="rId1" Type="http://schemas.openxmlformats.org/officeDocument/2006/relationships/chart" Target="../charts/chart7.xml"/><Relationship Id="rId6" Type="http://schemas.openxmlformats.org/officeDocument/2006/relationships/chart" Target="../charts/chart12.xml"/><Relationship Id="rId11" Type="http://schemas.openxmlformats.org/officeDocument/2006/relationships/chart" Target="../charts/chart17.xml"/><Relationship Id="rId24" Type="http://schemas.openxmlformats.org/officeDocument/2006/relationships/chart" Target="../charts/chart30.xml"/><Relationship Id="rId5" Type="http://schemas.openxmlformats.org/officeDocument/2006/relationships/chart" Target="../charts/chart11.xml"/><Relationship Id="rId15" Type="http://schemas.openxmlformats.org/officeDocument/2006/relationships/chart" Target="../charts/chart21.xml"/><Relationship Id="rId23" Type="http://schemas.openxmlformats.org/officeDocument/2006/relationships/chart" Target="../charts/chart29.xml"/><Relationship Id="rId10" Type="http://schemas.openxmlformats.org/officeDocument/2006/relationships/chart" Target="../charts/chart16.xml"/><Relationship Id="rId19" Type="http://schemas.openxmlformats.org/officeDocument/2006/relationships/chart" Target="../charts/chart25.xml"/><Relationship Id="rId4" Type="http://schemas.openxmlformats.org/officeDocument/2006/relationships/chart" Target="../charts/chart10.xml"/><Relationship Id="rId9" Type="http://schemas.openxmlformats.org/officeDocument/2006/relationships/chart" Target="../charts/chart15.xml"/><Relationship Id="rId14" Type="http://schemas.openxmlformats.org/officeDocument/2006/relationships/chart" Target="../charts/chart20.xml"/><Relationship Id="rId22" Type="http://schemas.openxmlformats.org/officeDocument/2006/relationships/chart" Target="../charts/chart28.xml"/><Relationship Id="rId27" Type="http://schemas.openxmlformats.org/officeDocument/2006/relationships/chart" Target="../charts/chart3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4.xml"/></Relationships>
</file>

<file path=xl/drawings/_rels/drawing6.xml.rels><?xml version="1.0" encoding="UTF-8" standalone="yes"?>
<Relationships xmlns="http://schemas.openxmlformats.org/package/2006/relationships"><Relationship Id="rId3" Type="http://schemas.openxmlformats.org/officeDocument/2006/relationships/chart" Target="../charts/chart37.xml"/><Relationship Id="rId2" Type="http://schemas.openxmlformats.org/officeDocument/2006/relationships/chart" Target="../charts/chart36.xml"/><Relationship Id="rId1" Type="http://schemas.openxmlformats.org/officeDocument/2006/relationships/chart" Target="../charts/chart35.xml"/></Relationships>
</file>

<file path=xl/drawings/_rels/drawing8.xml.rels><?xml version="1.0" encoding="UTF-8" standalone="yes"?>
<Relationships xmlns="http://schemas.openxmlformats.org/package/2006/relationships"><Relationship Id="rId1" Type="http://schemas.openxmlformats.org/officeDocument/2006/relationships/chart" Target="../charts/chart3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39.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42.xml"/><Relationship Id="rId2" Type="http://schemas.openxmlformats.org/officeDocument/2006/relationships/chart" Target="../charts/chart41.xml"/><Relationship Id="rId1" Type="http://schemas.openxmlformats.org/officeDocument/2006/relationships/chart" Target="../charts/chart40.xml"/></Relationships>
</file>

<file path=xl/drawings/_rels/drawing11.xml.rels><?xml version="1.0" encoding="UTF-8" standalone="yes"?>
<Relationships xmlns="http://schemas.openxmlformats.org/package/2006/relationships"><Relationship Id="rId2" Type="http://schemas.openxmlformats.org/officeDocument/2006/relationships/chart" Target="../charts/chart44.xml"/><Relationship Id="rId1" Type="http://schemas.openxmlformats.org/officeDocument/2006/relationships/chart" Target="../charts/chart43.xml"/></Relationships>
</file>

<file path=xl/drawings/_rels/drawing12.xml.rels><?xml version="1.0" encoding="UTF-8" standalone="yes"?>
<Relationships xmlns="http://schemas.openxmlformats.org/package/2006/relationships"><Relationship Id="rId3" Type="http://schemas.openxmlformats.org/officeDocument/2006/relationships/chart" Target="../charts/chart47.xml"/><Relationship Id="rId2" Type="http://schemas.openxmlformats.org/officeDocument/2006/relationships/chart" Target="../charts/chart46.xml"/><Relationship Id="rId1" Type="http://schemas.openxmlformats.org/officeDocument/2006/relationships/chart" Target="../charts/chart45.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50.xml"/><Relationship Id="rId2" Type="http://schemas.openxmlformats.org/officeDocument/2006/relationships/chart" Target="../charts/chart49.xml"/><Relationship Id="rId1" Type="http://schemas.openxmlformats.org/officeDocument/2006/relationships/chart" Target="../charts/chart48.xml"/><Relationship Id="rId6" Type="http://schemas.openxmlformats.org/officeDocument/2006/relationships/chart" Target="../charts/chart53.xml"/><Relationship Id="rId5" Type="http://schemas.openxmlformats.org/officeDocument/2006/relationships/chart" Target="../charts/chart52.xml"/><Relationship Id="rId4" Type="http://schemas.openxmlformats.org/officeDocument/2006/relationships/chart" Target="../charts/chart51.xml"/></Relationships>
</file>

<file path=xl/drawings/_rels/drawing18.xml.rels><?xml version="1.0" encoding="UTF-8" standalone="yes"?>
<Relationships xmlns="http://schemas.openxmlformats.org/package/2006/relationships"><Relationship Id="rId1" Type="http://schemas.openxmlformats.org/officeDocument/2006/relationships/chart" Target="../charts/chart54.xml"/></Relationships>
</file>

<file path=xl/drawings/_rels/drawing20.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27</xdr:col>
      <xdr:colOff>188258</xdr:colOff>
      <xdr:row>74</xdr:row>
      <xdr:rowOff>136794</xdr:rowOff>
    </xdr:from>
    <xdr:to>
      <xdr:col>31</xdr:col>
      <xdr:colOff>896471</xdr:colOff>
      <xdr:row>89</xdr:row>
      <xdr:rowOff>22494</xdr:rowOff>
    </xdr:to>
    <xdr:graphicFrame macro="">
      <xdr:nvGraphicFramePr>
        <xdr:cNvPr id="3" name="Diagramm 2">
          <a:extLst>
            <a:ext uri="{FF2B5EF4-FFF2-40B4-BE49-F238E27FC236}">
              <a16:creationId xmlns:a16="http://schemas.microsoft.com/office/drawing/2014/main" id="{A3CD6888-5F65-4A2A-9AA5-B170B86C60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0</xdr:colOff>
      <xdr:row>19</xdr:row>
      <xdr:rowOff>0</xdr:rowOff>
    </xdr:from>
    <xdr:to>
      <xdr:col>18</xdr:col>
      <xdr:colOff>153485</xdr:colOff>
      <xdr:row>40</xdr:row>
      <xdr:rowOff>76769</xdr:rowOff>
    </xdr:to>
    <xdr:pic>
      <xdr:nvPicPr>
        <xdr:cNvPr id="2" name="Grafik 1">
          <a:extLst>
            <a:ext uri="{FF2B5EF4-FFF2-40B4-BE49-F238E27FC236}">
              <a16:creationId xmlns:a16="http://schemas.microsoft.com/office/drawing/2014/main" id="{1820D908-B120-4D91-B659-C2F8DD1525EC}"/>
            </a:ext>
          </a:extLst>
        </xdr:cNvPr>
        <xdr:cNvPicPr>
          <a:picLocks noChangeAspect="1"/>
        </xdr:cNvPicPr>
      </xdr:nvPicPr>
      <xdr:blipFill>
        <a:blip xmlns:r="http://schemas.openxmlformats.org/officeDocument/2006/relationships" r:embed="rId1"/>
        <a:stretch>
          <a:fillRect/>
        </a:stretch>
      </xdr:blipFill>
      <xdr:spPr>
        <a:xfrm>
          <a:off x="6096000" y="3619500"/>
          <a:ext cx="7773485" cy="4077269"/>
        </a:xfrm>
        <a:prstGeom prst="rect">
          <a:avLst/>
        </a:prstGeom>
      </xdr:spPr>
    </xdr:pic>
    <xdr:clientData/>
  </xdr:twoCellAnchor>
  <xdr:twoCellAnchor>
    <xdr:from>
      <xdr:col>7</xdr:col>
      <xdr:colOff>707570</xdr:colOff>
      <xdr:row>45</xdr:row>
      <xdr:rowOff>144914</xdr:rowOff>
    </xdr:from>
    <xdr:to>
      <xdr:col>14</xdr:col>
      <xdr:colOff>145595</xdr:colOff>
      <xdr:row>63</xdr:row>
      <xdr:rowOff>92527</xdr:rowOff>
    </xdr:to>
    <xdr:graphicFrame macro="">
      <xdr:nvGraphicFramePr>
        <xdr:cNvPr id="3" name="Diagramm 2">
          <a:extLst>
            <a:ext uri="{FF2B5EF4-FFF2-40B4-BE49-F238E27FC236}">
              <a16:creationId xmlns:a16="http://schemas.microsoft.com/office/drawing/2014/main" id="{B1E70D5E-AA13-4049-BCA3-45DB7BBFA7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0</xdr:colOff>
      <xdr:row>64</xdr:row>
      <xdr:rowOff>0</xdr:rowOff>
    </xdr:from>
    <xdr:to>
      <xdr:col>14</xdr:col>
      <xdr:colOff>200025</xdr:colOff>
      <xdr:row>81</xdr:row>
      <xdr:rowOff>138113</xdr:rowOff>
    </xdr:to>
    <xdr:graphicFrame macro="">
      <xdr:nvGraphicFramePr>
        <xdr:cNvPr id="4" name="Diagramm 3">
          <a:extLst>
            <a:ext uri="{FF2B5EF4-FFF2-40B4-BE49-F238E27FC236}">
              <a16:creationId xmlns:a16="http://schemas.microsoft.com/office/drawing/2014/main" id="{7F8BDF1B-3663-4212-8382-8A06537F8B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0</xdr:colOff>
      <xdr:row>82</xdr:row>
      <xdr:rowOff>0</xdr:rowOff>
    </xdr:from>
    <xdr:to>
      <xdr:col>14</xdr:col>
      <xdr:colOff>200025</xdr:colOff>
      <xdr:row>99</xdr:row>
      <xdr:rowOff>138113</xdr:rowOff>
    </xdr:to>
    <xdr:graphicFrame macro="">
      <xdr:nvGraphicFramePr>
        <xdr:cNvPr id="5" name="Diagramm 4">
          <a:extLst>
            <a:ext uri="{FF2B5EF4-FFF2-40B4-BE49-F238E27FC236}">
              <a16:creationId xmlns:a16="http://schemas.microsoft.com/office/drawing/2014/main" id="{391FDA4F-9352-4EF6-B151-A55E8853C9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26</xdr:col>
      <xdr:colOff>533400</xdr:colOff>
      <xdr:row>25</xdr:row>
      <xdr:rowOff>128587</xdr:rowOff>
    </xdr:from>
    <xdr:to>
      <xdr:col>32</xdr:col>
      <xdr:colOff>533400</xdr:colOff>
      <xdr:row>40</xdr:row>
      <xdr:rowOff>14287</xdr:rowOff>
    </xdr:to>
    <xdr:graphicFrame macro="">
      <xdr:nvGraphicFramePr>
        <xdr:cNvPr id="3" name="Diagramm 2">
          <a:extLst>
            <a:ext uri="{FF2B5EF4-FFF2-40B4-BE49-F238E27FC236}">
              <a16:creationId xmlns:a16="http://schemas.microsoft.com/office/drawing/2014/main" id="{C5AED878-0702-40EA-AB41-0EB76FB3F2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295275</xdr:colOff>
      <xdr:row>5</xdr:row>
      <xdr:rowOff>133350</xdr:rowOff>
    </xdr:from>
    <xdr:to>
      <xdr:col>15</xdr:col>
      <xdr:colOff>104774</xdr:colOff>
      <xdr:row>25</xdr:row>
      <xdr:rowOff>14287</xdr:rowOff>
    </xdr:to>
    <xdr:graphicFrame macro="">
      <xdr:nvGraphicFramePr>
        <xdr:cNvPr id="4" name="Diagramm 3">
          <a:extLst>
            <a:ext uri="{FF2B5EF4-FFF2-40B4-BE49-F238E27FC236}">
              <a16:creationId xmlns:a16="http://schemas.microsoft.com/office/drawing/2014/main" id="{117A63D3-4F6F-4ED2-B623-06273F4BA3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87</xdr:col>
      <xdr:colOff>752475</xdr:colOff>
      <xdr:row>3</xdr:row>
      <xdr:rowOff>9531</xdr:rowOff>
    </xdr:from>
    <xdr:to>
      <xdr:col>93</xdr:col>
      <xdr:colOff>752475</xdr:colOff>
      <xdr:row>17</xdr:row>
      <xdr:rowOff>85731</xdr:rowOff>
    </xdr:to>
    <xdr:graphicFrame macro="">
      <xdr:nvGraphicFramePr>
        <xdr:cNvPr id="2" name="Diagramm 1">
          <a:extLst>
            <a:ext uri="{FF2B5EF4-FFF2-40B4-BE49-F238E27FC236}">
              <a16:creationId xmlns:a16="http://schemas.microsoft.com/office/drawing/2014/main" id="{C62A51B9-7B88-4331-B05B-958FE564F5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88</xdr:col>
      <xdr:colOff>0</xdr:colOff>
      <xdr:row>18</xdr:row>
      <xdr:rowOff>0</xdr:rowOff>
    </xdr:from>
    <xdr:to>
      <xdr:col>94</xdr:col>
      <xdr:colOff>0</xdr:colOff>
      <xdr:row>41</xdr:row>
      <xdr:rowOff>76200</xdr:rowOff>
    </xdr:to>
    <xdr:graphicFrame macro="">
      <xdr:nvGraphicFramePr>
        <xdr:cNvPr id="3" name="Diagramm 2">
          <a:extLst>
            <a:ext uri="{FF2B5EF4-FFF2-40B4-BE49-F238E27FC236}">
              <a16:creationId xmlns:a16="http://schemas.microsoft.com/office/drawing/2014/main" id="{2F174391-8D86-47EE-A600-F93442CF03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95</xdr:col>
      <xdr:colOff>0</xdr:colOff>
      <xdr:row>3</xdr:row>
      <xdr:rowOff>0</xdr:rowOff>
    </xdr:from>
    <xdr:to>
      <xdr:col>101</xdr:col>
      <xdr:colOff>0</xdr:colOff>
      <xdr:row>17</xdr:row>
      <xdr:rowOff>76200</xdr:rowOff>
    </xdr:to>
    <xdr:graphicFrame macro="">
      <xdr:nvGraphicFramePr>
        <xdr:cNvPr id="4" name="Diagramm 3">
          <a:extLst>
            <a:ext uri="{FF2B5EF4-FFF2-40B4-BE49-F238E27FC236}">
              <a16:creationId xmlns:a16="http://schemas.microsoft.com/office/drawing/2014/main" id="{4B81A321-C414-4F63-8072-96698989A9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95</xdr:col>
      <xdr:colOff>0</xdr:colOff>
      <xdr:row>18</xdr:row>
      <xdr:rowOff>0</xdr:rowOff>
    </xdr:from>
    <xdr:to>
      <xdr:col>101</xdr:col>
      <xdr:colOff>0</xdr:colOff>
      <xdr:row>41</xdr:row>
      <xdr:rowOff>76200</xdr:rowOff>
    </xdr:to>
    <xdr:graphicFrame macro="">
      <xdr:nvGraphicFramePr>
        <xdr:cNvPr id="5" name="Diagramm 4">
          <a:extLst>
            <a:ext uri="{FF2B5EF4-FFF2-40B4-BE49-F238E27FC236}">
              <a16:creationId xmlns:a16="http://schemas.microsoft.com/office/drawing/2014/main" id="{7986FD8D-8670-43A0-8664-1868C89917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733426</xdr:colOff>
      <xdr:row>30</xdr:row>
      <xdr:rowOff>47631</xdr:rowOff>
    </xdr:from>
    <xdr:to>
      <xdr:col>5</xdr:col>
      <xdr:colOff>9526</xdr:colOff>
      <xdr:row>39</xdr:row>
      <xdr:rowOff>47625</xdr:rowOff>
    </xdr:to>
    <xdr:graphicFrame macro="">
      <xdr:nvGraphicFramePr>
        <xdr:cNvPr id="6" name="Diagramm 5">
          <a:extLst>
            <a:ext uri="{FF2B5EF4-FFF2-40B4-BE49-F238E27FC236}">
              <a16:creationId xmlns:a16="http://schemas.microsoft.com/office/drawing/2014/main" id="{301C92EF-5ABB-43C6-813E-96E52A2050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704850</xdr:colOff>
      <xdr:row>30</xdr:row>
      <xdr:rowOff>185736</xdr:rowOff>
    </xdr:from>
    <xdr:to>
      <xdr:col>13</xdr:col>
      <xdr:colOff>609600</xdr:colOff>
      <xdr:row>39</xdr:row>
      <xdr:rowOff>161925</xdr:rowOff>
    </xdr:to>
    <xdr:graphicFrame macro="">
      <xdr:nvGraphicFramePr>
        <xdr:cNvPr id="8" name="Diagramm 7">
          <a:extLst>
            <a:ext uri="{FF2B5EF4-FFF2-40B4-BE49-F238E27FC236}">
              <a16:creationId xmlns:a16="http://schemas.microsoft.com/office/drawing/2014/main" id="{30FC4796-8816-4E00-AD1C-36F03A9165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752475</xdr:colOff>
      <xdr:row>30</xdr:row>
      <xdr:rowOff>171451</xdr:rowOff>
    </xdr:from>
    <xdr:to>
      <xdr:col>17</xdr:col>
      <xdr:colOff>28575</xdr:colOff>
      <xdr:row>38</xdr:row>
      <xdr:rowOff>57151</xdr:rowOff>
    </xdr:to>
    <xdr:graphicFrame macro="">
      <xdr:nvGraphicFramePr>
        <xdr:cNvPr id="9" name="Diagramm 8">
          <a:extLst>
            <a:ext uri="{FF2B5EF4-FFF2-40B4-BE49-F238E27FC236}">
              <a16:creationId xmlns:a16="http://schemas.microsoft.com/office/drawing/2014/main" id="{07478CBD-21F8-4C54-A4B9-423C3873E6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9525</xdr:colOff>
      <xdr:row>30</xdr:row>
      <xdr:rowOff>142875</xdr:rowOff>
    </xdr:from>
    <xdr:to>
      <xdr:col>19</xdr:col>
      <xdr:colOff>1</xdr:colOff>
      <xdr:row>38</xdr:row>
      <xdr:rowOff>38100</xdr:rowOff>
    </xdr:to>
    <xdr:graphicFrame macro="">
      <xdr:nvGraphicFramePr>
        <xdr:cNvPr id="10" name="Diagramm 9">
          <a:extLst>
            <a:ext uri="{FF2B5EF4-FFF2-40B4-BE49-F238E27FC236}">
              <a16:creationId xmlns:a16="http://schemas.microsoft.com/office/drawing/2014/main" id="{DC3F187C-455F-4982-B1AF-64F83F2805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19</xdr:col>
      <xdr:colOff>0</xdr:colOff>
      <xdr:row>30</xdr:row>
      <xdr:rowOff>142875</xdr:rowOff>
    </xdr:from>
    <xdr:to>
      <xdr:col>21</xdr:col>
      <xdr:colOff>28575</xdr:colOff>
      <xdr:row>38</xdr:row>
      <xdr:rowOff>57151</xdr:rowOff>
    </xdr:to>
    <xdr:graphicFrame macro="">
      <xdr:nvGraphicFramePr>
        <xdr:cNvPr id="11" name="Diagramm 10">
          <a:extLst>
            <a:ext uri="{FF2B5EF4-FFF2-40B4-BE49-F238E27FC236}">
              <a16:creationId xmlns:a16="http://schemas.microsoft.com/office/drawing/2014/main" id="{720BEC29-A61F-4818-A9C6-A800CA2EF6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21</xdr:col>
      <xdr:colOff>19050</xdr:colOff>
      <xdr:row>31</xdr:row>
      <xdr:rowOff>0</xdr:rowOff>
    </xdr:from>
    <xdr:to>
      <xdr:col>23</xdr:col>
      <xdr:colOff>47625</xdr:colOff>
      <xdr:row>38</xdr:row>
      <xdr:rowOff>47625</xdr:rowOff>
    </xdr:to>
    <xdr:graphicFrame macro="">
      <xdr:nvGraphicFramePr>
        <xdr:cNvPr id="12" name="Diagramm 11">
          <a:extLst>
            <a:ext uri="{FF2B5EF4-FFF2-40B4-BE49-F238E27FC236}">
              <a16:creationId xmlns:a16="http://schemas.microsoft.com/office/drawing/2014/main" id="{28E43C6E-35C9-485A-A58D-D8B977FD3D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23</xdr:col>
      <xdr:colOff>38100</xdr:colOff>
      <xdr:row>31</xdr:row>
      <xdr:rowOff>28576</xdr:rowOff>
    </xdr:from>
    <xdr:to>
      <xdr:col>25</xdr:col>
      <xdr:colOff>28575</xdr:colOff>
      <xdr:row>38</xdr:row>
      <xdr:rowOff>66676</xdr:rowOff>
    </xdr:to>
    <xdr:graphicFrame macro="">
      <xdr:nvGraphicFramePr>
        <xdr:cNvPr id="13" name="Diagramm 12">
          <a:extLst>
            <a:ext uri="{FF2B5EF4-FFF2-40B4-BE49-F238E27FC236}">
              <a16:creationId xmlns:a16="http://schemas.microsoft.com/office/drawing/2014/main" id="{41DCD132-C124-4570-8A6F-D4B93F85C6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28</xdr:col>
      <xdr:colOff>714375</xdr:colOff>
      <xdr:row>30</xdr:row>
      <xdr:rowOff>171450</xdr:rowOff>
    </xdr:from>
    <xdr:to>
      <xdr:col>30</xdr:col>
      <xdr:colOff>742950</xdr:colOff>
      <xdr:row>38</xdr:row>
      <xdr:rowOff>85726</xdr:rowOff>
    </xdr:to>
    <xdr:graphicFrame macro="">
      <xdr:nvGraphicFramePr>
        <xdr:cNvPr id="14" name="Diagramm 13">
          <a:extLst>
            <a:ext uri="{FF2B5EF4-FFF2-40B4-BE49-F238E27FC236}">
              <a16:creationId xmlns:a16="http://schemas.microsoft.com/office/drawing/2014/main" id="{D5334847-3D7C-4F10-9D22-7281026A14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31</xdr:col>
      <xdr:colOff>9525</xdr:colOff>
      <xdr:row>31</xdr:row>
      <xdr:rowOff>28581</xdr:rowOff>
    </xdr:from>
    <xdr:to>
      <xdr:col>33</xdr:col>
      <xdr:colOff>9525</xdr:colOff>
      <xdr:row>39</xdr:row>
      <xdr:rowOff>95250</xdr:rowOff>
    </xdr:to>
    <xdr:graphicFrame macro="">
      <xdr:nvGraphicFramePr>
        <xdr:cNvPr id="15" name="Diagramm 14">
          <a:extLst>
            <a:ext uri="{FF2B5EF4-FFF2-40B4-BE49-F238E27FC236}">
              <a16:creationId xmlns:a16="http://schemas.microsoft.com/office/drawing/2014/main" id="{A1CE7DF5-3D0D-4E5A-80A9-0F7338C768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32</xdr:col>
      <xdr:colOff>733425</xdr:colOff>
      <xdr:row>31</xdr:row>
      <xdr:rowOff>28576</xdr:rowOff>
    </xdr:from>
    <xdr:to>
      <xdr:col>35</xdr:col>
      <xdr:colOff>28575</xdr:colOff>
      <xdr:row>38</xdr:row>
      <xdr:rowOff>133350</xdr:rowOff>
    </xdr:to>
    <xdr:graphicFrame macro="">
      <xdr:nvGraphicFramePr>
        <xdr:cNvPr id="16" name="Diagramm 15">
          <a:extLst>
            <a:ext uri="{FF2B5EF4-FFF2-40B4-BE49-F238E27FC236}">
              <a16:creationId xmlns:a16="http://schemas.microsoft.com/office/drawing/2014/main" id="{3E6E12C3-D0B8-4A17-ACBE-DE57CCA1C5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35</xdr:col>
      <xdr:colOff>9525</xdr:colOff>
      <xdr:row>31</xdr:row>
      <xdr:rowOff>38100</xdr:rowOff>
    </xdr:from>
    <xdr:to>
      <xdr:col>37</xdr:col>
      <xdr:colOff>38100</xdr:colOff>
      <xdr:row>37</xdr:row>
      <xdr:rowOff>180976</xdr:rowOff>
    </xdr:to>
    <xdr:graphicFrame macro="">
      <xdr:nvGraphicFramePr>
        <xdr:cNvPr id="17" name="Diagramm 16">
          <a:extLst>
            <a:ext uri="{FF2B5EF4-FFF2-40B4-BE49-F238E27FC236}">
              <a16:creationId xmlns:a16="http://schemas.microsoft.com/office/drawing/2014/main" id="{0056F32E-AE25-4A47-9B3C-F4EC1B8E11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36</xdr:col>
      <xdr:colOff>752475</xdr:colOff>
      <xdr:row>31</xdr:row>
      <xdr:rowOff>9531</xdr:rowOff>
    </xdr:from>
    <xdr:to>
      <xdr:col>39</xdr:col>
      <xdr:colOff>76200</xdr:colOff>
      <xdr:row>37</xdr:row>
      <xdr:rowOff>76200</xdr:rowOff>
    </xdr:to>
    <xdr:graphicFrame macro="">
      <xdr:nvGraphicFramePr>
        <xdr:cNvPr id="18" name="Diagramm 17">
          <a:extLst>
            <a:ext uri="{FF2B5EF4-FFF2-40B4-BE49-F238E27FC236}">
              <a16:creationId xmlns:a16="http://schemas.microsoft.com/office/drawing/2014/main" id="{44F707C7-EEE2-4381-930F-A50F9BCA14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38</xdr:col>
      <xdr:colOff>723900</xdr:colOff>
      <xdr:row>31</xdr:row>
      <xdr:rowOff>23812</xdr:rowOff>
    </xdr:from>
    <xdr:to>
      <xdr:col>41</xdr:col>
      <xdr:colOff>0</xdr:colOff>
      <xdr:row>37</xdr:row>
      <xdr:rowOff>180975</xdr:rowOff>
    </xdr:to>
    <xdr:graphicFrame macro="">
      <xdr:nvGraphicFramePr>
        <xdr:cNvPr id="19" name="Diagramm 18">
          <a:extLst>
            <a:ext uri="{FF2B5EF4-FFF2-40B4-BE49-F238E27FC236}">
              <a16:creationId xmlns:a16="http://schemas.microsoft.com/office/drawing/2014/main" id="{230729CC-99E9-4024-993A-1F07C91B38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41</xdr:col>
      <xdr:colOff>19050</xdr:colOff>
      <xdr:row>31</xdr:row>
      <xdr:rowOff>19056</xdr:rowOff>
    </xdr:from>
    <xdr:to>
      <xdr:col>42</xdr:col>
      <xdr:colOff>685800</xdr:colOff>
      <xdr:row>38</xdr:row>
      <xdr:rowOff>38100</xdr:rowOff>
    </xdr:to>
    <xdr:graphicFrame macro="">
      <xdr:nvGraphicFramePr>
        <xdr:cNvPr id="20" name="Diagramm 19">
          <a:extLst>
            <a:ext uri="{FF2B5EF4-FFF2-40B4-BE49-F238E27FC236}">
              <a16:creationId xmlns:a16="http://schemas.microsoft.com/office/drawing/2014/main" id="{075A4BC6-DAE3-475E-9BFA-0C50A2E354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48</xdr:col>
      <xdr:colOff>733425</xdr:colOff>
      <xdr:row>30</xdr:row>
      <xdr:rowOff>9525</xdr:rowOff>
    </xdr:from>
    <xdr:to>
      <xdr:col>50</xdr:col>
      <xdr:colOff>742949</xdr:colOff>
      <xdr:row>38</xdr:row>
      <xdr:rowOff>142881</xdr:rowOff>
    </xdr:to>
    <xdr:graphicFrame macro="">
      <xdr:nvGraphicFramePr>
        <xdr:cNvPr id="21" name="Diagramm 20">
          <a:extLst>
            <a:ext uri="{FF2B5EF4-FFF2-40B4-BE49-F238E27FC236}">
              <a16:creationId xmlns:a16="http://schemas.microsoft.com/office/drawing/2014/main" id="{5493E60B-45F2-47C5-AC4F-401BDA8A02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64</xdr:col>
      <xdr:colOff>733425</xdr:colOff>
      <xdr:row>31</xdr:row>
      <xdr:rowOff>19056</xdr:rowOff>
    </xdr:from>
    <xdr:to>
      <xdr:col>67</xdr:col>
      <xdr:colOff>9525</xdr:colOff>
      <xdr:row>40</xdr:row>
      <xdr:rowOff>0</xdr:rowOff>
    </xdr:to>
    <xdr:graphicFrame macro="">
      <xdr:nvGraphicFramePr>
        <xdr:cNvPr id="22" name="Diagramm 21">
          <a:extLst>
            <a:ext uri="{FF2B5EF4-FFF2-40B4-BE49-F238E27FC236}">
              <a16:creationId xmlns:a16="http://schemas.microsoft.com/office/drawing/2014/main" id="{7F87EF8C-4958-4E53-B409-78883D47C8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67</xdr:col>
      <xdr:colOff>104775</xdr:colOff>
      <xdr:row>31</xdr:row>
      <xdr:rowOff>66682</xdr:rowOff>
    </xdr:from>
    <xdr:to>
      <xdr:col>68</xdr:col>
      <xdr:colOff>704850</xdr:colOff>
      <xdr:row>40</xdr:row>
      <xdr:rowOff>0</xdr:rowOff>
    </xdr:to>
    <xdr:graphicFrame macro="">
      <xdr:nvGraphicFramePr>
        <xdr:cNvPr id="23" name="Diagramm 22">
          <a:extLst>
            <a:ext uri="{FF2B5EF4-FFF2-40B4-BE49-F238E27FC236}">
              <a16:creationId xmlns:a16="http://schemas.microsoft.com/office/drawing/2014/main" id="{64117661-E156-452B-8594-1BB45705C4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68</xdr:col>
      <xdr:colOff>723900</xdr:colOff>
      <xdr:row>30</xdr:row>
      <xdr:rowOff>123831</xdr:rowOff>
    </xdr:from>
    <xdr:to>
      <xdr:col>71</xdr:col>
      <xdr:colOff>9525</xdr:colOff>
      <xdr:row>40</xdr:row>
      <xdr:rowOff>0</xdr:rowOff>
    </xdr:to>
    <xdr:graphicFrame macro="">
      <xdr:nvGraphicFramePr>
        <xdr:cNvPr id="24" name="Diagramm 23">
          <a:extLst>
            <a:ext uri="{FF2B5EF4-FFF2-40B4-BE49-F238E27FC236}">
              <a16:creationId xmlns:a16="http://schemas.microsoft.com/office/drawing/2014/main" id="{1D9CDBEB-4474-4E7E-B429-FDE7B27A97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71</xdr:col>
      <xdr:colOff>38100</xdr:colOff>
      <xdr:row>30</xdr:row>
      <xdr:rowOff>171456</xdr:rowOff>
    </xdr:from>
    <xdr:to>
      <xdr:col>73</xdr:col>
      <xdr:colOff>123825</xdr:colOff>
      <xdr:row>40</xdr:row>
      <xdr:rowOff>0</xdr:rowOff>
    </xdr:to>
    <xdr:graphicFrame macro="">
      <xdr:nvGraphicFramePr>
        <xdr:cNvPr id="25" name="Diagramm 24">
          <a:extLst>
            <a:ext uri="{FF2B5EF4-FFF2-40B4-BE49-F238E27FC236}">
              <a16:creationId xmlns:a16="http://schemas.microsoft.com/office/drawing/2014/main" id="{010AF101-AD22-44D4-AAC3-37EE7F188A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73</xdr:col>
      <xdr:colOff>9525</xdr:colOff>
      <xdr:row>31</xdr:row>
      <xdr:rowOff>19056</xdr:rowOff>
    </xdr:from>
    <xdr:to>
      <xdr:col>74</xdr:col>
      <xdr:colOff>752475</xdr:colOff>
      <xdr:row>40</xdr:row>
      <xdr:rowOff>0</xdr:rowOff>
    </xdr:to>
    <xdr:graphicFrame macro="">
      <xdr:nvGraphicFramePr>
        <xdr:cNvPr id="26" name="Diagramm 25">
          <a:extLst>
            <a:ext uri="{FF2B5EF4-FFF2-40B4-BE49-F238E27FC236}">
              <a16:creationId xmlns:a16="http://schemas.microsoft.com/office/drawing/2014/main" id="{D130B409-30C5-45DE-B9BE-9976B4FA2F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74</xdr:col>
      <xdr:colOff>742950</xdr:colOff>
      <xdr:row>31</xdr:row>
      <xdr:rowOff>6</xdr:rowOff>
    </xdr:from>
    <xdr:to>
      <xdr:col>76</xdr:col>
      <xdr:colOff>752475</xdr:colOff>
      <xdr:row>39</xdr:row>
      <xdr:rowOff>152400</xdr:rowOff>
    </xdr:to>
    <xdr:graphicFrame macro="">
      <xdr:nvGraphicFramePr>
        <xdr:cNvPr id="27" name="Diagramm 26">
          <a:extLst>
            <a:ext uri="{FF2B5EF4-FFF2-40B4-BE49-F238E27FC236}">
              <a16:creationId xmlns:a16="http://schemas.microsoft.com/office/drawing/2014/main" id="{8CC068C8-8DCA-4AF4-8DE6-6B2F22C1D3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76</xdr:col>
      <xdr:colOff>733425</xdr:colOff>
      <xdr:row>31</xdr:row>
      <xdr:rowOff>38106</xdr:rowOff>
    </xdr:from>
    <xdr:to>
      <xdr:col>79</xdr:col>
      <xdr:colOff>9525</xdr:colOff>
      <xdr:row>40</xdr:row>
      <xdr:rowOff>0</xdr:rowOff>
    </xdr:to>
    <xdr:graphicFrame macro="">
      <xdr:nvGraphicFramePr>
        <xdr:cNvPr id="28" name="Diagramm 27">
          <a:extLst>
            <a:ext uri="{FF2B5EF4-FFF2-40B4-BE49-F238E27FC236}">
              <a16:creationId xmlns:a16="http://schemas.microsoft.com/office/drawing/2014/main" id="{A419FCF5-980C-439A-9D28-2A88E184B4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10</xdr:col>
      <xdr:colOff>314325</xdr:colOff>
      <xdr:row>71</xdr:row>
      <xdr:rowOff>157162</xdr:rowOff>
    </xdr:from>
    <xdr:to>
      <xdr:col>16</xdr:col>
      <xdr:colOff>314325</xdr:colOff>
      <xdr:row>86</xdr:row>
      <xdr:rowOff>42862</xdr:rowOff>
    </xdr:to>
    <xdr:graphicFrame macro="">
      <xdr:nvGraphicFramePr>
        <xdr:cNvPr id="32" name="Diagramm 31">
          <a:extLst>
            <a:ext uri="{FF2B5EF4-FFF2-40B4-BE49-F238E27FC236}">
              <a16:creationId xmlns:a16="http://schemas.microsoft.com/office/drawing/2014/main" id="{84CAC7C8-B5CE-4E47-9C36-4B041E7786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49</xdr:col>
      <xdr:colOff>167368</xdr:colOff>
      <xdr:row>18</xdr:row>
      <xdr:rowOff>10204</xdr:rowOff>
    </xdr:from>
    <xdr:to>
      <xdr:col>55</xdr:col>
      <xdr:colOff>167368</xdr:colOff>
      <xdr:row>32</xdr:row>
      <xdr:rowOff>86404</xdr:rowOff>
    </xdr:to>
    <xdr:graphicFrame macro="">
      <xdr:nvGraphicFramePr>
        <xdr:cNvPr id="3" name="Diagramm 2">
          <a:extLst>
            <a:ext uri="{FF2B5EF4-FFF2-40B4-BE49-F238E27FC236}">
              <a16:creationId xmlns:a16="http://schemas.microsoft.com/office/drawing/2014/main" id="{68B95FEC-CE36-4AA9-BE97-DEB4B0CBDA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49</xdr:col>
      <xdr:colOff>639844</xdr:colOff>
      <xdr:row>2</xdr:row>
      <xdr:rowOff>134839</xdr:rowOff>
    </xdr:from>
    <xdr:to>
      <xdr:col>64</xdr:col>
      <xdr:colOff>188258</xdr:colOff>
      <xdr:row>35</xdr:row>
      <xdr:rowOff>142476</xdr:rowOff>
    </xdr:to>
    <xdr:grpSp>
      <xdr:nvGrpSpPr>
        <xdr:cNvPr id="2" name="Gruppieren 1">
          <a:extLst>
            <a:ext uri="{FF2B5EF4-FFF2-40B4-BE49-F238E27FC236}">
              <a16:creationId xmlns:a16="http://schemas.microsoft.com/office/drawing/2014/main" id="{1F09E0E6-EBC4-42AD-9C92-3DF4B0E91C5B}"/>
            </a:ext>
          </a:extLst>
        </xdr:cNvPr>
        <xdr:cNvGrpSpPr/>
      </xdr:nvGrpSpPr>
      <xdr:grpSpPr>
        <a:xfrm>
          <a:off x="37977844" y="515839"/>
          <a:ext cx="10978414" cy="6294137"/>
          <a:chOff x="14624786" y="8494427"/>
          <a:chExt cx="10978414" cy="6294137"/>
        </a:xfrm>
      </xdr:grpSpPr>
      <xdr:graphicFrame macro="">
        <xdr:nvGraphicFramePr>
          <xdr:cNvPr id="4" name="Diagramm 3">
            <a:extLst>
              <a:ext uri="{FF2B5EF4-FFF2-40B4-BE49-F238E27FC236}">
                <a16:creationId xmlns:a16="http://schemas.microsoft.com/office/drawing/2014/main" id="{E4BFD352-5909-4018-A4BE-CE2C892CCC49}"/>
              </a:ext>
            </a:extLst>
          </xdr:cNvPr>
          <xdr:cNvGraphicFramePr/>
        </xdr:nvGraphicFramePr>
        <xdr:xfrm>
          <a:off x="14624786" y="8494427"/>
          <a:ext cx="2252323" cy="6283779"/>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5" name="Diagramm 4">
            <a:extLst>
              <a:ext uri="{FF2B5EF4-FFF2-40B4-BE49-F238E27FC236}">
                <a16:creationId xmlns:a16="http://schemas.microsoft.com/office/drawing/2014/main" id="{009A312F-5B20-4822-B881-54B9436A3262}"/>
              </a:ext>
            </a:extLst>
          </xdr:cNvPr>
          <xdr:cNvGraphicFramePr>
            <a:graphicFrameLocks/>
          </xdr:cNvGraphicFramePr>
        </xdr:nvGraphicFramePr>
        <xdr:xfrm>
          <a:off x="16859251" y="8504785"/>
          <a:ext cx="8743949" cy="6283779"/>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48</xdr:col>
      <xdr:colOff>690570</xdr:colOff>
      <xdr:row>40</xdr:row>
      <xdr:rowOff>95256</xdr:rowOff>
    </xdr:from>
    <xdr:to>
      <xdr:col>61</xdr:col>
      <xdr:colOff>595312</xdr:colOff>
      <xdr:row>76</xdr:row>
      <xdr:rowOff>23811</xdr:rowOff>
    </xdr:to>
    <xdr:graphicFrame macro="">
      <xdr:nvGraphicFramePr>
        <xdr:cNvPr id="3" name="Diagramm 2">
          <a:extLst>
            <a:ext uri="{FF2B5EF4-FFF2-40B4-BE49-F238E27FC236}">
              <a16:creationId xmlns:a16="http://schemas.microsoft.com/office/drawing/2014/main" id="{21DD92C6-FCE9-403F-8109-980C1E0976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0.88577</cdr:x>
      <cdr:y>0.02382</cdr:y>
    </cdr:from>
    <cdr:to>
      <cdr:x>1</cdr:x>
      <cdr:y>0.9463</cdr:y>
    </cdr:to>
    <cdr:grpSp>
      <cdr:nvGrpSpPr>
        <cdr:cNvPr id="23" name="Gruppieren 22">
          <a:extLst xmlns:a="http://schemas.openxmlformats.org/drawingml/2006/main">
            <a:ext uri="{FF2B5EF4-FFF2-40B4-BE49-F238E27FC236}">
              <a16:creationId xmlns:a16="http://schemas.microsoft.com/office/drawing/2014/main" id="{D799FECA-CC5E-4CF3-9A6D-3433FF0D7BC4}"/>
            </a:ext>
          </a:extLst>
        </cdr:cNvPr>
        <cdr:cNvGrpSpPr/>
      </cdr:nvGrpSpPr>
      <cdr:grpSpPr>
        <a:xfrm xmlns:a="http://schemas.openxmlformats.org/drawingml/2006/main">
          <a:off x="7745128" y="149680"/>
          <a:ext cx="998821" cy="5796660"/>
          <a:chOff x="8036692" y="149678"/>
          <a:chExt cx="1135883" cy="5810250"/>
        </a:xfrm>
      </cdr:grpSpPr>
      <cdr:grpSp>
        <cdr:nvGrpSpPr>
          <cdr:cNvPr id="5" name="Gruppieren 4">
            <a:extLst xmlns:a="http://schemas.openxmlformats.org/drawingml/2006/main">
              <a:ext uri="{FF2B5EF4-FFF2-40B4-BE49-F238E27FC236}">
                <a16:creationId xmlns:a16="http://schemas.microsoft.com/office/drawing/2014/main" id="{6833924B-237E-424E-8F36-FB0B4DAFEE9B}"/>
              </a:ext>
            </a:extLst>
          </cdr:cNvPr>
          <cdr:cNvGrpSpPr/>
        </cdr:nvGrpSpPr>
        <cdr:grpSpPr>
          <a:xfrm xmlns:a="http://schemas.openxmlformats.org/drawingml/2006/main">
            <a:off x="8036692" y="196655"/>
            <a:ext cx="1135883" cy="1491366"/>
            <a:chOff x="0" y="6"/>
            <a:chExt cx="2527679" cy="1612938"/>
          </a:xfrm>
        </cdr:grpSpPr>
        <cdr:sp macro="" textlink="">
          <cdr:nvSpPr>
            <cdr:cNvPr id="7" name="Rechteck 6">
              <a:extLst xmlns:a="http://schemas.openxmlformats.org/drawingml/2006/main">
                <a:ext uri="{FF2B5EF4-FFF2-40B4-BE49-F238E27FC236}">
                  <a16:creationId xmlns:a16="http://schemas.microsoft.com/office/drawing/2014/main" id="{9BC3BD12-222D-4247-BD1E-7B59F663D850}"/>
                </a:ext>
              </a:extLst>
            </cdr:cNvPr>
            <cdr:cNvSpPr/>
          </cdr:nvSpPr>
          <cdr:spPr>
            <a:xfrm xmlns:a="http://schemas.openxmlformats.org/drawingml/2006/main">
              <a:off x="0" y="40"/>
              <a:ext cx="2333180" cy="1095374"/>
            </a:xfrm>
            <a:prstGeom xmlns:a="http://schemas.openxmlformats.org/drawingml/2006/main" prst="rect">
              <a:avLst/>
            </a:prstGeom>
            <a:noFill xmlns:a="http://schemas.openxmlformats.org/drawingml/2006/main"/>
            <a:ln xmlns:a="http://schemas.openxmlformats.org/drawingml/2006/main" w="9525">
              <a:solidFill>
                <a:schemeClr val="bg1"/>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a:p>
          </cdr:txBody>
        </cdr:sp>
        <cdr:sp macro="" textlink="">
          <cdr:nvSpPr>
            <cdr:cNvPr id="8" name="Rechteck 7">
              <a:extLst xmlns:a="http://schemas.openxmlformats.org/drawingml/2006/main">
                <a:ext uri="{FF2B5EF4-FFF2-40B4-BE49-F238E27FC236}">
                  <a16:creationId xmlns:a16="http://schemas.microsoft.com/office/drawing/2014/main" id="{7C0B6FF2-8607-4429-A22D-FF22241D8997}"/>
                </a:ext>
              </a:extLst>
            </cdr:cNvPr>
            <cdr:cNvSpPr/>
          </cdr:nvSpPr>
          <cdr:spPr>
            <a:xfrm xmlns:a="http://schemas.openxmlformats.org/drawingml/2006/main">
              <a:off x="158193" y="415069"/>
              <a:ext cx="158193" cy="404819"/>
            </a:xfrm>
            <a:prstGeom xmlns:a="http://schemas.openxmlformats.org/drawingml/2006/main" prst="rect">
              <a:avLst/>
            </a:prstGeom>
            <a:ln xmlns:a="http://schemas.openxmlformats.org/drawingml/2006/main">
              <a:solidFill>
                <a:schemeClr val="dk1"/>
              </a:solidFill>
            </a:ln>
          </cdr:spPr>
          <cdr:style>
            <a:lnRef xmlns:a="http://schemas.openxmlformats.org/drawingml/2006/main" idx="2">
              <a:schemeClr val="dk1">
                <a:shade val="50000"/>
              </a:schemeClr>
            </a:lnRef>
            <a:fillRef xmlns:a="http://schemas.openxmlformats.org/drawingml/2006/main" idx="1">
              <a:schemeClr val="dk1"/>
            </a:fillRef>
            <a:effectRef xmlns:a="http://schemas.openxmlformats.org/drawingml/2006/main" idx="0">
              <a:schemeClr val="dk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a:p>
          </cdr:txBody>
        </cdr:sp>
        <cdr:sp macro="" textlink="">
          <cdr:nvSpPr>
            <cdr:cNvPr id="9" name="Rechteck 8">
              <a:extLst xmlns:a="http://schemas.openxmlformats.org/drawingml/2006/main">
                <a:ext uri="{FF2B5EF4-FFF2-40B4-BE49-F238E27FC236}">
                  <a16:creationId xmlns:a16="http://schemas.microsoft.com/office/drawing/2014/main" id="{6D393739-3BD4-45EB-88EC-746CEA83136A}"/>
                </a:ext>
              </a:extLst>
            </cdr:cNvPr>
            <cdr:cNvSpPr/>
          </cdr:nvSpPr>
          <cdr:spPr>
            <a:xfrm xmlns:a="http://schemas.openxmlformats.org/drawingml/2006/main">
              <a:off x="165304" y="1208125"/>
              <a:ext cx="158193" cy="404819"/>
            </a:xfrm>
            <a:prstGeom xmlns:a="http://schemas.openxmlformats.org/drawingml/2006/main" prst="rect">
              <a:avLst/>
            </a:prstGeom>
            <a:pattFill xmlns:a="http://schemas.openxmlformats.org/drawingml/2006/main" prst="wdUpDiag">
              <a:fgClr>
                <a:schemeClr val="accent4"/>
              </a:fgClr>
              <a:bgClr>
                <a:schemeClr val="bg1"/>
              </a:bgClr>
            </a:pattFill>
            <a:ln xmlns:a="http://schemas.openxmlformats.org/drawingml/2006/main">
              <a:solidFill>
                <a:schemeClr val="dk1"/>
              </a:solidFill>
            </a:ln>
          </cdr:spPr>
          <cdr:style>
            <a:lnRef xmlns:a="http://schemas.openxmlformats.org/drawingml/2006/main" idx="2">
              <a:schemeClr val="dk1">
                <a:shade val="50000"/>
              </a:schemeClr>
            </a:lnRef>
            <a:fillRef xmlns:a="http://schemas.openxmlformats.org/drawingml/2006/main" idx="1">
              <a:schemeClr val="dk1"/>
            </a:fillRef>
            <a:effectRef xmlns:a="http://schemas.openxmlformats.org/drawingml/2006/main" idx="0">
              <a:schemeClr val="dk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a:p>
          </cdr:txBody>
        </cdr:sp>
        <cdr:grpSp>
          <cdr:nvGrpSpPr>
            <cdr:cNvPr id="10" name="Gruppieren 9">
              <a:extLst xmlns:a="http://schemas.openxmlformats.org/drawingml/2006/main">
                <a:ext uri="{FF2B5EF4-FFF2-40B4-BE49-F238E27FC236}">
                  <a16:creationId xmlns:a16="http://schemas.microsoft.com/office/drawing/2014/main" id="{C7A3AC56-81CA-4CFC-9BF5-58B14A4E7ABD}"/>
                </a:ext>
              </a:extLst>
            </cdr:cNvPr>
            <cdr:cNvGrpSpPr/>
          </cdr:nvGrpSpPr>
          <cdr:grpSpPr>
            <a:xfrm xmlns:a="http://schemas.openxmlformats.org/drawingml/2006/main">
              <a:off x="0" y="6"/>
              <a:ext cx="0" cy="0"/>
              <a:chOff x="0" y="0"/>
              <a:chExt cx="0" cy="0"/>
            </a:xfrm>
          </cdr:grpSpPr>
        </cdr:grpSp>
        <cdr:grpSp>
          <cdr:nvGrpSpPr>
            <cdr:cNvPr id="11" name="Gruppieren 10">
              <a:extLst xmlns:a="http://schemas.openxmlformats.org/drawingml/2006/main">
                <a:ext uri="{FF2B5EF4-FFF2-40B4-BE49-F238E27FC236}">
                  <a16:creationId xmlns:a16="http://schemas.microsoft.com/office/drawing/2014/main" id="{6C0C05A9-7B7C-44A8-BC8B-D881DD9B2651}"/>
                </a:ext>
              </a:extLst>
            </cdr:cNvPr>
            <cdr:cNvGrpSpPr/>
          </cdr:nvGrpSpPr>
          <cdr:grpSpPr>
            <a:xfrm xmlns:a="http://schemas.openxmlformats.org/drawingml/2006/main">
              <a:off x="85076" y="1571775"/>
              <a:ext cx="0" cy="0"/>
              <a:chOff x="85076" y="1571775"/>
              <a:chExt cx="0" cy="0"/>
            </a:xfrm>
          </cdr:grpSpPr>
        </cdr:grpSp>
        <cdr:sp macro="" textlink="">
          <cdr:nvSpPr>
            <cdr:cNvPr id="12" name="Textfeld 11">
              <a:extLst xmlns:a="http://schemas.openxmlformats.org/drawingml/2006/main">
                <a:ext uri="{FF2B5EF4-FFF2-40B4-BE49-F238E27FC236}">
                  <a16:creationId xmlns:a16="http://schemas.microsoft.com/office/drawing/2014/main" id="{2C474D49-9549-4CFA-A1EE-DA43E0873764}"/>
                </a:ext>
              </a:extLst>
            </cdr:cNvPr>
            <cdr:cNvSpPr txBox="1"/>
          </cdr:nvSpPr>
          <cdr:spPr>
            <a:xfrm xmlns:a="http://schemas.openxmlformats.org/drawingml/2006/main">
              <a:off x="360876" y="426971"/>
              <a:ext cx="1952599" cy="581807"/>
            </a:xfrm>
            <a:prstGeom xmlns:a="http://schemas.openxmlformats.org/drawingml/2006/main" prst="rect">
              <a:avLst/>
            </a:prstGeom>
            <a:ln xmlns:a="http://schemas.openxmlformats.org/drawingml/2006/main">
              <a:noFill/>
            </a:ln>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200">
                  <a:latin typeface="Times New Roman" panose="02020603050405020304" pitchFamily="18" charset="0"/>
                  <a:cs typeface="Times New Roman" panose="02020603050405020304" pitchFamily="18" charset="0"/>
                </a:rPr>
                <a:t>linear PFAAs</a:t>
              </a:r>
            </a:p>
          </cdr:txBody>
        </cdr:sp>
        <cdr:sp macro="" textlink="">
          <cdr:nvSpPr>
            <cdr:cNvPr id="15" name="Textfeld 1">
              <a:extLst xmlns:a="http://schemas.openxmlformats.org/drawingml/2006/main">
                <a:ext uri="{FF2B5EF4-FFF2-40B4-BE49-F238E27FC236}">
                  <a16:creationId xmlns:a16="http://schemas.microsoft.com/office/drawing/2014/main" id="{5293B239-92BA-4C22-8054-EEB4C8CAB0F0}"/>
                </a:ext>
              </a:extLst>
            </cdr:cNvPr>
            <cdr:cNvSpPr txBox="1"/>
          </cdr:nvSpPr>
          <cdr:spPr>
            <a:xfrm xmlns:a="http://schemas.openxmlformats.org/drawingml/2006/main">
              <a:off x="392319" y="1213227"/>
              <a:ext cx="2135360" cy="340055"/>
            </a:xfrm>
            <a:prstGeom xmlns:a="http://schemas.openxmlformats.org/drawingml/2006/main" prst="rect">
              <a:avLst/>
            </a:prstGeom>
            <a:ln xmlns:a="http://schemas.openxmlformats.org/drawingml/2006/main">
              <a:noFill/>
            </a:ln>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200">
                  <a:latin typeface="Times New Roman" panose="02020603050405020304" pitchFamily="18" charset="0"/>
                  <a:cs typeface="Times New Roman" panose="02020603050405020304" pitchFamily="18" charset="0"/>
                </a:rPr>
                <a:t>branched PFAAs</a:t>
              </a:r>
            </a:p>
          </cdr:txBody>
        </cdr:sp>
      </cdr:grpSp>
      <cdr:sp macro="" textlink="">
        <cdr:nvSpPr>
          <cdr:cNvPr id="6" name="Rechteck 5">
            <a:extLst xmlns:a="http://schemas.openxmlformats.org/drawingml/2006/main">
              <a:ext uri="{FF2B5EF4-FFF2-40B4-BE49-F238E27FC236}">
                <a16:creationId xmlns:a16="http://schemas.microsoft.com/office/drawing/2014/main" id="{BB12890D-FD9A-41E9-9F3F-CBFA3DEDC851}"/>
              </a:ext>
            </a:extLst>
          </cdr:cNvPr>
          <cdr:cNvSpPr/>
        </cdr:nvSpPr>
        <cdr:spPr>
          <a:xfrm xmlns:a="http://schemas.openxmlformats.org/drawingml/2006/main">
            <a:off x="8038355" y="149678"/>
            <a:ext cx="1008123" cy="5810250"/>
          </a:xfrm>
          <a:prstGeom xmlns:a="http://schemas.openxmlformats.org/drawingml/2006/main" prst="rect">
            <a:avLst/>
          </a:prstGeom>
          <a:noFill xmlns:a="http://schemas.openxmlformats.org/drawingml/2006/main"/>
          <a:ln xmlns:a="http://schemas.openxmlformats.org/drawingml/2006/main" w="9525">
            <a:solidFill>
              <a:schemeClr val="dk1"/>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a:p>
        </cdr:txBody>
      </cdr:sp>
      <cdr:cxnSp macro="">
        <cdr:nvCxnSpPr>
          <cdr:cNvPr id="4" name="Gerader Verbinder 3">
            <a:extLst xmlns:a="http://schemas.openxmlformats.org/drawingml/2006/main">
              <a:ext uri="{FF2B5EF4-FFF2-40B4-BE49-F238E27FC236}">
                <a16:creationId xmlns:a16="http://schemas.microsoft.com/office/drawing/2014/main" id="{82B2B5F6-1F1E-4188-A6B1-7C146832D81C}"/>
              </a:ext>
            </a:extLst>
          </cdr:cNvPr>
          <cdr:cNvCxnSpPr/>
        </cdr:nvCxnSpPr>
        <cdr:spPr>
          <a:xfrm xmlns:a="http://schemas.openxmlformats.org/drawingml/2006/main" flipV="1">
            <a:off x="8040838" y="2603046"/>
            <a:ext cx="1008913" cy="3380"/>
          </a:xfrm>
          <a:prstGeom xmlns:a="http://schemas.openxmlformats.org/drawingml/2006/main" prst="line">
            <a:avLst/>
          </a:prstGeom>
        </cdr:spPr>
        <cdr:style>
          <a:lnRef xmlns:a="http://schemas.openxmlformats.org/drawingml/2006/main" idx="1">
            <a:schemeClr val="dk1"/>
          </a:lnRef>
          <a:fillRef xmlns:a="http://schemas.openxmlformats.org/drawingml/2006/main" idx="0">
            <a:schemeClr val="dk1"/>
          </a:fillRef>
          <a:effectRef xmlns:a="http://schemas.openxmlformats.org/drawingml/2006/main" idx="0">
            <a:schemeClr val="dk1"/>
          </a:effectRef>
          <a:fontRef xmlns:a="http://schemas.openxmlformats.org/drawingml/2006/main" idx="minor">
            <a:schemeClr val="tx1"/>
          </a:fontRef>
        </cdr:style>
      </cdr:cxnSp>
    </cdr:grpSp>
  </cdr:relSizeAnchor>
</c:userShapes>
</file>

<file path=xl/drawings/drawing8.xml><?xml version="1.0" encoding="utf-8"?>
<xdr:wsDr xmlns:xdr="http://schemas.openxmlformats.org/drawingml/2006/spreadsheetDrawing" xmlns:a="http://schemas.openxmlformats.org/drawingml/2006/main">
  <xdr:twoCellAnchor>
    <xdr:from>
      <xdr:col>41</xdr:col>
      <xdr:colOff>752475</xdr:colOff>
      <xdr:row>30</xdr:row>
      <xdr:rowOff>14287</xdr:rowOff>
    </xdr:from>
    <xdr:to>
      <xdr:col>47</xdr:col>
      <xdr:colOff>752475</xdr:colOff>
      <xdr:row>44</xdr:row>
      <xdr:rowOff>90487</xdr:rowOff>
    </xdr:to>
    <xdr:graphicFrame macro="">
      <xdr:nvGraphicFramePr>
        <xdr:cNvPr id="2" name="Diagramm 1">
          <a:extLst>
            <a:ext uri="{FF2B5EF4-FFF2-40B4-BE49-F238E27FC236}">
              <a16:creationId xmlns:a16="http://schemas.microsoft.com/office/drawing/2014/main" id="{12C9E882-721F-41C0-8E92-B58FEE19B5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32</xdr:col>
      <xdr:colOff>485775</xdr:colOff>
      <xdr:row>47</xdr:row>
      <xdr:rowOff>23812</xdr:rowOff>
    </xdr:from>
    <xdr:to>
      <xdr:col>38</xdr:col>
      <xdr:colOff>485775</xdr:colOff>
      <xdr:row>61</xdr:row>
      <xdr:rowOff>100012</xdr:rowOff>
    </xdr:to>
    <xdr:graphicFrame macro="">
      <xdr:nvGraphicFramePr>
        <xdr:cNvPr id="4" name="Diagramm 3">
          <a:extLst>
            <a:ext uri="{FF2B5EF4-FFF2-40B4-BE49-F238E27FC236}">
              <a16:creationId xmlns:a16="http://schemas.microsoft.com/office/drawing/2014/main" id="{ACF5350E-67DA-474D-AC53-FD5F9A0342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48</xdr:col>
      <xdr:colOff>95249</xdr:colOff>
      <xdr:row>11</xdr:row>
      <xdr:rowOff>119062</xdr:rowOff>
    </xdr:from>
    <xdr:to>
      <xdr:col>59</xdr:col>
      <xdr:colOff>173490</xdr:colOff>
      <xdr:row>38</xdr:row>
      <xdr:rowOff>138112</xdr:rowOff>
    </xdr:to>
    <xdr:graphicFrame macro="">
      <xdr:nvGraphicFramePr>
        <xdr:cNvPr id="2" name="Diagramm 1">
          <a:extLst>
            <a:ext uri="{FF2B5EF4-FFF2-40B4-BE49-F238E27FC236}">
              <a16:creationId xmlns:a16="http://schemas.microsoft.com/office/drawing/2014/main" id="{D25754E1-C270-48BF-824A-AA66298972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48</xdr:col>
      <xdr:colOff>123825</xdr:colOff>
      <xdr:row>57</xdr:row>
      <xdr:rowOff>123824</xdr:rowOff>
    </xdr:from>
    <xdr:to>
      <xdr:col>56</xdr:col>
      <xdr:colOff>696123</xdr:colOff>
      <xdr:row>77</xdr:row>
      <xdr:rowOff>109329</xdr:rowOff>
    </xdr:to>
    <xdr:graphicFrame macro="">
      <xdr:nvGraphicFramePr>
        <xdr:cNvPr id="3" name="Diagramm 2">
          <a:extLst>
            <a:ext uri="{FF2B5EF4-FFF2-40B4-BE49-F238E27FC236}">
              <a16:creationId xmlns:a16="http://schemas.microsoft.com/office/drawing/2014/main" id="{74C4FCBD-00CF-4BE0-8383-0A97B3D685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672359</xdr:colOff>
      <xdr:row>7</xdr:row>
      <xdr:rowOff>156888</xdr:rowOff>
    </xdr:from>
    <xdr:to>
      <xdr:col>22</xdr:col>
      <xdr:colOff>100852</xdr:colOff>
      <xdr:row>40</xdr:row>
      <xdr:rowOff>11205</xdr:rowOff>
    </xdr:to>
    <xdr:graphicFrame macro="">
      <xdr:nvGraphicFramePr>
        <xdr:cNvPr id="4" name="Diagramm 3">
          <a:extLst>
            <a:ext uri="{FF2B5EF4-FFF2-40B4-BE49-F238E27FC236}">
              <a16:creationId xmlns:a16="http://schemas.microsoft.com/office/drawing/2014/main" id="{86817DCF-AC0F-4381-A989-EB8125C1D5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6</xdr:col>
      <xdr:colOff>62119</xdr:colOff>
      <xdr:row>86</xdr:row>
      <xdr:rowOff>28161</xdr:rowOff>
    </xdr:from>
    <xdr:to>
      <xdr:col>12</xdr:col>
      <xdr:colOff>62119</xdr:colOff>
      <xdr:row>100</xdr:row>
      <xdr:rowOff>104361</xdr:rowOff>
    </xdr:to>
    <xdr:graphicFrame macro="">
      <xdr:nvGraphicFramePr>
        <xdr:cNvPr id="3" name="Diagramm 2">
          <a:extLst>
            <a:ext uri="{FF2B5EF4-FFF2-40B4-BE49-F238E27FC236}">
              <a16:creationId xmlns:a16="http://schemas.microsoft.com/office/drawing/2014/main" id="{613B0F32-C80E-4826-9ADE-9713F26411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33336</xdr:colOff>
      <xdr:row>47</xdr:row>
      <xdr:rowOff>71437</xdr:rowOff>
    </xdr:from>
    <xdr:to>
      <xdr:col>17</xdr:col>
      <xdr:colOff>628649</xdr:colOff>
      <xdr:row>68</xdr:row>
      <xdr:rowOff>66675</xdr:rowOff>
    </xdr:to>
    <xdr:graphicFrame macro="">
      <xdr:nvGraphicFramePr>
        <xdr:cNvPr id="2" name="Diagramm 1">
          <a:extLst>
            <a:ext uri="{FF2B5EF4-FFF2-40B4-BE49-F238E27FC236}">
              <a16:creationId xmlns:a16="http://schemas.microsoft.com/office/drawing/2014/main" id="{AEE3340D-26D7-4D4F-9DF8-7571C44C46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12</xdr:col>
      <xdr:colOff>57977</xdr:colOff>
      <xdr:row>13</xdr:row>
      <xdr:rowOff>127552</xdr:rowOff>
    </xdr:from>
    <xdr:to>
      <xdr:col>19</xdr:col>
      <xdr:colOff>670890</xdr:colOff>
      <xdr:row>31</xdr:row>
      <xdr:rowOff>182218</xdr:rowOff>
    </xdr:to>
    <xdr:graphicFrame macro="">
      <xdr:nvGraphicFramePr>
        <xdr:cNvPr id="2" name="Diagramm 1">
          <a:extLst>
            <a:ext uri="{FF2B5EF4-FFF2-40B4-BE49-F238E27FC236}">
              <a16:creationId xmlns:a16="http://schemas.microsoft.com/office/drawing/2014/main" id="{5467D3E2-86D8-4997-8C79-52F08C90FB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0</xdr:colOff>
      <xdr:row>14</xdr:row>
      <xdr:rowOff>0</xdr:rowOff>
    </xdr:from>
    <xdr:to>
      <xdr:col>28</xdr:col>
      <xdr:colOff>612913</xdr:colOff>
      <xdr:row>32</xdr:row>
      <xdr:rowOff>54666</xdr:rowOff>
    </xdr:to>
    <xdr:graphicFrame macro="">
      <xdr:nvGraphicFramePr>
        <xdr:cNvPr id="3" name="Diagramm 2">
          <a:extLst>
            <a:ext uri="{FF2B5EF4-FFF2-40B4-BE49-F238E27FC236}">
              <a16:creationId xmlns:a16="http://schemas.microsoft.com/office/drawing/2014/main" id="{882F6511-56B9-4BB4-8AC6-87A987DB7D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74542</xdr:colOff>
      <xdr:row>33</xdr:row>
      <xdr:rowOff>94422</xdr:rowOff>
    </xdr:from>
    <xdr:to>
      <xdr:col>28</xdr:col>
      <xdr:colOff>323021</xdr:colOff>
      <xdr:row>47</xdr:row>
      <xdr:rowOff>170622</xdr:rowOff>
    </xdr:to>
    <xdr:graphicFrame macro="">
      <xdr:nvGraphicFramePr>
        <xdr:cNvPr id="5" name="Diagramm 4">
          <a:extLst>
            <a:ext uri="{FF2B5EF4-FFF2-40B4-BE49-F238E27FC236}">
              <a16:creationId xmlns:a16="http://schemas.microsoft.com/office/drawing/2014/main" id="{D965DF23-1604-4485-AEFA-799D9EEE19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6</xdr:col>
      <xdr:colOff>733507</xdr:colOff>
      <xdr:row>43</xdr:row>
      <xdr:rowOff>3203</xdr:rowOff>
    </xdr:from>
    <xdr:to>
      <xdr:col>18</xdr:col>
      <xdr:colOff>744311</xdr:colOff>
      <xdr:row>71</xdr:row>
      <xdr:rowOff>155603</xdr:rowOff>
    </xdr:to>
    <xdr:grpSp>
      <xdr:nvGrpSpPr>
        <xdr:cNvPr id="3" name="Gruppieren 2">
          <a:extLst>
            <a:ext uri="{FF2B5EF4-FFF2-40B4-BE49-F238E27FC236}">
              <a16:creationId xmlns:a16="http://schemas.microsoft.com/office/drawing/2014/main" id="{22EF98D7-82B0-4CAE-A738-C30AFD0ADD34}"/>
            </a:ext>
          </a:extLst>
        </xdr:cNvPr>
        <xdr:cNvGrpSpPr/>
      </xdr:nvGrpSpPr>
      <xdr:grpSpPr>
        <a:xfrm>
          <a:off x="5305507" y="8194703"/>
          <a:ext cx="9154804" cy="5486400"/>
          <a:chOff x="35814000" y="6286500"/>
          <a:chExt cx="9153525" cy="5486400"/>
        </a:xfrm>
      </xdr:grpSpPr>
      <xdr:grpSp>
        <xdr:nvGrpSpPr>
          <xdr:cNvPr id="21" name="Gruppieren 20">
            <a:extLst>
              <a:ext uri="{FF2B5EF4-FFF2-40B4-BE49-F238E27FC236}">
                <a16:creationId xmlns:a16="http://schemas.microsoft.com/office/drawing/2014/main" id="{C8159ACA-F7A3-47BC-B20B-3B0DBDC73D03}"/>
              </a:ext>
            </a:extLst>
          </xdr:cNvPr>
          <xdr:cNvGrpSpPr/>
        </xdr:nvGrpSpPr>
        <xdr:grpSpPr>
          <a:xfrm>
            <a:off x="35814000" y="6286500"/>
            <a:ext cx="9153525" cy="5486400"/>
            <a:chOff x="35814000" y="6286500"/>
            <a:chExt cx="9153525" cy="5486400"/>
          </a:xfrm>
        </xdr:grpSpPr>
        <xdr:graphicFrame macro="">
          <xdr:nvGraphicFramePr>
            <xdr:cNvPr id="2" name="Diagramm 1">
              <a:extLst>
                <a:ext uri="{FF2B5EF4-FFF2-40B4-BE49-F238E27FC236}">
                  <a16:creationId xmlns:a16="http://schemas.microsoft.com/office/drawing/2014/main" id="{2E77CCAF-DE23-4BA5-B786-A840E40E4FC5}"/>
                </a:ext>
              </a:extLst>
            </xdr:cNvPr>
            <xdr:cNvGraphicFramePr/>
          </xdr:nvGraphicFramePr>
          <xdr:xfrm>
            <a:off x="40386000" y="6286500"/>
            <a:ext cx="4572000" cy="274320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10" name="Diagramm 9">
              <a:extLst>
                <a:ext uri="{FF2B5EF4-FFF2-40B4-BE49-F238E27FC236}">
                  <a16:creationId xmlns:a16="http://schemas.microsoft.com/office/drawing/2014/main" id="{8321A520-0943-4C46-BEDD-79B3CA2F6945}"/>
                </a:ext>
              </a:extLst>
            </xdr:cNvPr>
            <xdr:cNvGraphicFramePr>
              <a:graphicFrameLocks/>
            </xdr:cNvGraphicFramePr>
          </xdr:nvGraphicFramePr>
          <xdr:xfrm>
            <a:off x="35814000" y="6286500"/>
            <a:ext cx="4572000" cy="274320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11" name="Diagramm 10">
              <a:extLst>
                <a:ext uri="{FF2B5EF4-FFF2-40B4-BE49-F238E27FC236}">
                  <a16:creationId xmlns:a16="http://schemas.microsoft.com/office/drawing/2014/main" id="{61957313-4159-4F82-A36A-3831D7676D43}"/>
                </a:ext>
              </a:extLst>
            </xdr:cNvPr>
            <xdr:cNvGraphicFramePr>
              <a:graphicFrameLocks/>
            </xdr:cNvGraphicFramePr>
          </xdr:nvGraphicFramePr>
          <xdr:xfrm>
            <a:off x="40395525" y="9020175"/>
            <a:ext cx="4572000" cy="2743200"/>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12" name="Diagramm 11">
              <a:extLst>
                <a:ext uri="{FF2B5EF4-FFF2-40B4-BE49-F238E27FC236}">
                  <a16:creationId xmlns:a16="http://schemas.microsoft.com/office/drawing/2014/main" id="{5B2AC9D6-9283-49F0-A79A-2DAB491411EC}"/>
                </a:ext>
              </a:extLst>
            </xdr:cNvPr>
            <xdr:cNvGraphicFramePr>
              <a:graphicFrameLocks/>
            </xdr:cNvGraphicFramePr>
          </xdr:nvGraphicFramePr>
          <xdr:xfrm>
            <a:off x="35823525" y="9029700"/>
            <a:ext cx="4572000" cy="2743200"/>
          </xdr:xfrm>
          <a:graphic>
            <a:graphicData uri="http://schemas.openxmlformats.org/drawingml/2006/chart">
              <c:chart xmlns:c="http://schemas.openxmlformats.org/drawingml/2006/chart" xmlns:r="http://schemas.openxmlformats.org/officeDocument/2006/relationships" r:id="rId4"/>
            </a:graphicData>
          </a:graphic>
        </xdr:graphicFrame>
      </xdr:grpSp>
      <xdr:cxnSp macro="">
        <xdr:nvCxnSpPr>
          <xdr:cNvPr id="13" name="Gerader Verbinder 12">
            <a:extLst>
              <a:ext uri="{FF2B5EF4-FFF2-40B4-BE49-F238E27FC236}">
                <a16:creationId xmlns:a16="http://schemas.microsoft.com/office/drawing/2014/main" id="{06B55B02-6641-474D-AFA9-C0B5728F6331}"/>
              </a:ext>
            </a:extLst>
          </xdr:cNvPr>
          <xdr:cNvCxnSpPr/>
        </xdr:nvCxnSpPr>
        <xdr:spPr>
          <a:xfrm flipH="1">
            <a:off x="38438350" y="9731377"/>
            <a:ext cx="9524" cy="140970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16" name="Gerader Verbinder 15">
            <a:extLst>
              <a:ext uri="{FF2B5EF4-FFF2-40B4-BE49-F238E27FC236}">
                <a16:creationId xmlns:a16="http://schemas.microsoft.com/office/drawing/2014/main" id="{1E73DA3C-E431-4934-85C9-B8DB89E101BB}"/>
              </a:ext>
            </a:extLst>
          </xdr:cNvPr>
          <xdr:cNvCxnSpPr/>
        </xdr:nvCxnSpPr>
        <xdr:spPr>
          <a:xfrm>
            <a:off x="38457658" y="6988177"/>
            <a:ext cx="0" cy="1409700"/>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20</xdr:col>
      <xdr:colOff>435438</xdr:colOff>
      <xdr:row>42</xdr:row>
      <xdr:rowOff>0</xdr:rowOff>
    </xdr:from>
    <xdr:to>
      <xdr:col>34</xdr:col>
      <xdr:colOff>503464</xdr:colOff>
      <xdr:row>65</xdr:row>
      <xdr:rowOff>27214</xdr:rowOff>
    </xdr:to>
    <xdr:graphicFrame macro="">
      <xdr:nvGraphicFramePr>
        <xdr:cNvPr id="4" name="Diagramm 3">
          <a:extLst>
            <a:ext uri="{FF2B5EF4-FFF2-40B4-BE49-F238E27FC236}">
              <a16:creationId xmlns:a16="http://schemas.microsoft.com/office/drawing/2014/main" id="{CA02E5FA-6215-4F1A-B579-6066D5F8B9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639535</xdr:colOff>
      <xdr:row>42</xdr:row>
      <xdr:rowOff>95250</xdr:rowOff>
    </xdr:from>
    <xdr:to>
      <xdr:col>6</xdr:col>
      <xdr:colOff>640174</xdr:colOff>
      <xdr:row>56</xdr:row>
      <xdr:rowOff>171450</xdr:rowOff>
    </xdr:to>
    <xdr:graphicFrame macro="">
      <xdr:nvGraphicFramePr>
        <xdr:cNvPr id="14" name="Diagramm 13">
          <a:extLst>
            <a:ext uri="{FF2B5EF4-FFF2-40B4-BE49-F238E27FC236}">
              <a16:creationId xmlns:a16="http://schemas.microsoft.com/office/drawing/2014/main" id="{593E8F0A-BEC6-4F28-B7D2-3E239AD132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14.xml><?xml version="1.0" encoding="utf-8"?>
<c:userShapes xmlns:c="http://schemas.openxmlformats.org/drawingml/2006/chart">
  <cdr:relSizeAnchor xmlns:cdr="http://schemas.openxmlformats.org/drawingml/2006/chartDrawing">
    <cdr:from>
      <cdr:x>0.40719</cdr:x>
      <cdr:y>0.25013</cdr:y>
    </cdr:from>
    <cdr:to>
      <cdr:x>0.40754</cdr:x>
      <cdr:y>0.77038</cdr:y>
    </cdr:to>
    <cdr:cxnSp macro="">
      <cdr:nvCxnSpPr>
        <cdr:cNvPr id="2" name="Gerader Verbinder 1">
          <a:extLst xmlns:a="http://schemas.openxmlformats.org/drawingml/2006/main">
            <a:ext uri="{FF2B5EF4-FFF2-40B4-BE49-F238E27FC236}">
              <a16:creationId xmlns:a16="http://schemas.microsoft.com/office/drawing/2014/main" id="{06B55B02-6641-474D-AFA9-C0B5728F6331}"/>
            </a:ext>
          </a:extLst>
        </cdr:cNvPr>
        <cdr:cNvCxnSpPr/>
      </cdr:nvCxnSpPr>
      <cdr:spPr>
        <a:xfrm xmlns:a="http://schemas.openxmlformats.org/drawingml/2006/main" flipH="1">
          <a:off x="1858551" y="690632"/>
          <a:ext cx="1597" cy="1436463"/>
        </a:xfrm>
        <a:prstGeom xmlns:a="http://schemas.openxmlformats.org/drawingml/2006/main" prst="line">
          <a:avLst/>
        </a:prstGeom>
        <a:ln xmlns:a="http://schemas.openxmlformats.org/drawingml/2006/main" w="28575"/>
      </cdr:spPr>
      <cdr:style>
        <a:lnRef xmlns:a="http://schemas.openxmlformats.org/drawingml/2006/main" idx="1">
          <a:schemeClr val="dk1"/>
        </a:lnRef>
        <a:fillRef xmlns:a="http://schemas.openxmlformats.org/drawingml/2006/main" idx="0">
          <a:schemeClr val="dk1"/>
        </a:fillRef>
        <a:effectRef xmlns:a="http://schemas.openxmlformats.org/drawingml/2006/main" idx="0">
          <a:schemeClr val="dk1"/>
        </a:effectRef>
        <a:fontRef xmlns:a="http://schemas.openxmlformats.org/drawingml/2006/main" idx="minor">
          <a:schemeClr val="tx1"/>
        </a:fontRef>
      </cdr:style>
    </cdr:cxnSp>
  </cdr:relSizeAnchor>
  <cdr:relSizeAnchor xmlns:cdr="http://schemas.openxmlformats.org/drawingml/2006/chartDrawing">
    <cdr:from>
      <cdr:x>0.13457</cdr:x>
      <cdr:y>0.16319</cdr:y>
    </cdr:from>
    <cdr:to>
      <cdr:x>0.48874</cdr:x>
      <cdr:y>0.30555</cdr:y>
    </cdr:to>
    <cdr:sp macro="" textlink="">
      <cdr:nvSpPr>
        <cdr:cNvPr id="3" name="Textfeld 1">
          <a:extLst xmlns:a="http://schemas.openxmlformats.org/drawingml/2006/main">
            <a:ext uri="{FF2B5EF4-FFF2-40B4-BE49-F238E27FC236}">
              <a16:creationId xmlns:a16="http://schemas.microsoft.com/office/drawing/2014/main" id="{805F72A7-2C2C-41AB-9F0A-7798F11052E0}"/>
            </a:ext>
          </a:extLst>
        </cdr:cNvPr>
        <cdr:cNvSpPr txBox="1"/>
      </cdr:nvSpPr>
      <cdr:spPr>
        <a:xfrm xmlns:a="http://schemas.openxmlformats.org/drawingml/2006/main">
          <a:off x="614215" y="450597"/>
          <a:ext cx="1616551" cy="39307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b="1">
              <a:latin typeface="Times New Roman" panose="02020603050405020304" pitchFamily="18" charset="0"/>
              <a:cs typeface="Times New Roman" panose="02020603050405020304" pitchFamily="18" charset="0"/>
            </a:rPr>
            <a:t>Exposure phase</a:t>
          </a:r>
        </a:p>
      </cdr:txBody>
    </cdr:sp>
  </cdr:relSizeAnchor>
  <cdr:relSizeAnchor xmlns:cdr="http://schemas.openxmlformats.org/drawingml/2006/chartDrawing">
    <cdr:from>
      <cdr:x>0.47619</cdr:x>
      <cdr:y>0.16319</cdr:y>
    </cdr:from>
    <cdr:to>
      <cdr:x>0.75536</cdr:x>
      <cdr:y>0.30555</cdr:y>
    </cdr:to>
    <cdr:sp macro="" textlink="">
      <cdr:nvSpPr>
        <cdr:cNvPr id="4" name="Textfeld 1">
          <a:extLst xmlns:a="http://schemas.openxmlformats.org/drawingml/2006/main">
            <a:ext uri="{FF2B5EF4-FFF2-40B4-BE49-F238E27FC236}">
              <a16:creationId xmlns:a16="http://schemas.microsoft.com/office/drawing/2014/main" id="{736056C4-5756-4D4A-A60D-CF527ECC840F}"/>
            </a:ext>
          </a:extLst>
        </cdr:cNvPr>
        <cdr:cNvSpPr txBox="1"/>
      </cdr:nvSpPr>
      <cdr:spPr>
        <a:xfrm xmlns:a="http://schemas.openxmlformats.org/drawingml/2006/main">
          <a:off x="2177448" y="447663"/>
          <a:ext cx="1276543" cy="390522"/>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b="1">
              <a:latin typeface="Times New Roman" panose="02020603050405020304" pitchFamily="18" charset="0"/>
              <a:cs typeface="Times New Roman" panose="02020603050405020304" pitchFamily="18" charset="0"/>
            </a:rPr>
            <a:t>Depuration phase</a:t>
          </a:r>
        </a:p>
      </cdr:txBody>
    </cdr:sp>
  </cdr:relSizeAnchor>
</c:userShapes>
</file>

<file path=xl/drawings/drawing15.xml><?xml version="1.0" encoding="utf-8"?>
<c:userShapes xmlns:c="http://schemas.openxmlformats.org/drawingml/2006/chart">
  <cdr:relSizeAnchor xmlns:cdr="http://schemas.openxmlformats.org/drawingml/2006/chartDrawing">
    <cdr:from>
      <cdr:x>0.24435</cdr:x>
      <cdr:y>0.16782</cdr:y>
    </cdr:from>
    <cdr:to>
      <cdr:x>0.59851</cdr:x>
      <cdr:y>0.31019</cdr:y>
    </cdr:to>
    <cdr:sp macro="" textlink="">
      <cdr:nvSpPr>
        <cdr:cNvPr id="2" name="Textfeld 1">
          <a:extLst xmlns:a="http://schemas.openxmlformats.org/drawingml/2006/main">
            <a:ext uri="{FF2B5EF4-FFF2-40B4-BE49-F238E27FC236}">
              <a16:creationId xmlns:a16="http://schemas.microsoft.com/office/drawing/2014/main" id="{805F72A7-2C2C-41AB-9F0A-7798F11052E0}"/>
            </a:ext>
          </a:extLst>
        </cdr:cNvPr>
        <cdr:cNvSpPr txBox="1"/>
      </cdr:nvSpPr>
      <cdr:spPr>
        <a:xfrm xmlns:a="http://schemas.openxmlformats.org/drawingml/2006/main">
          <a:off x="1117190" y="460364"/>
          <a:ext cx="1619220" cy="39054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b="1">
              <a:latin typeface="Times New Roman" panose="02020603050405020304" pitchFamily="18" charset="0"/>
              <a:cs typeface="Times New Roman" panose="02020603050405020304" pitchFamily="18" charset="0"/>
            </a:rPr>
            <a:t>Exposure phase</a:t>
          </a:r>
        </a:p>
      </cdr:txBody>
    </cdr:sp>
  </cdr:relSizeAnchor>
  <cdr:relSizeAnchor xmlns:cdr="http://schemas.openxmlformats.org/drawingml/2006/chartDrawing">
    <cdr:from>
      <cdr:x>0.64898</cdr:x>
      <cdr:y>0.16782</cdr:y>
    </cdr:from>
    <cdr:to>
      <cdr:x>0.92814</cdr:x>
      <cdr:y>0.31019</cdr:y>
    </cdr:to>
    <cdr:sp macro="" textlink="">
      <cdr:nvSpPr>
        <cdr:cNvPr id="3" name="Textfeld 1">
          <a:extLst xmlns:a="http://schemas.openxmlformats.org/drawingml/2006/main">
            <a:ext uri="{FF2B5EF4-FFF2-40B4-BE49-F238E27FC236}">
              <a16:creationId xmlns:a16="http://schemas.microsoft.com/office/drawing/2014/main" id="{736056C4-5756-4D4A-A60D-CF527ECC840F}"/>
            </a:ext>
          </a:extLst>
        </cdr:cNvPr>
        <cdr:cNvSpPr txBox="1"/>
      </cdr:nvSpPr>
      <cdr:spPr>
        <a:xfrm xmlns:a="http://schemas.openxmlformats.org/drawingml/2006/main">
          <a:off x="2967116" y="460364"/>
          <a:ext cx="1276320" cy="39054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b="1">
              <a:latin typeface="Times New Roman" panose="02020603050405020304" pitchFamily="18" charset="0"/>
              <a:cs typeface="Times New Roman" panose="02020603050405020304" pitchFamily="18" charset="0"/>
            </a:rPr>
            <a:t>Depuration phase</a:t>
          </a:r>
        </a:p>
      </cdr:txBody>
    </cdr:sp>
  </cdr:relSizeAnchor>
</c:userShapes>
</file>

<file path=xl/drawings/drawing16.xml><?xml version="1.0" encoding="utf-8"?>
<c:userShapes xmlns:c="http://schemas.openxmlformats.org/drawingml/2006/chart">
  <cdr:relSizeAnchor xmlns:cdr="http://schemas.openxmlformats.org/drawingml/2006/chartDrawing">
    <cdr:from>
      <cdr:x>0.44303</cdr:x>
      <cdr:y>0.25347</cdr:y>
    </cdr:from>
    <cdr:to>
      <cdr:x>0.44303</cdr:x>
      <cdr:y>0.76766</cdr:y>
    </cdr:to>
    <cdr:cxnSp macro="">
      <cdr:nvCxnSpPr>
        <cdr:cNvPr id="2" name="Gerader Verbinder 1">
          <a:extLst xmlns:a="http://schemas.openxmlformats.org/drawingml/2006/main">
            <a:ext uri="{FF2B5EF4-FFF2-40B4-BE49-F238E27FC236}">
              <a16:creationId xmlns:a16="http://schemas.microsoft.com/office/drawing/2014/main" id="{06B55B02-6641-474D-AFA9-C0B5728F6331}"/>
            </a:ext>
          </a:extLst>
        </cdr:cNvPr>
        <cdr:cNvCxnSpPr/>
      </cdr:nvCxnSpPr>
      <cdr:spPr>
        <a:xfrm xmlns:a="http://schemas.openxmlformats.org/drawingml/2006/main">
          <a:off x="2025816" y="695325"/>
          <a:ext cx="0" cy="1410511"/>
        </a:xfrm>
        <a:prstGeom xmlns:a="http://schemas.openxmlformats.org/drawingml/2006/main" prst="line">
          <a:avLst/>
        </a:prstGeom>
        <a:ln xmlns:a="http://schemas.openxmlformats.org/drawingml/2006/main" w="28575"/>
      </cdr:spPr>
      <cdr:style>
        <a:lnRef xmlns:a="http://schemas.openxmlformats.org/drawingml/2006/main" idx="1">
          <a:schemeClr val="dk1"/>
        </a:lnRef>
        <a:fillRef xmlns:a="http://schemas.openxmlformats.org/drawingml/2006/main" idx="0">
          <a:schemeClr val="dk1"/>
        </a:fillRef>
        <a:effectRef xmlns:a="http://schemas.openxmlformats.org/drawingml/2006/main" idx="0">
          <a:schemeClr val="dk1"/>
        </a:effectRef>
        <a:fontRef xmlns:a="http://schemas.openxmlformats.org/drawingml/2006/main" idx="minor">
          <a:schemeClr val="tx1"/>
        </a:fontRef>
      </cdr:style>
    </cdr:cxnSp>
  </cdr:relSizeAnchor>
  <cdr:relSizeAnchor xmlns:cdr="http://schemas.openxmlformats.org/drawingml/2006/chartDrawing">
    <cdr:from>
      <cdr:x>0.13946</cdr:x>
      <cdr:y>0.16898</cdr:y>
    </cdr:from>
    <cdr:to>
      <cdr:x>0.49363</cdr:x>
      <cdr:y>0.31134</cdr:y>
    </cdr:to>
    <cdr:sp macro="" textlink="">
      <cdr:nvSpPr>
        <cdr:cNvPr id="4" name="Textfeld 1">
          <a:extLst xmlns:a="http://schemas.openxmlformats.org/drawingml/2006/main">
            <a:ext uri="{FF2B5EF4-FFF2-40B4-BE49-F238E27FC236}">
              <a16:creationId xmlns:a16="http://schemas.microsoft.com/office/drawing/2014/main" id="{805F72A7-2C2C-41AB-9F0A-7798F11052E0}"/>
            </a:ext>
          </a:extLst>
        </cdr:cNvPr>
        <cdr:cNvSpPr txBox="1"/>
      </cdr:nvSpPr>
      <cdr:spPr>
        <a:xfrm xmlns:a="http://schemas.openxmlformats.org/drawingml/2006/main">
          <a:off x="636543" y="466583"/>
          <a:ext cx="1616551" cy="393071"/>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b="1">
              <a:latin typeface="Times New Roman" panose="02020603050405020304" pitchFamily="18" charset="0"/>
              <a:cs typeface="Times New Roman" panose="02020603050405020304" pitchFamily="18" charset="0"/>
            </a:rPr>
            <a:t>Exposure phase</a:t>
          </a:r>
        </a:p>
      </cdr:txBody>
    </cdr:sp>
  </cdr:relSizeAnchor>
  <cdr:relSizeAnchor xmlns:cdr="http://schemas.openxmlformats.org/drawingml/2006/chartDrawing">
    <cdr:from>
      <cdr:x>0.48329</cdr:x>
      <cdr:y>0.16898</cdr:y>
    </cdr:from>
    <cdr:to>
      <cdr:x>0.76246</cdr:x>
      <cdr:y>0.31134</cdr:y>
    </cdr:to>
    <cdr:sp macro="" textlink="">
      <cdr:nvSpPr>
        <cdr:cNvPr id="5" name="Textfeld 1">
          <a:extLst xmlns:a="http://schemas.openxmlformats.org/drawingml/2006/main">
            <a:ext uri="{FF2B5EF4-FFF2-40B4-BE49-F238E27FC236}">
              <a16:creationId xmlns:a16="http://schemas.microsoft.com/office/drawing/2014/main" id="{736056C4-5756-4D4A-A60D-CF527ECC840F}"/>
            </a:ext>
          </a:extLst>
        </cdr:cNvPr>
        <cdr:cNvSpPr txBox="1"/>
      </cdr:nvSpPr>
      <cdr:spPr>
        <a:xfrm xmlns:a="http://schemas.openxmlformats.org/drawingml/2006/main">
          <a:off x="2209931" y="463546"/>
          <a:ext cx="1276543" cy="390522"/>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b="1">
              <a:latin typeface="Times New Roman" panose="02020603050405020304" pitchFamily="18" charset="0"/>
              <a:cs typeface="Times New Roman" panose="02020603050405020304" pitchFamily="18" charset="0"/>
            </a:rPr>
            <a:t>Depuration phase</a:t>
          </a:r>
        </a:p>
      </cdr:txBody>
    </cdr:sp>
  </cdr:relSizeAnchor>
</c:userShapes>
</file>

<file path=xl/drawings/drawing17.xml><?xml version="1.0" encoding="utf-8"?>
<c:userShapes xmlns:c="http://schemas.openxmlformats.org/drawingml/2006/chart">
  <cdr:relSizeAnchor xmlns:cdr="http://schemas.openxmlformats.org/drawingml/2006/chartDrawing">
    <cdr:from>
      <cdr:x>0.24563</cdr:x>
      <cdr:y>0.16667</cdr:y>
    </cdr:from>
    <cdr:to>
      <cdr:x>0.59979</cdr:x>
      <cdr:y>0.30903</cdr:y>
    </cdr:to>
    <cdr:sp macro="" textlink="">
      <cdr:nvSpPr>
        <cdr:cNvPr id="2" name="Textfeld 1">
          <a:extLst xmlns:a="http://schemas.openxmlformats.org/drawingml/2006/main">
            <a:ext uri="{FF2B5EF4-FFF2-40B4-BE49-F238E27FC236}">
              <a16:creationId xmlns:a16="http://schemas.microsoft.com/office/drawing/2014/main" id="{6168EFB4-D45C-452D-8D0A-7BDE41F034EA}"/>
            </a:ext>
          </a:extLst>
        </cdr:cNvPr>
        <cdr:cNvSpPr txBox="1"/>
      </cdr:nvSpPr>
      <cdr:spPr>
        <a:xfrm xmlns:a="http://schemas.openxmlformats.org/drawingml/2006/main">
          <a:off x="1121138" y="460192"/>
          <a:ext cx="1616506" cy="39307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b="1">
              <a:latin typeface="Times New Roman" panose="02020603050405020304" pitchFamily="18" charset="0"/>
              <a:cs typeface="Times New Roman" panose="02020603050405020304" pitchFamily="18" charset="0"/>
            </a:rPr>
            <a:t>Exposure phase</a:t>
          </a:r>
        </a:p>
      </cdr:txBody>
    </cdr:sp>
  </cdr:relSizeAnchor>
  <cdr:relSizeAnchor xmlns:cdr="http://schemas.openxmlformats.org/drawingml/2006/chartDrawing">
    <cdr:from>
      <cdr:x>0.65007</cdr:x>
      <cdr:y>0.1648</cdr:y>
    </cdr:from>
    <cdr:to>
      <cdr:x>0.92923</cdr:x>
      <cdr:y>0.30717</cdr:y>
    </cdr:to>
    <cdr:sp macro="" textlink="">
      <cdr:nvSpPr>
        <cdr:cNvPr id="3" name="Textfeld 1">
          <a:extLst xmlns:a="http://schemas.openxmlformats.org/drawingml/2006/main">
            <a:ext uri="{FF2B5EF4-FFF2-40B4-BE49-F238E27FC236}">
              <a16:creationId xmlns:a16="http://schemas.microsoft.com/office/drawing/2014/main" id="{C9ABE61D-3265-4F1B-A902-0C7F1E6F6F64}"/>
            </a:ext>
          </a:extLst>
        </cdr:cNvPr>
        <cdr:cNvSpPr txBox="1"/>
      </cdr:nvSpPr>
      <cdr:spPr>
        <a:xfrm xmlns:a="http://schemas.openxmlformats.org/drawingml/2006/main">
          <a:off x="2967135" y="455031"/>
          <a:ext cx="1274181" cy="393097"/>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b="1">
              <a:latin typeface="Times New Roman" panose="02020603050405020304" pitchFamily="18" charset="0"/>
              <a:cs typeface="Times New Roman" panose="02020603050405020304" pitchFamily="18" charset="0"/>
            </a:rPr>
            <a:t>Depuration phase</a:t>
          </a:r>
        </a:p>
      </cdr:txBody>
    </cdr:sp>
  </cdr:relSizeAnchor>
</c:userShapes>
</file>

<file path=xl/drawings/drawing18.xml><?xml version="1.0" encoding="utf-8"?>
<xdr:wsDr xmlns:xdr="http://schemas.openxmlformats.org/drawingml/2006/spreadsheetDrawing" xmlns:a="http://schemas.openxmlformats.org/drawingml/2006/main">
  <xdr:twoCellAnchor>
    <xdr:from>
      <xdr:col>93</xdr:col>
      <xdr:colOff>20536</xdr:colOff>
      <xdr:row>53</xdr:row>
      <xdr:rowOff>151690</xdr:rowOff>
    </xdr:from>
    <xdr:to>
      <xdr:col>117</xdr:col>
      <xdr:colOff>250032</xdr:colOff>
      <xdr:row>97</xdr:row>
      <xdr:rowOff>134371</xdr:rowOff>
    </xdr:to>
    <xdr:graphicFrame macro="">
      <xdr:nvGraphicFramePr>
        <xdr:cNvPr id="2" name="Diagramm 1">
          <a:extLst>
            <a:ext uri="{FF2B5EF4-FFF2-40B4-BE49-F238E27FC236}">
              <a16:creationId xmlns:a16="http://schemas.microsoft.com/office/drawing/2014/main" id="{1FB38E46-7759-40E4-A923-C399200221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9.xml><?xml version="1.0" encoding="utf-8"?>
<c:userShapes xmlns:c="http://schemas.openxmlformats.org/drawingml/2006/chart">
  <cdr:relSizeAnchor xmlns:cdr="http://schemas.openxmlformats.org/drawingml/2006/chartDrawing">
    <cdr:from>
      <cdr:x>0.15582</cdr:x>
      <cdr:y>0.03705</cdr:y>
    </cdr:from>
    <cdr:to>
      <cdr:x>0.25575</cdr:x>
      <cdr:y>0.08126</cdr:y>
    </cdr:to>
    <cdr:sp macro="" textlink="">
      <cdr:nvSpPr>
        <cdr:cNvPr id="2" name="Textfeld 1">
          <a:extLst xmlns:a="http://schemas.openxmlformats.org/drawingml/2006/main">
            <a:ext uri="{FF2B5EF4-FFF2-40B4-BE49-F238E27FC236}">
              <a16:creationId xmlns:a16="http://schemas.microsoft.com/office/drawing/2014/main" id="{81C4A767-FE91-423D-9602-B6F55251D65D}"/>
            </a:ext>
          </a:extLst>
        </cdr:cNvPr>
        <cdr:cNvSpPr txBox="1"/>
      </cdr:nvSpPr>
      <cdr:spPr>
        <a:xfrm xmlns:a="http://schemas.openxmlformats.org/drawingml/2006/main">
          <a:off x="2885472" y="309911"/>
          <a:ext cx="1850454" cy="36980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US" sz="1600" b="1">
              <a:latin typeface="Times New Roman" panose="02020603050405020304" pitchFamily="18" charset="0"/>
              <a:cs typeface="Times New Roman" panose="02020603050405020304" pitchFamily="18" charset="0"/>
            </a:rPr>
            <a:t>Exposure phase</a:t>
          </a:r>
        </a:p>
      </cdr:txBody>
    </cdr:sp>
  </cdr:relSizeAnchor>
  <cdr:relSizeAnchor xmlns:cdr="http://schemas.openxmlformats.org/drawingml/2006/chartDrawing">
    <cdr:from>
      <cdr:x>0.53744</cdr:x>
      <cdr:y>0.03738</cdr:y>
    </cdr:from>
    <cdr:to>
      <cdr:x>0.63738</cdr:x>
      <cdr:y>0.08159</cdr:y>
    </cdr:to>
    <cdr:sp macro="" textlink="">
      <cdr:nvSpPr>
        <cdr:cNvPr id="3" name="Textfeld 1">
          <a:extLst xmlns:a="http://schemas.openxmlformats.org/drawingml/2006/main">
            <a:ext uri="{FF2B5EF4-FFF2-40B4-BE49-F238E27FC236}">
              <a16:creationId xmlns:a16="http://schemas.microsoft.com/office/drawing/2014/main" id="{F07521F1-2DE5-4E2B-8639-682B5802E777}"/>
            </a:ext>
          </a:extLst>
        </cdr:cNvPr>
        <cdr:cNvSpPr txBox="1"/>
      </cdr:nvSpPr>
      <cdr:spPr>
        <a:xfrm xmlns:a="http://schemas.openxmlformats.org/drawingml/2006/main">
          <a:off x="9951958" y="312700"/>
          <a:ext cx="1850639" cy="369803"/>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600" b="1">
              <a:latin typeface="Times New Roman" panose="02020603050405020304" pitchFamily="18" charset="0"/>
              <a:cs typeface="Times New Roman" panose="02020603050405020304" pitchFamily="18" charset="0"/>
            </a:rPr>
            <a:t>Depuration phase</a:t>
          </a:r>
        </a:p>
      </cdr:txBody>
    </cdr:sp>
  </cdr:relSizeAnchor>
  <cdr:relSizeAnchor xmlns:cdr="http://schemas.openxmlformats.org/drawingml/2006/chartDrawing">
    <cdr:from>
      <cdr:x>0.36024</cdr:x>
      <cdr:y>0.0815</cdr:y>
    </cdr:from>
    <cdr:to>
      <cdr:x>0.36088</cdr:x>
      <cdr:y>0.9085</cdr:y>
    </cdr:to>
    <cdr:cxnSp macro="">
      <cdr:nvCxnSpPr>
        <cdr:cNvPr id="5" name="Gerader Verbinder 4">
          <a:extLst xmlns:a="http://schemas.openxmlformats.org/drawingml/2006/main">
            <a:ext uri="{FF2B5EF4-FFF2-40B4-BE49-F238E27FC236}">
              <a16:creationId xmlns:a16="http://schemas.microsoft.com/office/drawing/2014/main" id="{89BBE61B-1728-416A-AE63-22622FBC75A5}"/>
            </a:ext>
          </a:extLst>
        </cdr:cNvPr>
        <cdr:cNvCxnSpPr/>
      </cdr:nvCxnSpPr>
      <cdr:spPr>
        <a:xfrm xmlns:a="http://schemas.openxmlformats.org/drawingml/2006/main">
          <a:off x="6670777" y="681747"/>
          <a:ext cx="11906" cy="6917531"/>
        </a:xfrm>
        <a:prstGeom xmlns:a="http://schemas.openxmlformats.org/drawingml/2006/main" prst="line">
          <a:avLst/>
        </a:prstGeom>
        <a:ln xmlns:a="http://schemas.openxmlformats.org/drawingml/2006/main" w="38100"/>
      </cdr:spPr>
      <cdr:style>
        <a:lnRef xmlns:a="http://schemas.openxmlformats.org/drawingml/2006/main" idx="1">
          <a:schemeClr val="dk1"/>
        </a:lnRef>
        <a:fillRef xmlns:a="http://schemas.openxmlformats.org/drawingml/2006/main" idx="0">
          <a:schemeClr val="dk1"/>
        </a:fillRef>
        <a:effectRef xmlns:a="http://schemas.openxmlformats.org/drawingml/2006/main" idx="0">
          <a:schemeClr val="dk1"/>
        </a:effectRef>
        <a:fontRef xmlns:a="http://schemas.openxmlformats.org/drawingml/2006/main" idx="minor">
          <a:schemeClr val="tx1"/>
        </a:fontRef>
      </cdr:style>
    </cdr:cxnSp>
  </cdr:relSizeAnchor>
  <cdr:relSizeAnchor xmlns:cdr="http://schemas.openxmlformats.org/drawingml/2006/chartDrawing">
    <cdr:from>
      <cdr:x>0.90641</cdr:x>
      <cdr:y>0.25841</cdr:y>
    </cdr:from>
    <cdr:to>
      <cdr:x>0.9278</cdr:x>
      <cdr:y>0.25842</cdr:y>
    </cdr:to>
    <cdr:cxnSp macro="">
      <cdr:nvCxnSpPr>
        <cdr:cNvPr id="25" name="Gerader Verbinder 24">
          <a:extLst xmlns:a="http://schemas.openxmlformats.org/drawingml/2006/main">
            <a:ext uri="{FF2B5EF4-FFF2-40B4-BE49-F238E27FC236}">
              <a16:creationId xmlns:a16="http://schemas.microsoft.com/office/drawing/2014/main" id="{151F3F4C-6644-460C-BACF-666302B8B19A}"/>
            </a:ext>
          </a:extLst>
        </cdr:cNvPr>
        <cdr:cNvCxnSpPr/>
      </cdr:nvCxnSpPr>
      <cdr:spPr>
        <a:xfrm xmlns:a="http://schemas.openxmlformats.org/drawingml/2006/main" flipV="1">
          <a:off x="16784404" y="2161514"/>
          <a:ext cx="396089" cy="83"/>
        </a:xfrm>
        <a:prstGeom xmlns:a="http://schemas.openxmlformats.org/drawingml/2006/main" prst="line">
          <a:avLst/>
        </a:prstGeom>
        <a:ln xmlns:a="http://schemas.openxmlformats.org/drawingml/2006/main" w="19050">
          <a:solidFill>
            <a:schemeClr val="dk1"/>
          </a:solidFill>
          <a:prstDash val="dash"/>
        </a:ln>
      </cdr:spPr>
      <cdr:style>
        <a:lnRef xmlns:a="http://schemas.openxmlformats.org/drawingml/2006/main" idx="1">
          <a:schemeClr val="dk1"/>
        </a:lnRef>
        <a:fillRef xmlns:a="http://schemas.openxmlformats.org/drawingml/2006/main" idx="0">
          <a:schemeClr val="dk1"/>
        </a:fillRef>
        <a:effectRef xmlns:a="http://schemas.openxmlformats.org/drawingml/2006/main" idx="0">
          <a:schemeClr val="dk1"/>
        </a:effectRef>
        <a:fontRef xmlns:a="http://schemas.openxmlformats.org/drawingml/2006/main" idx="minor">
          <a:schemeClr val="tx1"/>
        </a:fontRef>
      </cdr:style>
    </cdr:cxnSp>
  </cdr:relSizeAnchor>
  <cdr:relSizeAnchor xmlns:cdr="http://schemas.openxmlformats.org/drawingml/2006/chartDrawing">
    <cdr:from>
      <cdr:x>0.91356</cdr:x>
      <cdr:y>0.25334</cdr:y>
    </cdr:from>
    <cdr:to>
      <cdr:x>0.91737</cdr:x>
      <cdr:y>0.26195</cdr:y>
    </cdr:to>
    <cdr:sp macro="" textlink="">
      <cdr:nvSpPr>
        <cdr:cNvPr id="26" name="Rechteck 25">
          <a:extLst xmlns:a="http://schemas.openxmlformats.org/drawingml/2006/main">
            <a:ext uri="{FF2B5EF4-FFF2-40B4-BE49-F238E27FC236}">
              <a16:creationId xmlns:a16="http://schemas.microsoft.com/office/drawing/2014/main" id="{A7553F35-478C-42C1-AD69-E80211C52BB5}"/>
            </a:ext>
          </a:extLst>
        </cdr:cNvPr>
        <cdr:cNvSpPr/>
      </cdr:nvSpPr>
      <cdr:spPr>
        <a:xfrm xmlns:a="http://schemas.openxmlformats.org/drawingml/2006/main">
          <a:off x="16916804" y="2119105"/>
          <a:ext cx="70551" cy="72019"/>
        </a:xfrm>
        <a:prstGeom xmlns:a="http://schemas.openxmlformats.org/drawingml/2006/main" prst="rect">
          <a:avLst/>
        </a:prstGeom>
        <a:ln xmlns:a="http://schemas.openxmlformats.org/drawingml/2006/main">
          <a:solidFill>
            <a:schemeClr val="dk1"/>
          </a:solidFill>
        </a:ln>
      </cdr:spPr>
      <cdr:style>
        <a:lnRef xmlns:a="http://schemas.openxmlformats.org/drawingml/2006/main" idx="2">
          <a:schemeClr val="dk1">
            <a:shade val="50000"/>
          </a:schemeClr>
        </a:lnRef>
        <a:fillRef xmlns:a="http://schemas.openxmlformats.org/drawingml/2006/main" idx="1">
          <a:schemeClr val="dk1"/>
        </a:fillRef>
        <a:effectRef xmlns:a="http://schemas.openxmlformats.org/drawingml/2006/main" idx="0">
          <a:schemeClr val="dk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a:p>
      </cdr:txBody>
    </cdr:sp>
  </cdr:relSizeAnchor>
  <cdr:relSizeAnchor xmlns:cdr="http://schemas.openxmlformats.org/drawingml/2006/chartDrawing">
    <cdr:from>
      <cdr:x>0.85198</cdr:x>
      <cdr:y>0.07638</cdr:y>
    </cdr:from>
    <cdr:to>
      <cdr:x>0.97271</cdr:x>
      <cdr:y>0.90683</cdr:y>
    </cdr:to>
    <cdr:grpSp>
      <cdr:nvGrpSpPr>
        <cdr:cNvPr id="36" name="Gruppieren 35">
          <a:extLst xmlns:a="http://schemas.openxmlformats.org/drawingml/2006/main">
            <a:ext uri="{FF2B5EF4-FFF2-40B4-BE49-F238E27FC236}">
              <a16:creationId xmlns:a16="http://schemas.microsoft.com/office/drawing/2014/main" id="{ADEBF24B-BFCF-4282-BBDB-57BBF6869C59}"/>
            </a:ext>
          </a:extLst>
        </cdr:cNvPr>
        <cdr:cNvGrpSpPr/>
      </cdr:nvGrpSpPr>
      <cdr:grpSpPr>
        <a:xfrm xmlns:a="http://schemas.openxmlformats.org/drawingml/2006/main">
          <a:off x="15776536" y="638894"/>
          <a:ext cx="2235618" cy="6946450"/>
          <a:chOff x="15748108" y="657935"/>
          <a:chExt cx="2235539" cy="6946446"/>
        </a:xfrm>
      </cdr:grpSpPr>
      <cdr:grpSp>
        <cdr:nvGrpSpPr>
          <cdr:cNvPr id="12" name="Gruppieren 11">
            <a:extLst xmlns:a="http://schemas.openxmlformats.org/drawingml/2006/main">
              <a:ext uri="{FF2B5EF4-FFF2-40B4-BE49-F238E27FC236}">
                <a16:creationId xmlns:a16="http://schemas.microsoft.com/office/drawing/2014/main" id="{4B11F719-5F1C-4136-A4A7-95CFD492BCB4}"/>
              </a:ext>
            </a:extLst>
          </cdr:cNvPr>
          <cdr:cNvGrpSpPr/>
        </cdr:nvGrpSpPr>
        <cdr:grpSpPr>
          <a:xfrm xmlns:a="http://schemas.openxmlformats.org/drawingml/2006/main">
            <a:off x="15748108" y="657935"/>
            <a:ext cx="2235539" cy="6946446"/>
            <a:chOff x="16141015" y="253123"/>
            <a:chExt cx="2235539" cy="6946446"/>
          </a:xfrm>
        </cdr:grpSpPr>
        <cdr:grpSp>
          <cdr:nvGrpSpPr>
            <cdr:cNvPr id="22" name="Gruppieren 21">
              <a:extLst xmlns:a="http://schemas.openxmlformats.org/drawingml/2006/main">
                <a:ext uri="{FF2B5EF4-FFF2-40B4-BE49-F238E27FC236}">
                  <a16:creationId xmlns:a16="http://schemas.microsoft.com/office/drawing/2014/main" id="{A802A874-1CAD-4982-A312-629D9B25926D}"/>
                </a:ext>
              </a:extLst>
            </cdr:cNvPr>
            <cdr:cNvGrpSpPr/>
          </cdr:nvGrpSpPr>
          <cdr:grpSpPr>
            <a:xfrm xmlns:a="http://schemas.openxmlformats.org/drawingml/2006/main">
              <a:off x="16141015" y="253163"/>
              <a:ext cx="2233606" cy="1729859"/>
              <a:chOff x="11564245" y="836530"/>
              <a:chExt cx="2282850" cy="1729889"/>
            </a:xfrm>
          </cdr:grpSpPr>
          <cdr:sp macro="" textlink="">
            <cdr:nvSpPr>
              <cdr:cNvPr id="4" name="Rechteck 3">
                <a:extLst xmlns:a="http://schemas.openxmlformats.org/drawingml/2006/main">
                  <a:ext uri="{FF2B5EF4-FFF2-40B4-BE49-F238E27FC236}">
                    <a16:creationId xmlns:a16="http://schemas.microsoft.com/office/drawing/2014/main" id="{B85959C8-3F3F-4774-A085-74D770C867B2}"/>
                  </a:ext>
                </a:extLst>
              </cdr:cNvPr>
              <cdr:cNvSpPr/>
            </cdr:nvSpPr>
            <cdr:spPr>
              <a:xfrm xmlns:a="http://schemas.openxmlformats.org/drawingml/2006/main">
                <a:off x="11564245" y="836530"/>
                <a:ext cx="2282850" cy="1095355"/>
              </a:xfrm>
              <a:prstGeom xmlns:a="http://schemas.openxmlformats.org/drawingml/2006/main" prst="rect">
                <a:avLst/>
              </a:prstGeom>
              <a:noFill xmlns:a="http://schemas.openxmlformats.org/drawingml/2006/main"/>
              <a:ln xmlns:a="http://schemas.openxmlformats.org/drawingml/2006/main" w="9525">
                <a:solidFill>
                  <a:schemeClr val="bg1"/>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sp macro="" textlink="">
            <cdr:nvSpPr>
              <cdr:cNvPr id="6" name="Rechteck 5">
                <a:extLst xmlns:a="http://schemas.openxmlformats.org/drawingml/2006/main">
                  <a:ext uri="{FF2B5EF4-FFF2-40B4-BE49-F238E27FC236}">
                    <a16:creationId xmlns:a16="http://schemas.microsoft.com/office/drawing/2014/main" id="{97E68342-94AA-4110-9140-50AA2C813825}"/>
                  </a:ext>
                </a:extLst>
              </cdr:cNvPr>
              <cdr:cNvSpPr/>
            </cdr:nvSpPr>
            <cdr:spPr>
              <a:xfrm xmlns:a="http://schemas.openxmlformats.org/drawingml/2006/main">
                <a:off x="11719026" y="1251552"/>
                <a:ext cx="154781" cy="404812"/>
              </a:xfrm>
              <a:prstGeom xmlns:a="http://schemas.openxmlformats.org/drawingml/2006/main" prst="rect">
                <a:avLst/>
              </a:prstGeom>
              <a:ln xmlns:a="http://schemas.openxmlformats.org/drawingml/2006/main">
                <a:solidFill>
                  <a:schemeClr val="dk1"/>
                </a:solidFill>
              </a:ln>
            </cdr:spPr>
            <cdr:style>
              <a:lnRef xmlns:a="http://schemas.openxmlformats.org/drawingml/2006/main" idx="2">
                <a:schemeClr val="dk1">
                  <a:shade val="50000"/>
                </a:schemeClr>
              </a:lnRef>
              <a:fillRef xmlns:a="http://schemas.openxmlformats.org/drawingml/2006/main" idx="1">
                <a:schemeClr val="dk1"/>
              </a:fillRef>
              <a:effectRef xmlns:a="http://schemas.openxmlformats.org/drawingml/2006/main" idx="0">
                <a:schemeClr val="dk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sp macro="" textlink="">
            <cdr:nvSpPr>
              <cdr:cNvPr id="7" name="Rechteck 6">
                <a:extLst xmlns:a="http://schemas.openxmlformats.org/drawingml/2006/main">
                  <a:ext uri="{FF2B5EF4-FFF2-40B4-BE49-F238E27FC236}">
                    <a16:creationId xmlns:a16="http://schemas.microsoft.com/office/drawing/2014/main" id="{8F0581A1-9FA2-4C6A-8D83-A432B5C9A684}"/>
                  </a:ext>
                </a:extLst>
              </cdr:cNvPr>
              <cdr:cNvSpPr/>
            </cdr:nvSpPr>
            <cdr:spPr>
              <a:xfrm xmlns:a="http://schemas.openxmlformats.org/drawingml/2006/main">
                <a:off x="12678483" y="1249925"/>
                <a:ext cx="154781" cy="404812"/>
              </a:xfrm>
              <a:prstGeom xmlns:a="http://schemas.openxmlformats.org/drawingml/2006/main" prst="rect">
                <a:avLst/>
              </a:prstGeom>
              <a:pattFill xmlns:a="http://schemas.openxmlformats.org/drawingml/2006/main" prst="wdUpDiag">
                <a:fgClr>
                  <a:schemeClr val="accent4"/>
                </a:fgClr>
                <a:bgClr>
                  <a:schemeClr val="bg1"/>
                </a:bgClr>
              </a:pattFill>
              <a:ln xmlns:a="http://schemas.openxmlformats.org/drawingml/2006/main">
                <a:solidFill>
                  <a:schemeClr val="dk1"/>
                </a:solidFill>
              </a:ln>
            </cdr:spPr>
            <cdr:style>
              <a:lnRef xmlns:a="http://schemas.openxmlformats.org/drawingml/2006/main" idx="2">
                <a:schemeClr val="dk1">
                  <a:shade val="50000"/>
                </a:schemeClr>
              </a:lnRef>
              <a:fillRef xmlns:a="http://schemas.openxmlformats.org/drawingml/2006/main" idx="1">
                <a:schemeClr val="dk1"/>
              </a:fillRef>
              <a:effectRef xmlns:a="http://schemas.openxmlformats.org/drawingml/2006/main" idx="0">
                <a:schemeClr val="dk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a:p>
            </cdr:txBody>
          </cdr:sp>
          <cdr:grpSp>
            <cdr:nvGrpSpPr>
              <cdr:cNvPr id="13" name="Gruppieren 12">
                <a:extLst xmlns:a="http://schemas.openxmlformats.org/drawingml/2006/main">
                  <a:ext uri="{FF2B5EF4-FFF2-40B4-BE49-F238E27FC236}">
                    <a16:creationId xmlns:a16="http://schemas.microsoft.com/office/drawing/2014/main" id="{5B934EEB-5F04-473B-BCE0-30C16AE72D8F}"/>
                  </a:ext>
                </a:extLst>
              </cdr:cNvPr>
              <cdr:cNvGrpSpPr/>
            </cdr:nvGrpSpPr>
            <cdr:grpSpPr>
              <a:xfrm xmlns:a="http://schemas.openxmlformats.org/drawingml/2006/main">
                <a:off x="11655677" y="2310865"/>
                <a:ext cx="331144" cy="72000"/>
                <a:chOff x="11655677" y="2310865"/>
                <a:chExt cx="331144" cy="72000"/>
              </a:xfrm>
            </cdr:grpSpPr>
            <cdr:cxnSp macro="">
              <cdr:nvCxnSpPr>
                <cdr:cNvPr id="10" name="Gerader Verbinder 9">
                  <a:extLst xmlns:a="http://schemas.openxmlformats.org/drawingml/2006/main">
                    <a:ext uri="{FF2B5EF4-FFF2-40B4-BE49-F238E27FC236}">
                      <a16:creationId xmlns:a16="http://schemas.microsoft.com/office/drawing/2014/main" id="{77DD9453-E8FD-4707-8871-8A0A020AEA16}"/>
                    </a:ext>
                  </a:extLst>
                </cdr:cNvPr>
                <cdr:cNvCxnSpPr/>
              </cdr:nvCxnSpPr>
              <cdr:spPr>
                <a:xfrm xmlns:a="http://schemas.openxmlformats.org/drawingml/2006/main">
                  <a:off x="11655677" y="2346567"/>
                  <a:ext cx="331144" cy="0"/>
                </a:xfrm>
                <a:prstGeom xmlns:a="http://schemas.openxmlformats.org/drawingml/2006/main" prst="line">
                  <a:avLst/>
                </a:prstGeom>
                <a:ln xmlns:a="http://schemas.openxmlformats.org/drawingml/2006/main" w="19050">
                  <a:solidFill>
                    <a:schemeClr val="dk1"/>
                  </a:solidFill>
                </a:ln>
              </cdr:spPr>
              <cdr:style>
                <a:lnRef xmlns:a="http://schemas.openxmlformats.org/drawingml/2006/main" idx="1">
                  <a:schemeClr val="dk1"/>
                </a:lnRef>
                <a:fillRef xmlns:a="http://schemas.openxmlformats.org/drawingml/2006/main" idx="0">
                  <a:schemeClr val="dk1"/>
                </a:fillRef>
                <a:effectRef xmlns:a="http://schemas.openxmlformats.org/drawingml/2006/main" idx="0">
                  <a:schemeClr val="dk1"/>
                </a:effectRef>
                <a:fontRef xmlns:a="http://schemas.openxmlformats.org/drawingml/2006/main" idx="minor">
                  <a:schemeClr val="tx1"/>
                </a:fontRef>
              </cdr:style>
            </cdr:cxnSp>
            <cdr:sp macro="" textlink="">
              <cdr:nvSpPr>
                <cdr:cNvPr id="8" name="Rechteck 7">
                  <a:extLst xmlns:a="http://schemas.openxmlformats.org/drawingml/2006/main">
                    <a:ext uri="{FF2B5EF4-FFF2-40B4-BE49-F238E27FC236}">
                      <a16:creationId xmlns:a16="http://schemas.microsoft.com/office/drawing/2014/main" id="{B99E6C1B-77FA-4159-A9DF-527E5008AEB7}"/>
                    </a:ext>
                  </a:extLst>
                </cdr:cNvPr>
                <cdr:cNvSpPr/>
              </cdr:nvSpPr>
              <cdr:spPr>
                <a:xfrm xmlns:a="http://schemas.openxmlformats.org/drawingml/2006/main">
                  <a:off x="11790271" y="2310865"/>
                  <a:ext cx="72000" cy="72000"/>
                </a:xfrm>
                <a:prstGeom xmlns:a="http://schemas.openxmlformats.org/drawingml/2006/main" prst="rect">
                  <a:avLst/>
                </a:prstGeom>
                <a:ln xmlns:a="http://schemas.openxmlformats.org/drawingml/2006/main">
                  <a:solidFill>
                    <a:schemeClr val="dk1"/>
                  </a:solidFill>
                </a:ln>
              </cdr:spPr>
              <cdr:style>
                <a:lnRef xmlns:a="http://schemas.openxmlformats.org/drawingml/2006/main" idx="2">
                  <a:schemeClr val="dk1">
                    <a:shade val="50000"/>
                  </a:schemeClr>
                </a:lnRef>
                <a:fillRef xmlns:a="http://schemas.openxmlformats.org/drawingml/2006/main" idx="1">
                  <a:schemeClr val="dk1"/>
                </a:fillRef>
                <a:effectRef xmlns:a="http://schemas.openxmlformats.org/drawingml/2006/main" idx="0">
                  <a:schemeClr val="dk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grpSp>
          <cdr:grpSp>
            <cdr:nvGrpSpPr>
              <cdr:cNvPr id="14" name="Gruppieren 13">
                <a:extLst xmlns:a="http://schemas.openxmlformats.org/drawingml/2006/main">
                  <a:ext uri="{FF2B5EF4-FFF2-40B4-BE49-F238E27FC236}">
                    <a16:creationId xmlns:a16="http://schemas.microsoft.com/office/drawing/2014/main" id="{D87DE652-DF8B-473C-8EE2-7A545CF74ADB}"/>
                  </a:ext>
                </a:extLst>
              </cdr:cNvPr>
              <cdr:cNvGrpSpPr/>
            </cdr:nvGrpSpPr>
            <cdr:grpSpPr>
              <a:xfrm xmlns:a="http://schemas.openxmlformats.org/drawingml/2006/main">
                <a:off x="11647487" y="2408238"/>
                <a:ext cx="0" cy="0"/>
                <a:chOff x="0" y="0"/>
                <a:chExt cx="0" cy="0"/>
              </a:xfrm>
            </cdr:grpSpPr>
          </cdr:grpSp>
          <cdr:sp macro="" textlink="">
            <cdr:nvSpPr>
              <cdr:cNvPr id="17" name="Textfeld 16">
                <a:extLst xmlns:a="http://schemas.openxmlformats.org/drawingml/2006/main">
                  <a:ext uri="{FF2B5EF4-FFF2-40B4-BE49-F238E27FC236}">
                    <a16:creationId xmlns:a16="http://schemas.microsoft.com/office/drawing/2014/main" id="{9AA64336-1F80-4495-BACF-EAA0FAED85AF}"/>
                  </a:ext>
                </a:extLst>
              </cdr:cNvPr>
              <cdr:cNvSpPr txBox="1"/>
            </cdr:nvSpPr>
            <cdr:spPr>
              <a:xfrm xmlns:a="http://schemas.openxmlformats.org/drawingml/2006/main">
                <a:off x="11917335" y="1263455"/>
                <a:ext cx="956306" cy="477893"/>
              </a:xfrm>
              <a:prstGeom xmlns:a="http://schemas.openxmlformats.org/drawingml/2006/main" prst="rect">
                <a:avLst/>
              </a:prstGeom>
              <a:ln xmlns:a="http://schemas.openxmlformats.org/drawingml/2006/main">
                <a:noFill/>
              </a:ln>
            </cdr:spPr>
            <cdr:txBody>
              <a:bodyPr xmlns:a="http://schemas.openxmlformats.org/drawingml/2006/main" vertOverflow="clip" wrap="square" rtlCol="0"/>
              <a:lstStyle xmlns:a="http://schemas.openxmlformats.org/drawingml/2006/main"/>
              <a:p xmlns:a="http://schemas.openxmlformats.org/drawingml/2006/main">
                <a:r>
                  <a:rPr lang="en-US" sz="1100">
                    <a:latin typeface="Times New Roman" panose="02020603050405020304" pitchFamily="18" charset="0"/>
                    <a:cs typeface="Times New Roman" panose="02020603050405020304" pitchFamily="18" charset="0"/>
                  </a:rPr>
                  <a:t>linear PFAAs</a:t>
                </a:r>
              </a:p>
            </cdr:txBody>
          </cdr:sp>
          <cdr:sp macro="" textlink="">
            <cdr:nvSpPr>
              <cdr:cNvPr id="18" name="Textfeld 1">
                <a:extLst xmlns:a="http://schemas.openxmlformats.org/drawingml/2006/main">
                  <a:ext uri="{FF2B5EF4-FFF2-40B4-BE49-F238E27FC236}">
                    <a16:creationId xmlns:a16="http://schemas.microsoft.com/office/drawing/2014/main" id="{4C3EEA07-C7CE-47A4-A4F4-7667864B7517}"/>
                  </a:ext>
                </a:extLst>
              </cdr:cNvPr>
              <cdr:cNvSpPr txBox="1"/>
            </cdr:nvSpPr>
            <cdr:spPr>
              <a:xfrm xmlns:a="http://schemas.openxmlformats.org/drawingml/2006/main">
                <a:off x="12895272" y="2221138"/>
                <a:ext cx="714031" cy="345281"/>
              </a:xfrm>
              <a:prstGeom xmlns:a="http://schemas.openxmlformats.org/drawingml/2006/main" prst="rect">
                <a:avLst/>
              </a:prstGeom>
              <a:ln xmlns:a="http://schemas.openxmlformats.org/drawingml/2006/main">
                <a:noFill/>
              </a:ln>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a:latin typeface="Times New Roman" panose="02020603050405020304" pitchFamily="18" charset="0"/>
                    <a:cs typeface="Times New Roman" panose="02020603050405020304" pitchFamily="18" charset="0"/>
                  </a:rPr>
                  <a:t>branched PFAAs</a:t>
                </a:r>
              </a:p>
            </cdr:txBody>
          </cdr:sp>
          <cdr:sp macro="" textlink="">
            <cdr:nvSpPr>
              <cdr:cNvPr id="19" name="Textfeld 1">
                <a:extLst xmlns:a="http://schemas.openxmlformats.org/drawingml/2006/main">
                  <a:ext uri="{FF2B5EF4-FFF2-40B4-BE49-F238E27FC236}">
                    <a16:creationId xmlns:a16="http://schemas.microsoft.com/office/drawing/2014/main" id="{4C3EEA07-C7CE-47A4-A4F4-7667864B7517}"/>
                  </a:ext>
                </a:extLst>
              </cdr:cNvPr>
              <cdr:cNvSpPr txBox="1"/>
            </cdr:nvSpPr>
            <cdr:spPr>
              <a:xfrm xmlns:a="http://schemas.openxmlformats.org/drawingml/2006/main">
                <a:off x="11986387" y="2215699"/>
                <a:ext cx="621638" cy="345281"/>
              </a:xfrm>
              <a:prstGeom xmlns:a="http://schemas.openxmlformats.org/drawingml/2006/main" prst="rect">
                <a:avLst/>
              </a:prstGeom>
              <a:ln xmlns:a="http://schemas.openxmlformats.org/drawingml/2006/main">
                <a:noFill/>
              </a:ln>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a:latin typeface="Times New Roman" panose="02020603050405020304" pitchFamily="18" charset="0"/>
                    <a:cs typeface="Times New Roman" panose="02020603050405020304" pitchFamily="18" charset="0"/>
                  </a:rPr>
                  <a:t>linear PFAAs</a:t>
                </a:r>
              </a:p>
            </cdr:txBody>
          </cdr:sp>
          <cdr:sp macro="" textlink="">
            <cdr:nvSpPr>
              <cdr:cNvPr id="20" name="Textfeld 1">
                <a:extLst xmlns:a="http://schemas.openxmlformats.org/drawingml/2006/main">
                  <a:ext uri="{FF2B5EF4-FFF2-40B4-BE49-F238E27FC236}">
                    <a16:creationId xmlns:a16="http://schemas.microsoft.com/office/drawing/2014/main" id="{4C3EEA07-C7CE-47A4-A4F4-7667864B7517}"/>
                  </a:ext>
                </a:extLst>
              </cdr:cNvPr>
              <cdr:cNvSpPr txBox="1"/>
            </cdr:nvSpPr>
            <cdr:spPr>
              <a:xfrm xmlns:a="http://schemas.openxmlformats.org/drawingml/2006/main">
                <a:off x="12900606" y="1255028"/>
                <a:ext cx="723992" cy="345281"/>
              </a:xfrm>
              <a:prstGeom xmlns:a="http://schemas.openxmlformats.org/drawingml/2006/main" prst="rect">
                <a:avLst/>
              </a:prstGeom>
              <a:ln xmlns:a="http://schemas.openxmlformats.org/drawingml/2006/main">
                <a:noFill/>
              </a:ln>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a:latin typeface="Times New Roman" panose="02020603050405020304" pitchFamily="18" charset="0"/>
                    <a:cs typeface="Times New Roman" panose="02020603050405020304" pitchFamily="18" charset="0"/>
                  </a:rPr>
                  <a:t>branched PFAAs</a:t>
                </a:r>
              </a:p>
            </cdr:txBody>
          </cdr:sp>
        </cdr:grpSp>
        <cdr:sp macro="" textlink="">
          <cdr:nvSpPr>
            <cdr:cNvPr id="21" name="Rechteck 20">
              <a:extLst xmlns:a="http://schemas.openxmlformats.org/drawingml/2006/main">
                <a:ext uri="{FF2B5EF4-FFF2-40B4-BE49-F238E27FC236}">
                  <a16:creationId xmlns:a16="http://schemas.microsoft.com/office/drawing/2014/main" id="{AE1C27A8-3B90-437C-860F-0D0283FACA97}"/>
                </a:ext>
              </a:extLst>
            </cdr:cNvPr>
            <cdr:cNvSpPr/>
          </cdr:nvSpPr>
          <cdr:spPr>
            <a:xfrm xmlns:a="http://schemas.openxmlformats.org/drawingml/2006/main">
              <a:off x="16142948" y="253123"/>
              <a:ext cx="2233606" cy="6946446"/>
            </a:xfrm>
            <a:prstGeom xmlns:a="http://schemas.openxmlformats.org/drawingml/2006/main" prst="rect">
              <a:avLst/>
            </a:prstGeom>
            <a:noFill xmlns:a="http://schemas.openxmlformats.org/drawingml/2006/main"/>
            <a:ln xmlns:a="http://schemas.openxmlformats.org/drawingml/2006/main" w="9525">
              <a:solidFill>
                <a:schemeClr val="dk1"/>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a:p>
          </cdr:txBody>
        </cdr:sp>
      </cdr:grpSp>
      <cdr:cxnSp macro="">
        <cdr:nvCxnSpPr>
          <cdr:cNvPr id="33" name="Gerader Verbinder 32">
            <a:extLst xmlns:a="http://schemas.openxmlformats.org/drawingml/2006/main">
              <a:ext uri="{FF2B5EF4-FFF2-40B4-BE49-F238E27FC236}">
                <a16:creationId xmlns:a16="http://schemas.microsoft.com/office/drawing/2014/main" id="{7BD21C79-D7C1-4DDE-9A9E-ED573CE9302F}"/>
              </a:ext>
            </a:extLst>
          </cdr:cNvPr>
          <cdr:cNvCxnSpPr/>
        </cdr:nvCxnSpPr>
        <cdr:spPr>
          <a:xfrm xmlns:a="http://schemas.openxmlformats.org/drawingml/2006/main" flipV="1">
            <a:off x="15755245" y="2705778"/>
            <a:ext cx="2219153" cy="32"/>
          </a:xfrm>
          <a:prstGeom xmlns:a="http://schemas.openxmlformats.org/drawingml/2006/main" prst="line">
            <a:avLst/>
          </a:prstGeom>
        </cdr:spPr>
        <cdr:style>
          <a:lnRef xmlns:a="http://schemas.openxmlformats.org/drawingml/2006/main" idx="1">
            <a:schemeClr val="dk1"/>
          </a:lnRef>
          <a:fillRef xmlns:a="http://schemas.openxmlformats.org/drawingml/2006/main" idx="0">
            <a:schemeClr val="dk1"/>
          </a:fillRef>
          <a:effectRef xmlns:a="http://schemas.openxmlformats.org/drawingml/2006/main" idx="0">
            <a:schemeClr val="dk1"/>
          </a:effectRef>
          <a:fontRef xmlns:a="http://schemas.openxmlformats.org/drawingml/2006/main" idx="minor">
            <a:schemeClr val="tx1"/>
          </a:fontRef>
        </cdr:style>
      </cdr:cxnSp>
    </cdr:grpSp>
  </cdr:relSizeAnchor>
  <cdr:relSizeAnchor xmlns:cdr="http://schemas.openxmlformats.org/drawingml/2006/chartDrawing">
    <cdr:from>
      <cdr:x>0.85367</cdr:x>
      <cdr:y>0.07928</cdr:y>
    </cdr:from>
    <cdr:to>
      <cdr:x>0.96078</cdr:x>
      <cdr:y>0.12055</cdr:y>
    </cdr:to>
    <cdr:sp macro="" textlink="">
      <cdr:nvSpPr>
        <cdr:cNvPr id="24" name="Textfeld 1">
          <a:extLst xmlns:a="http://schemas.openxmlformats.org/drawingml/2006/main">
            <a:ext uri="{FF2B5EF4-FFF2-40B4-BE49-F238E27FC236}">
              <a16:creationId xmlns:a16="http://schemas.microsoft.com/office/drawing/2014/main" id="{CE65A5D4-3049-4864-BD29-3482987CC99F}"/>
            </a:ext>
          </a:extLst>
        </cdr:cNvPr>
        <cdr:cNvSpPr txBox="1"/>
      </cdr:nvSpPr>
      <cdr:spPr>
        <a:xfrm xmlns:a="http://schemas.openxmlformats.org/drawingml/2006/main">
          <a:off x="15807870" y="663121"/>
          <a:ext cx="1983343" cy="345275"/>
        </a:xfrm>
        <a:prstGeom xmlns:a="http://schemas.openxmlformats.org/drawingml/2006/main" prst="rect">
          <a:avLst/>
        </a:prstGeom>
        <a:ln xmlns:a="http://schemas.openxmlformats.org/drawingml/2006/main">
          <a:noFill/>
        </a:ln>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a:latin typeface="Times New Roman" panose="02020603050405020304" pitchFamily="18" charset="0"/>
              <a:cs typeface="Times New Roman" panose="02020603050405020304" pitchFamily="18" charset="0"/>
            </a:rPr>
            <a:t>Columns:</a:t>
          </a:r>
          <a:r>
            <a:rPr lang="en-US" sz="1100" baseline="0">
              <a:latin typeface="Times New Roman" panose="02020603050405020304" pitchFamily="18" charset="0"/>
              <a:cs typeface="Times New Roman" panose="02020603050405020304" pitchFamily="18" charset="0"/>
            </a:rPr>
            <a:t> PFAS-content in </a:t>
          </a:r>
          <a:r>
            <a:rPr lang="en-US" sz="1100" b="1" baseline="0">
              <a:latin typeface="Times New Roman" panose="02020603050405020304" pitchFamily="18" charset="0"/>
              <a:cs typeface="Times New Roman" panose="02020603050405020304" pitchFamily="18" charset="0"/>
            </a:rPr>
            <a:t>Hay</a:t>
          </a:r>
          <a:endParaRPr lang="en-US" sz="1100" b="1">
            <a:latin typeface="Times New Roman" panose="02020603050405020304" pitchFamily="18" charset="0"/>
            <a:cs typeface="Times New Roman" panose="02020603050405020304" pitchFamily="18" charset="0"/>
          </a:endParaRPr>
        </a:p>
      </cdr:txBody>
    </cdr:sp>
  </cdr:relSizeAnchor>
  <cdr:relSizeAnchor xmlns:cdr="http://schemas.openxmlformats.org/drawingml/2006/chartDrawing">
    <cdr:from>
      <cdr:x>0.85529</cdr:x>
      <cdr:y>0.21137</cdr:y>
    </cdr:from>
    <cdr:to>
      <cdr:x>0.9624</cdr:x>
      <cdr:y>0.25265</cdr:y>
    </cdr:to>
    <cdr:sp macro="" textlink="">
      <cdr:nvSpPr>
        <cdr:cNvPr id="27" name="Textfeld 1">
          <a:extLst xmlns:a="http://schemas.openxmlformats.org/drawingml/2006/main">
            <a:ext uri="{FF2B5EF4-FFF2-40B4-BE49-F238E27FC236}">
              <a16:creationId xmlns:a16="http://schemas.microsoft.com/office/drawing/2014/main" id="{CB1DD788-C464-4D8E-B598-5164E8D3CBD7}"/>
            </a:ext>
          </a:extLst>
        </cdr:cNvPr>
        <cdr:cNvSpPr txBox="1"/>
      </cdr:nvSpPr>
      <cdr:spPr>
        <a:xfrm xmlns:a="http://schemas.openxmlformats.org/drawingml/2006/main">
          <a:off x="15837807" y="1768021"/>
          <a:ext cx="1983343" cy="345275"/>
        </a:xfrm>
        <a:prstGeom xmlns:a="http://schemas.openxmlformats.org/drawingml/2006/main" prst="rect">
          <a:avLst/>
        </a:prstGeom>
        <a:ln xmlns:a="http://schemas.openxmlformats.org/drawingml/2006/main">
          <a:noFill/>
        </a:ln>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a:latin typeface="Times New Roman" panose="02020603050405020304" pitchFamily="18" charset="0"/>
              <a:cs typeface="Times New Roman" panose="02020603050405020304" pitchFamily="18" charset="0"/>
            </a:rPr>
            <a:t>Lines:</a:t>
          </a:r>
          <a:r>
            <a:rPr lang="en-US" sz="1100" baseline="0">
              <a:latin typeface="Times New Roman" panose="02020603050405020304" pitchFamily="18" charset="0"/>
              <a:cs typeface="Times New Roman" panose="02020603050405020304" pitchFamily="18" charset="0"/>
            </a:rPr>
            <a:t> PFAS-content in </a:t>
          </a:r>
          <a:r>
            <a:rPr lang="en-US" sz="1100" b="1" baseline="0">
              <a:latin typeface="Times New Roman" panose="02020603050405020304" pitchFamily="18" charset="0"/>
              <a:cs typeface="Times New Roman" panose="02020603050405020304" pitchFamily="18" charset="0"/>
            </a:rPr>
            <a:t>Milk</a:t>
          </a:r>
          <a:endParaRPr lang="en-US" sz="1100" b="1">
            <a:latin typeface="Times New Roman" panose="02020603050405020304" pitchFamily="18" charset="0"/>
            <a:cs typeface="Times New Roman" panose="02020603050405020304" pitchFamily="18" charset="0"/>
          </a:endParaRPr>
        </a:p>
      </cdr:txBody>
    </cdr:sp>
  </cdr:relSizeAnchor>
</c:userShapes>
</file>

<file path=xl/drawings/drawing20.xml><?xml version="1.0" encoding="utf-8"?>
<xdr:wsDr xmlns:xdr="http://schemas.openxmlformats.org/drawingml/2006/spreadsheetDrawing" xmlns:a="http://schemas.openxmlformats.org/drawingml/2006/main">
  <xdr:twoCellAnchor editAs="oneCell">
    <xdr:from>
      <xdr:col>18</xdr:col>
      <xdr:colOff>0</xdr:colOff>
      <xdr:row>7</xdr:row>
      <xdr:rowOff>0</xdr:rowOff>
    </xdr:from>
    <xdr:to>
      <xdr:col>22</xdr:col>
      <xdr:colOff>552953</xdr:colOff>
      <xdr:row>10</xdr:row>
      <xdr:rowOff>571792</xdr:rowOff>
    </xdr:to>
    <xdr:pic>
      <xdr:nvPicPr>
        <xdr:cNvPr id="2" name="Grafik 1">
          <a:extLst>
            <a:ext uri="{FF2B5EF4-FFF2-40B4-BE49-F238E27FC236}">
              <a16:creationId xmlns:a16="http://schemas.microsoft.com/office/drawing/2014/main" id="{5B9FBD38-3E77-4895-9D38-4BB1B94FEE4B}"/>
            </a:ext>
          </a:extLst>
        </xdr:cNvPr>
        <xdr:cNvPicPr>
          <a:picLocks noChangeAspect="1"/>
        </xdr:cNvPicPr>
      </xdr:nvPicPr>
      <xdr:blipFill>
        <a:blip xmlns:r="http://schemas.openxmlformats.org/officeDocument/2006/relationships" r:embed="rId1"/>
        <a:stretch>
          <a:fillRect/>
        </a:stretch>
      </xdr:blipFill>
      <xdr:spPr>
        <a:xfrm>
          <a:off x="20535900" y="2095500"/>
          <a:ext cx="3600953" cy="2095792"/>
        </a:xfrm>
        <a:prstGeom prst="rect">
          <a:avLst/>
        </a:prstGeom>
      </xdr:spPr>
    </xdr:pic>
    <xdr:clientData/>
  </xdr:twoCellAnchor>
  <xdr:twoCellAnchor editAs="oneCell">
    <xdr:from>
      <xdr:col>23</xdr:col>
      <xdr:colOff>0</xdr:colOff>
      <xdr:row>7</xdr:row>
      <xdr:rowOff>0</xdr:rowOff>
    </xdr:from>
    <xdr:to>
      <xdr:col>32</xdr:col>
      <xdr:colOff>601116</xdr:colOff>
      <xdr:row>10</xdr:row>
      <xdr:rowOff>952846</xdr:rowOff>
    </xdr:to>
    <xdr:pic>
      <xdr:nvPicPr>
        <xdr:cNvPr id="3" name="Grafik 2">
          <a:extLst>
            <a:ext uri="{FF2B5EF4-FFF2-40B4-BE49-F238E27FC236}">
              <a16:creationId xmlns:a16="http://schemas.microsoft.com/office/drawing/2014/main" id="{F096DEEC-A4D7-4B3C-B118-5B047DB74163}"/>
            </a:ext>
          </a:extLst>
        </xdr:cNvPr>
        <xdr:cNvPicPr>
          <a:picLocks noChangeAspect="1"/>
        </xdr:cNvPicPr>
      </xdr:nvPicPr>
      <xdr:blipFill>
        <a:blip xmlns:r="http://schemas.openxmlformats.org/officeDocument/2006/relationships" r:embed="rId2"/>
        <a:stretch>
          <a:fillRect/>
        </a:stretch>
      </xdr:blipFill>
      <xdr:spPr>
        <a:xfrm>
          <a:off x="24345900" y="2095500"/>
          <a:ext cx="7459116" cy="2476846"/>
        </a:xfrm>
        <a:prstGeom prst="rect">
          <a:avLst/>
        </a:prstGeom>
      </xdr:spPr>
    </xdr:pic>
    <xdr:clientData/>
  </xdr:twoCellAnchor>
  <xdr:twoCellAnchor editAs="oneCell">
    <xdr:from>
      <xdr:col>18</xdr:col>
      <xdr:colOff>0</xdr:colOff>
      <xdr:row>11</xdr:row>
      <xdr:rowOff>0</xdr:rowOff>
    </xdr:from>
    <xdr:to>
      <xdr:col>22</xdr:col>
      <xdr:colOff>486268</xdr:colOff>
      <xdr:row>16</xdr:row>
      <xdr:rowOff>114555</xdr:rowOff>
    </xdr:to>
    <xdr:pic>
      <xdr:nvPicPr>
        <xdr:cNvPr id="4" name="Grafik 3">
          <a:extLst>
            <a:ext uri="{FF2B5EF4-FFF2-40B4-BE49-F238E27FC236}">
              <a16:creationId xmlns:a16="http://schemas.microsoft.com/office/drawing/2014/main" id="{F5B80F33-B75A-4254-B382-B84AA3BAE30E}"/>
            </a:ext>
          </a:extLst>
        </xdr:cNvPr>
        <xdr:cNvPicPr>
          <a:picLocks noChangeAspect="1"/>
        </xdr:cNvPicPr>
      </xdr:nvPicPr>
      <xdr:blipFill>
        <a:blip xmlns:r="http://schemas.openxmlformats.org/officeDocument/2006/relationships" r:embed="rId3"/>
        <a:stretch>
          <a:fillRect/>
        </a:stretch>
      </xdr:blipFill>
      <xdr:spPr>
        <a:xfrm>
          <a:off x="20535900" y="4191000"/>
          <a:ext cx="3534268" cy="1829055"/>
        </a:xfrm>
        <a:prstGeom prst="rect">
          <a:avLst/>
        </a:prstGeom>
      </xdr:spPr>
    </xdr:pic>
    <xdr:clientData/>
  </xdr:twoCellAnchor>
</xdr:wsDr>
</file>

<file path=xl/theme/theme1.xml><?xml version="1.0" encoding="utf-8"?>
<a:theme xmlns:a="http://schemas.openxmlformats.org/drawingml/2006/main" name="Office">
  <a:themeElements>
    <a:clrScheme name="Blaugrün">
      <a:dk1>
        <a:sysClr val="windowText" lastClr="000000"/>
      </a:dk1>
      <a:lt1>
        <a:sysClr val="window" lastClr="FFFFFF"/>
      </a:lt1>
      <a:dk2>
        <a:srgbClr val="373545"/>
      </a:dk2>
      <a:lt2>
        <a:srgbClr val="CEDBE6"/>
      </a:lt2>
      <a:accent1>
        <a:srgbClr val="3494BA"/>
      </a:accent1>
      <a:accent2>
        <a:srgbClr val="58B6C0"/>
      </a:accent2>
      <a:accent3>
        <a:srgbClr val="75BDA7"/>
      </a:accent3>
      <a:accent4>
        <a:srgbClr val="7A8C8E"/>
      </a:accent4>
      <a:accent5>
        <a:srgbClr val="84ACB6"/>
      </a:accent5>
      <a:accent6>
        <a:srgbClr val="2683C6"/>
      </a:accent6>
      <a:hlink>
        <a:srgbClr val="6B9F25"/>
      </a:hlink>
      <a:folHlink>
        <a:srgbClr val="9F671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8.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9.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0.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5A80F-7045-425A-B5E8-CB414060E3E0}">
  <dimension ref="A1:F153"/>
  <sheetViews>
    <sheetView topLeftCell="A111" workbookViewId="0">
      <selection activeCell="M133" sqref="M133"/>
    </sheetView>
  </sheetViews>
  <sheetFormatPr baseColWidth="10" defaultRowHeight="15" x14ac:dyDescent="0.25"/>
  <sheetData>
    <row r="1" spans="1:6" x14ac:dyDescent="0.25">
      <c r="A1" t="s">
        <v>35</v>
      </c>
      <c r="B1" t="s">
        <v>35</v>
      </c>
      <c r="C1" t="s">
        <v>359</v>
      </c>
      <c r="D1" t="s">
        <v>356</v>
      </c>
      <c r="E1" t="s">
        <v>357</v>
      </c>
      <c r="F1" t="s">
        <v>358</v>
      </c>
    </row>
    <row r="2" spans="1:6" x14ac:dyDescent="0.25">
      <c r="A2">
        <v>1</v>
      </c>
      <c r="B2" t="s">
        <v>227</v>
      </c>
      <c r="C2" t="s">
        <v>142</v>
      </c>
      <c r="D2">
        <v>0.2139122911276021</v>
      </c>
    </row>
    <row r="3" spans="1:6" x14ac:dyDescent="0.25">
      <c r="A3">
        <v>1</v>
      </c>
      <c r="B3" t="s">
        <v>236</v>
      </c>
      <c r="C3" t="s">
        <v>142</v>
      </c>
      <c r="D3">
        <v>2.3828394246010652E-2</v>
      </c>
    </row>
    <row r="4" spans="1:6" x14ac:dyDescent="0.25">
      <c r="A4">
        <v>1</v>
      </c>
      <c r="B4" t="s">
        <v>237</v>
      </c>
      <c r="C4" t="s">
        <v>142</v>
      </c>
      <c r="D4">
        <v>0</v>
      </c>
    </row>
    <row r="5" spans="1:6" x14ac:dyDescent="0.25">
      <c r="A5">
        <v>1</v>
      </c>
      <c r="B5" t="s">
        <v>238</v>
      </c>
      <c r="C5" t="s">
        <v>142</v>
      </c>
      <c r="D5">
        <v>0</v>
      </c>
    </row>
    <row r="6" spans="1:6" x14ac:dyDescent="0.25">
      <c r="A6">
        <v>1</v>
      </c>
      <c r="B6" t="s">
        <v>239</v>
      </c>
      <c r="C6" t="s">
        <v>142</v>
      </c>
      <c r="D6">
        <v>3.0764995434754958E-2</v>
      </c>
    </row>
    <row r="7" spans="1:6" x14ac:dyDescent="0.25">
      <c r="A7">
        <v>1</v>
      </c>
      <c r="B7" t="s">
        <v>240</v>
      </c>
      <c r="C7" t="s">
        <v>142</v>
      </c>
      <c r="D7">
        <v>0.49328023225933582</v>
      </c>
    </row>
    <row r="8" spans="1:6" x14ac:dyDescent="0.25">
      <c r="A8">
        <v>1</v>
      </c>
      <c r="B8" t="s">
        <v>241</v>
      </c>
      <c r="C8" t="s">
        <v>142</v>
      </c>
      <c r="D8">
        <v>5.6076380887998738</v>
      </c>
      <c r="E8">
        <v>38.723306176533256</v>
      </c>
    </row>
    <row r="9" spans="1:6" x14ac:dyDescent="0.25">
      <c r="A9">
        <v>1</v>
      </c>
      <c r="B9" t="s">
        <v>242</v>
      </c>
      <c r="C9" t="s">
        <v>142</v>
      </c>
      <c r="D9">
        <v>5.2414143381596814</v>
      </c>
      <c r="E9">
        <v>27.949483087094571</v>
      </c>
    </row>
    <row r="10" spans="1:6" x14ac:dyDescent="0.25">
      <c r="A10">
        <v>1</v>
      </c>
      <c r="B10" t="s">
        <v>243</v>
      </c>
      <c r="C10" t="s">
        <v>142</v>
      </c>
      <c r="D10">
        <v>2.8644602851833212</v>
      </c>
      <c r="E10">
        <v>22.800894097366623</v>
      </c>
    </row>
    <row r="11" spans="1:6" x14ac:dyDescent="0.25">
      <c r="A11">
        <v>1</v>
      </c>
      <c r="B11" t="s">
        <v>244</v>
      </c>
      <c r="C11" t="s">
        <v>142</v>
      </c>
      <c r="D11">
        <v>1.0158013497117677</v>
      </c>
    </row>
    <row r="12" spans="1:6" x14ac:dyDescent="0.25">
      <c r="A12">
        <v>1</v>
      </c>
      <c r="B12" t="s">
        <v>245</v>
      </c>
      <c r="C12" t="s">
        <v>142</v>
      </c>
      <c r="D12">
        <v>4.5157954020395422E-2</v>
      </c>
    </row>
    <row r="13" spans="1:6" x14ac:dyDescent="0.25">
      <c r="A13">
        <v>1</v>
      </c>
      <c r="B13" t="s">
        <v>246</v>
      </c>
      <c r="C13" t="s">
        <v>142</v>
      </c>
      <c r="D13">
        <v>0</v>
      </c>
    </row>
    <row r="14" spans="1:6" x14ac:dyDescent="0.25">
      <c r="A14">
        <v>1</v>
      </c>
      <c r="B14" t="s">
        <v>247</v>
      </c>
      <c r="C14" t="s">
        <v>142</v>
      </c>
      <c r="D14">
        <v>0</v>
      </c>
    </row>
    <row r="15" spans="1:6" x14ac:dyDescent="0.25">
      <c r="A15">
        <v>1</v>
      </c>
      <c r="B15" t="s">
        <v>248</v>
      </c>
      <c r="C15" t="s">
        <v>142</v>
      </c>
      <c r="D15">
        <v>0.3891948875193072</v>
      </c>
      <c r="E15">
        <v>3.6948143953088772</v>
      </c>
    </row>
    <row r="16" spans="1:6" x14ac:dyDescent="0.25">
      <c r="A16">
        <v>1</v>
      </c>
      <c r="B16" t="s">
        <v>249</v>
      </c>
      <c r="C16" t="s">
        <v>142</v>
      </c>
      <c r="D16">
        <v>2.3010587286251023</v>
      </c>
      <c r="E16">
        <v>21.865841658042438</v>
      </c>
    </row>
    <row r="17" spans="1:5" x14ac:dyDescent="0.25">
      <c r="A17">
        <v>1</v>
      </c>
      <c r="B17" t="s">
        <v>250</v>
      </c>
      <c r="C17" t="s">
        <v>142</v>
      </c>
      <c r="D17">
        <v>8.022922337204081</v>
      </c>
      <c r="E17">
        <v>37.066694147590653</v>
      </c>
    </row>
    <row r="18" spans="1:5" x14ac:dyDescent="0.25">
      <c r="A18">
        <v>1</v>
      </c>
      <c r="B18" t="s">
        <v>251</v>
      </c>
      <c r="C18" t="s">
        <v>142</v>
      </c>
      <c r="D18">
        <v>4.6380260497089756</v>
      </c>
      <c r="E18">
        <v>21.327605555690624</v>
      </c>
    </row>
    <row r="19" spans="1:5" x14ac:dyDescent="0.25">
      <c r="A19">
        <v>1</v>
      </c>
      <c r="B19" t="s">
        <v>252</v>
      </c>
      <c r="C19" t="s">
        <v>142</v>
      </c>
      <c r="D19">
        <v>1.3895658841260161</v>
      </c>
      <c r="E19">
        <v>15.576341136178547</v>
      </c>
    </row>
    <row r="20" spans="1:5" x14ac:dyDescent="0.25">
      <c r="A20">
        <v>1</v>
      </c>
      <c r="B20" t="s">
        <v>253</v>
      </c>
      <c r="C20" t="s">
        <v>142</v>
      </c>
      <c r="D20">
        <v>0.69744411084667035</v>
      </c>
      <c r="E20">
        <v>12.859873479776349</v>
      </c>
    </row>
    <row r="21" spans="1:5" x14ac:dyDescent="0.25">
      <c r="A21">
        <v>1</v>
      </c>
      <c r="B21" t="s">
        <v>254</v>
      </c>
      <c r="C21" t="s">
        <v>142</v>
      </c>
      <c r="D21">
        <v>0.50000095927703292</v>
      </c>
      <c r="E21">
        <v>10.360944402988718</v>
      </c>
    </row>
    <row r="22" spans="1:5" x14ac:dyDescent="0.25">
      <c r="A22">
        <v>1</v>
      </c>
      <c r="B22" t="s">
        <v>255</v>
      </c>
      <c r="C22" t="s">
        <v>137</v>
      </c>
      <c r="D22">
        <v>0.37223955632543582</v>
      </c>
      <c r="E22">
        <v>14.747812352339261</v>
      </c>
    </row>
    <row r="23" spans="1:5" x14ac:dyDescent="0.25">
      <c r="A23">
        <v>1</v>
      </c>
      <c r="B23" t="s">
        <v>256</v>
      </c>
      <c r="C23" t="s">
        <v>137</v>
      </c>
    </row>
    <row r="24" spans="1:5" x14ac:dyDescent="0.25">
      <c r="A24">
        <v>1</v>
      </c>
      <c r="B24" t="s">
        <v>238</v>
      </c>
      <c r="C24" t="s">
        <v>137</v>
      </c>
      <c r="D24">
        <v>0</v>
      </c>
    </row>
    <row r="25" spans="1:5" x14ac:dyDescent="0.25">
      <c r="A25">
        <v>1</v>
      </c>
      <c r="B25" t="s">
        <v>239</v>
      </c>
      <c r="C25" t="s">
        <v>137</v>
      </c>
      <c r="D25">
        <v>1.3927328689108986E-2</v>
      </c>
      <c r="E25">
        <v>48.471830808387779</v>
      </c>
    </row>
    <row r="26" spans="1:5" x14ac:dyDescent="0.25">
      <c r="A26">
        <v>1</v>
      </c>
      <c r="B26" t="s">
        <v>240</v>
      </c>
      <c r="C26" t="s">
        <v>137</v>
      </c>
      <c r="D26">
        <v>0.1670979676725898</v>
      </c>
    </row>
    <row r="27" spans="1:5" x14ac:dyDescent="0.25">
      <c r="A27">
        <v>1</v>
      </c>
      <c r="B27" t="s">
        <v>241</v>
      </c>
      <c r="C27" t="s">
        <v>137</v>
      </c>
      <c r="D27">
        <v>4.3376522219440554</v>
      </c>
      <c r="E27">
        <v>22.951893396024676</v>
      </c>
    </row>
    <row r="28" spans="1:5" x14ac:dyDescent="0.25">
      <c r="A28">
        <v>1</v>
      </c>
      <c r="B28" t="s">
        <v>242</v>
      </c>
      <c r="C28" t="s">
        <v>137</v>
      </c>
      <c r="D28">
        <v>3.9471665677764602</v>
      </c>
      <c r="E28">
        <v>70.729304138769933</v>
      </c>
    </row>
    <row r="29" spans="1:5" x14ac:dyDescent="0.25">
      <c r="A29">
        <v>1</v>
      </c>
      <c r="B29" t="s">
        <v>243</v>
      </c>
      <c r="C29" t="s">
        <v>137</v>
      </c>
      <c r="D29">
        <v>1.7142675415847026</v>
      </c>
      <c r="E29">
        <v>25.767553180667111</v>
      </c>
    </row>
    <row r="30" spans="1:5" x14ac:dyDescent="0.25">
      <c r="A30">
        <v>1</v>
      </c>
      <c r="B30" t="s">
        <v>244</v>
      </c>
      <c r="C30" t="s">
        <v>137</v>
      </c>
      <c r="D30">
        <v>0.73247793353125945</v>
      </c>
      <c r="E30">
        <v>10.50223000848402</v>
      </c>
    </row>
    <row r="31" spans="1:5" x14ac:dyDescent="0.25">
      <c r="A31">
        <v>1</v>
      </c>
      <c r="B31" t="s">
        <v>245</v>
      </c>
      <c r="C31" t="s">
        <v>137</v>
      </c>
      <c r="D31">
        <v>0.29789686949228666</v>
      </c>
      <c r="E31">
        <v>4.1283334160806753</v>
      </c>
    </row>
    <row r="32" spans="1:5" x14ac:dyDescent="0.25">
      <c r="A32">
        <v>1</v>
      </c>
      <c r="B32" t="s">
        <v>257</v>
      </c>
      <c r="C32" t="s">
        <v>137</v>
      </c>
      <c r="D32">
        <v>0</v>
      </c>
    </row>
    <row r="33" spans="1:6" x14ac:dyDescent="0.25">
      <c r="A33">
        <v>1</v>
      </c>
      <c r="B33" t="s">
        <v>258</v>
      </c>
      <c r="C33" t="s">
        <v>137</v>
      </c>
    </row>
    <row r="34" spans="1:6" x14ac:dyDescent="0.25">
      <c r="A34">
        <v>1</v>
      </c>
      <c r="B34" t="s">
        <v>250</v>
      </c>
      <c r="C34" t="s">
        <v>137</v>
      </c>
      <c r="D34">
        <v>7.2298876394404257</v>
      </c>
      <c r="E34">
        <v>42.786862997527486</v>
      </c>
    </row>
    <row r="35" spans="1:6" x14ac:dyDescent="0.25">
      <c r="A35">
        <v>1</v>
      </c>
      <c r="B35" t="s">
        <v>251</v>
      </c>
      <c r="C35" t="s">
        <v>137</v>
      </c>
      <c r="D35">
        <v>4.9411318393940302</v>
      </c>
      <c r="E35">
        <v>27.182242374899818</v>
      </c>
    </row>
    <row r="36" spans="1:6" x14ac:dyDescent="0.25">
      <c r="A36">
        <v>1</v>
      </c>
      <c r="B36" t="s">
        <v>252</v>
      </c>
      <c r="C36" t="s">
        <v>137</v>
      </c>
      <c r="D36">
        <v>1.0723238348089073</v>
      </c>
      <c r="E36">
        <v>16.582468434448455</v>
      </c>
    </row>
    <row r="37" spans="1:6" x14ac:dyDescent="0.25">
      <c r="A37">
        <v>1</v>
      </c>
      <c r="B37" t="s">
        <v>253</v>
      </c>
      <c r="C37" t="s">
        <v>137</v>
      </c>
      <c r="D37">
        <v>0.37640112688457633</v>
      </c>
      <c r="E37">
        <v>7.4853907187899056</v>
      </c>
    </row>
    <row r="38" spans="1:6" x14ac:dyDescent="0.25">
      <c r="A38">
        <v>1</v>
      </c>
      <c r="B38" t="s">
        <v>254</v>
      </c>
      <c r="C38" t="s">
        <v>137</v>
      </c>
      <c r="D38">
        <v>0.13263851403211058</v>
      </c>
      <c r="E38">
        <v>3.3729789808269848</v>
      </c>
    </row>
    <row r="39" spans="1:6" x14ac:dyDescent="0.25">
      <c r="A39">
        <v>1</v>
      </c>
      <c r="B39" t="s">
        <v>255</v>
      </c>
      <c r="C39" t="s">
        <v>137</v>
      </c>
      <c r="D39">
        <v>5.0363350789657264E-2</v>
      </c>
      <c r="E39">
        <v>4.7935489665279754</v>
      </c>
    </row>
    <row r="40" spans="1:6" x14ac:dyDescent="0.25">
      <c r="A40">
        <v>2</v>
      </c>
      <c r="B40" t="s">
        <v>227</v>
      </c>
      <c r="C40" t="s">
        <v>142</v>
      </c>
      <c r="D40">
        <v>0.40013115891727669</v>
      </c>
      <c r="E40">
        <v>27.39712176126266</v>
      </c>
    </row>
    <row r="41" spans="1:6" x14ac:dyDescent="0.25">
      <c r="A41">
        <v>2</v>
      </c>
      <c r="B41" t="s">
        <v>236</v>
      </c>
      <c r="C41" t="s">
        <v>142</v>
      </c>
      <c r="D41">
        <v>2.4174269330779544E-2</v>
      </c>
    </row>
    <row r="42" spans="1:6" x14ac:dyDescent="0.25">
      <c r="A42">
        <v>2</v>
      </c>
      <c r="B42" t="s">
        <v>237</v>
      </c>
      <c r="C42" t="s">
        <v>142</v>
      </c>
      <c r="D42">
        <v>0</v>
      </c>
    </row>
    <row r="43" spans="1:6" x14ac:dyDescent="0.25">
      <c r="A43">
        <v>2</v>
      </c>
      <c r="B43" t="s">
        <v>238</v>
      </c>
      <c r="C43" t="s">
        <v>142</v>
      </c>
      <c r="D43">
        <v>0</v>
      </c>
    </row>
    <row r="44" spans="1:6" x14ac:dyDescent="0.25">
      <c r="A44">
        <v>2</v>
      </c>
      <c r="B44" t="s">
        <v>239</v>
      </c>
      <c r="C44" t="s">
        <v>142</v>
      </c>
      <c r="D44">
        <v>9.7153312082511392E-2</v>
      </c>
      <c r="E44">
        <v>19.975423070891793</v>
      </c>
    </row>
    <row r="45" spans="1:6" x14ac:dyDescent="0.25">
      <c r="A45">
        <v>2</v>
      </c>
      <c r="B45" t="s">
        <v>240</v>
      </c>
      <c r="C45" t="s">
        <v>142</v>
      </c>
      <c r="D45">
        <v>1.6878303050683843</v>
      </c>
      <c r="E45">
        <v>39.836044859766972</v>
      </c>
    </row>
    <row r="46" spans="1:6" x14ac:dyDescent="0.25">
      <c r="A46">
        <v>2</v>
      </c>
      <c r="B46" t="s">
        <v>241</v>
      </c>
      <c r="C46" t="s">
        <v>142</v>
      </c>
      <c r="D46">
        <v>10.997824515196736</v>
      </c>
      <c r="E46">
        <v>29.748806032615676</v>
      </c>
      <c r="F46">
        <v>22.504778589608613</v>
      </c>
    </row>
    <row r="47" spans="1:6" x14ac:dyDescent="0.25">
      <c r="A47">
        <v>2</v>
      </c>
      <c r="B47" t="s">
        <v>242</v>
      </c>
      <c r="C47" t="s">
        <v>142</v>
      </c>
      <c r="D47">
        <v>8.9945379878670781</v>
      </c>
      <c r="E47">
        <v>20.877927125299557</v>
      </c>
      <c r="F47">
        <v>19.635897466287403</v>
      </c>
    </row>
    <row r="48" spans="1:6" x14ac:dyDescent="0.25">
      <c r="A48">
        <v>2</v>
      </c>
      <c r="B48" t="s">
        <v>243</v>
      </c>
      <c r="C48" t="s">
        <v>142</v>
      </c>
      <c r="D48">
        <v>4.0288437663151475</v>
      </c>
      <c r="E48">
        <v>24.320953703857729</v>
      </c>
      <c r="F48">
        <v>14.088357328454173</v>
      </c>
    </row>
    <row r="49" spans="1:6" x14ac:dyDescent="0.25">
      <c r="A49">
        <v>2</v>
      </c>
      <c r="B49" t="s">
        <v>244</v>
      </c>
      <c r="C49" t="s">
        <v>142</v>
      </c>
      <c r="D49">
        <v>1.9282577911860912</v>
      </c>
      <c r="E49">
        <v>11.571739241401424</v>
      </c>
      <c r="F49">
        <v>5.9754067289650452</v>
      </c>
    </row>
    <row r="50" spans="1:6" x14ac:dyDescent="0.25">
      <c r="A50">
        <v>2</v>
      </c>
      <c r="B50" t="s">
        <v>245</v>
      </c>
      <c r="C50" t="s">
        <v>142</v>
      </c>
      <c r="D50">
        <v>0.75182557776935388</v>
      </c>
      <c r="E50">
        <v>9.8318749015595088</v>
      </c>
    </row>
    <row r="51" spans="1:6" x14ac:dyDescent="0.25">
      <c r="A51">
        <v>2</v>
      </c>
      <c r="B51" t="s">
        <v>246</v>
      </c>
      <c r="C51" t="s">
        <v>142</v>
      </c>
      <c r="D51">
        <v>0</v>
      </c>
    </row>
    <row r="52" spans="1:6" x14ac:dyDescent="0.25">
      <c r="A52">
        <v>2</v>
      </c>
      <c r="B52" t="s">
        <v>247</v>
      </c>
      <c r="C52" t="s">
        <v>142</v>
      </c>
    </row>
    <row r="53" spans="1:6" x14ac:dyDescent="0.25">
      <c r="A53">
        <v>2</v>
      </c>
      <c r="B53" t="s">
        <v>248</v>
      </c>
      <c r="C53" t="s">
        <v>142</v>
      </c>
      <c r="D53">
        <v>0.69716189790462113</v>
      </c>
      <c r="E53">
        <v>5.4321879354227693</v>
      </c>
      <c r="F53">
        <v>6.7230570374388483</v>
      </c>
    </row>
    <row r="54" spans="1:6" x14ac:dyDescent="0.25">
      <c r="A54">
        <v>2</v>
      </c>
      <c r="B54" t="s">
        <v>249</v>
      </c>
      <c r="C54" t="s">
        <v>142</v>
      </c>
      <c r="D54">
        <v>3.4881994899704125</v>
      </c>
      <c r="E54">
        <v>33.647921386405109</v>
      </c>
      <c r="F54">
        <v>14.747812352339261</v>
      </c>
    </row>
    <row r="55" spans="1:6" x14ac:dyDescent="0.25">
      <c r="A55">
        <v>2</v>
      </c>
      <c r="B55" t="s">
        <v>250</v>
      </c>
      <c r="C55" t="s">
        <v>142</v>
      </c>
      <c r="D55">
        <v>12.978334280724207</v>
      </c>
      <c r="E55">
        <v>28.64244547768369</v>
      </c>
      <c r="F55">
        <v>24.492833235333755</v>
      </c>
    </row>
    <row r="56" spans="1:6" x14ac:dyDescent="0.25">
      <c r="A56">
        <v>2</v>
      </c>
      <c r="B56" t="s">
        <v>251</v>
      </c>
      <c r="C56" t="s">
        <v>142</v>
      </c>
      <c r="D56">
        <v>7.5710466997461197</v>
      </c>
      <c r="E56">
        <v>16.464303576245733</v>
      </c>
      <c r="F56">
        <v>16.119701873487102</v>
      </c>
    </row>
    <row r="57" spans="1:6" x14ac:dyDescent="0.25">
      <c r="A57">
        <v>2</v>
      </c>
      <c r="B57" t="s">
        <v>252</v>
      </c>
      <c r="C57" t="s">
        <v>142</v>
      </c>
      <c r="D57">
        <v>1.7758240074681457</v>
      </c>
      <c r="E57">
        <v>13.004637533957698</v>
      </c>
      <c r="F57">
        <v>11.848669753161458</v>
      </c>
    </row>
    <row r="58" spans="1:6" x14ac:dyDescent="0.25">
      <c r="A58">
        <v>2</v>
      </c>
      <c r="B58" t="s">
        <v>253</v>
      </c>
      <c r="C58" t="s">
        <v>142</v>
      </c>
      <c r="D58">
        <v>1.5064482549244105</v>
      </c>
      <c r="E58">
        <v>11.270685862763338</v>
      </c>
      <c r="F58">
        <v>8.3011638390412603</v>
      </c>
    </row>
    <row r="59" spans="1:6" x14ac:dyDescent="0.25">
      <c r="A59">
        <v>2</v>
      </c>
      <c r="B59" t="s">
        <v>254</v>
      </c>
      <c r="C59" t="s">
        <v>142</v>
      </c>
      <c r="D59">
        <v>0.76479669492037039</v>
      </c>
      <c r="E59">
        <v>8.7629226366617612</v>
      </c>
      <c r="F59">
        <v>8.3511708501198214</v>
      </c>
    </row>
    <row r="60" spans="1:6" x14ac:dyDescent="0.25">
      <c r="A60">
        <v>2</v>
      </c>
      <c r="B60" t="s">
        <v>255</v>
      </c>
      <c r="C60" t="s">
        <v>137</v>
      </c>
      <c r="D60">
        <v>0.4911132681866156</v>
      </c>
      <c r="E60">
        <v>7.1384879563331127</v>
      </c>
    </row>
    <row r="61" spans="1:6" x14ac:dyDescent="0.25">
      <c r="A61">
        <v>2</v>
      </c>
      <c r="B61" t="s">
        <v>256</v>
      </c>
      <c r="C61" t="s">
        <v>137</v>
      </c>
    </row>
    <row r="62" spans="1:6" x14ac:dyDescent="0.25">
      <c r="A62">
        <v>2</v>
      </c>
      <c r="B62" t="s">
        <v>238</v>
      </c>
      <c r="C62" t="s">
        <v>137</v>
      </c>
      <c r="D62">
        <v>0</v>
      </c>
    </row>
    <row r="63" spans="1:6" x14ac:dyDescent="0.25">
      <c r="A63">
        <v>2</v>
      </c>
      <c r="B63" t="s">
        <v>239</v>
      </c>
      <c r="C63" t="s">
        <v>137</v>
      </c>
      <c r="D63">
        <v>4.8408370207707913E-2</v>
      </c>
    </row>
    <row r="64" spans="1:6" x14ac:dyDescent="0.25">
      <c r="A64">
        <v>2</v>
      </c>
      <c r="B64" t="s">
        <v>240</v>
      </c>
      <c r="C64" t="s">
        <v>137</v>
      </c>
      <c r="D64">
        <v>0.39131203175440571</v>
      </c>
    </row>
    <row r="65" spans="1:6" x14ac:dyDescent="0.25">
      <c r="A65">
        <v>2</v>
      </c>
      <c r="B65" t="s">
        <v>241</v>
      </c>
      <c r="C65" t="s">
        <v>137</v>
      </c>
      <c r="D65">
        <v>2.4296364760925302</v>
      </c>
    </row>
    <row r="66" spans="1:6" x14ac:dyDescent="0.25">
      <c r="A66">
        <v>2</v>
      </c>
      <c r="B66" t="s">
        <v>242</v>
      </c>
      <c r="C66" t="s">
        <v>137</v>
      </c>
      <c r="D66">
        <v>5.0952232658951591</v>
      </c>
      <c r="E66">
        <v>128.36058899258245</v>
      </c>
    </row>
    <row r="67" spans="1:6" x14ac:dyDescent="0.25">
      <c r="A67">
        <v>2</v>
      </c>
      <c r="B67" t="s">
        <v>243</v>
      </c>
      <c r="C67" t="s">
        <v>137</v>
      </c>
      <c r="D67">
        <v>2.5726304053586881</v>
      </c>
      <c r="E67">
        <v>23.819490740891588</v>
      </c>
    </row>
    <row r="68" spans="1:6" x14ac:dyDescent="0.25">
      <c r="A68">
        <v>2</v>
      </c>
      <c r="B68" t="s">
        <v>244</v>
      </c>
      <c r="C68" t="s">
        <v>137</v>
      </c>
      <c r="D68">
        <v>1.4163015532811367</v>
      </c>
      <c r="E68">
        <v>7.8410314542980233</v>
      </c>
    </row>
    <row r="69" spans="1:6" x14ac:dyDescent="0.25">
      <c r="A69">
        <v>2</v>
      </c>
      <c r="B69" t="s">
        <v>245</v>
      </c>
      <c r="C69" t="s">
        <v>137</v>
      </c>
      <c r="D69">
        <v>0.43904913535773515</v>
      </c>
    </row>
    <row r="70" spans="1:6" x14ac:dyDescent="0.25">
      <c r="A70">
        <v>2</v>
      </c>
      <c r="B70" t="s">
        <v>257</v>
      </c>
      <c r="C70" t="s">
        <v>137</v>
      </c>
      <c r="D70">
        <v>0</v>
      </c>
    </row>
    <row r="71" spans="1:6" x14ac:dyDescent="0.25">
      <c r="A71">
        <v>2</v>
      </c>
      <c r="B71" t="s">
        <v>258</v>
      </c>
      <c r="C71" t="s">
        <v>137</v>
      </c>
      <c r="F71">
        <v>11.289042028663603</v>
      </c>
    </row>
    <row r="72" spans="1:6" x14ac:dyDescent="0.25">
      <c r="A72">
        <v>2</v>
      </c>
      <c r="B72" t="s">
        <v>250</v>
      </c>
      <c r="C72" t="s">
        <v>137</v>
      </c>
      <c r="D72">
        <v>13.624350463833141</v>
      </c>
      <c r="E72">
        <v>28.176714656908345</v>
      </c>
      <c r="F72">
        <v>26.355406104940887</v>
      </c>
    </row>
    <row r="73" spans="1:6" x14ac:dyDescent="0.25">
      <c r="A73">
        <v>2</v>
      </c>
      <c r="B73" t="s">
        <v>251</v>
      </c>
      <c r="C73" t="s">
        <v>137</v>
      </c>
      <c r="D73">
        <v>8.5266071418079132</v>
      </c>
      <c r="E73">
        <v>19.254088348887372</v>
      </c>
      <c r="F73">
        <v>22.216255787177733</v>
      </c>
    </row>
    <row r="74" spans="1:6" x14ac:dyDescent="0.25">
      <c r="A74">
        <v>2</v>
      </c>
      <c r="B74" t="s">
        <v>252</v>
      </c>
      <c r="C74" t="s">
        <v>137</v>
      </c>
      <c r="D74">
        <v>1.4267812966212088</v>
      </c>
      <c r="E74">
        <v>12.012949403118636</v>
      </c>
      <c r="F74">
        <v>13.725686743761292</v>
      </c>
    </row>
    <row r="75" spans="1:6" x14ac:dyDescent="0.25">
      <c r="A75">
        <v>2</v>
      </c>
      <c r="B75" t="s">
        <v>253</v>
      </c>
      <c r="C75" t="s">
        <v>137</v>
      </c>
      <c r="D75">
        <v>0.73341815146185274</v>
      </c>
      <c r="E75">
        <v>4.1781023541889413</v>
      </c>
      <c r="F75">
        <v>14.203835667211992</v>
      </c>
    </row>
    <row r="76" spans="1:6" x14ac:dyDescent="0.25">
      <c r="A76">
        <v>2</v>
      </c>
      <c r="B76" t="s">
        <v>254</v>
      </c>
      <c r="C76" t="s">
        <v>137</v>
      </c>
      <c r="D76">
        <v>0.24427000029207491</v>
      </c>
      <c r="E76">
        <v>2.0928356900964533</v>
      </c>
      <c r="F76">
        <v>4.221359199512456</v>
      </c>
    </row>
    <row r="77" spans="1:6" x14ac:dyDescent="0.25">
      <c r="A77">
        <v>2</v>
      </c>
      <c r="B77" t="s">
        <v>255</v>
      </c>
      <c r="C77" t="s">
        <v>137</v>
      </c>
      <c r="D77">
        <v>8.9966552838817895E-2</v>
      </c>
      <c r="E77">
        <v>1.6294009886223444</v>
      </c>
      <c r="F77">
        <v>2.1627057115754922</v>
      </c>
    </row>
    <row r="78" spans="1:6" x14ac:dyDescent="0.25">
      <c r="A78">
        <v>3</v>
      </c>
      <c r="B78" t="s">
        <v>227</v>
      </c>
      <c r="C78" t="s">
        <v>142</v>
      </c>
      <c r="D78">
        <v>0.29329345177962096</v>
      </c>
      <c r="E78">
        <v>23.259972502011586</v>
      </c>
    </row>
    <row r="79" spans="1:6" x14ac:dyDescent="0.25">
      <c r="A79">
        <v>3</v>
      </c>
      <c r="B79" t="s">
        <v>236</v>
      </c>
      <c r="C79" t="s">
        <v>142</v>
      </c>
      <c r="D79">
        <v>1.8820700216620065E-2</v>
      </c>
    </row>
    <row r="80" spans="1:6" x14ac:dyDescent="0.25">
      <c r="A80">
        <v>3</v>
      </c>
      <c r="B80" t="s">
        <v>237</v>
      </c>
      <c r="C80" t="s">
        <v>142</v>
      </c>
      <c r="D80">
        <v>0</v>
      </c>
    </row>
    <row r="81" spans="1:6" x14ac:dyDescent="0.25">
      <c r="A81">
        <v>3</v>
      </c>
      <c r="B81" t="s">
        <v>238</v>
      </c>
      <c r="C81" t="s">
        <v>142</v>
      </c>
      <c r="D81">
        <v>0</v>
      </c>
    </row>
    <row r="82" spans="1:6" x14ac:dyDescent="0.25">
      <c r="A82">
        <v>3</v>
      </c>
      <c r="B82" t="s">
        <v>239</v>
      </c>
      <c r="C82" t="s">
        <v>142</v>
      </c>
      <c r="D82">
        <v>6.2472742368484678E-2</v>
      </c>
      <c r="E82">
        <v>8.3011638390412603</v>
      </c>
    </row>
    <row r="83" spans="1:6" x14ac:dyDescent="0.25">
      <c r="A83">
        <v>3</v>
      </c>
      <c r="B83" t="s">
        <v>240</v>
      </c>
      <c r="C83" t="s">
        <v>142</v>
      </c>
      <c r="D83">
        <v>0.74112086086661999</v>
      </c>
      <c r="E83">
        <v>44.432511574355466</v>
      </c>
    </row>
    <row r="84" spans="1:6" x14ac:dyDescent="0.25">
      <c r="A84">
        <v>3</v>
      </c>
      <c r="B84" t="s">
        <v>241</v>
      </c>
      <c r="C84" t="s">
        <v>142</v>
      </c>
      <c r="D84">
        <v>6.9746944087747647</v>
      </c>
      <c r="E84">
        <v>77.881705680892736</v>
      </c>
      <c r="F84">
        <v>22.651868645749847</v>
      </c>
    </row>
    <row r="85" spans="1:6" x14ac:dyDescent="0.25">
      <c r="A85">
        <v>3</v>
      </c>
      <c r="B85" t="s">
        <v>242</v>
      </c>
      <c r="C85" t="s">
        <v>142</v>
      </c>
      <c r="D85">
        <v>4.8712712727033125</v>
      </c>
      <c r="E85">
        <v>41.258760747615796</v>
      </c>
      <c r="F85">
        <v>15.403270679109896</v>
      </c>
    </row>
    <row r="86" spans="1:6" x14ac:dyDescent="0.25">
      <c r="A86">
        <v>3</v>
      </c>
      <c r="B86" t="s">
        <v>243</v>
      </c>
      <c r="C86" t="s">
        <v>142</v>
      </c>
      <c r="D86">
        <v>2.1239172099442469</v>
      </c>
      <c r="E86">
        <v>21.526309955277803</v>
      </c>
      <c r="F86">
        <v>13.355437005008579</v>
      </c>
    </row>
    <row r="87" spans="1:6" x14ac:dyDescent="0.25">
      <c r="A87">
        <v>3</v>
      </c>
      <c r="B87" t="s">
        <v>244</v>
      </c>
      <c r="C87" t="s">
        <v>142</v>
      </c>
      <c r="D87">
        <v>0.87576562318363427</v>
      </c>
      <c r="E87">
        <v>21.327605555690624</v>
      </c>
      <c r="F87">
        <v>5.2630765418370933</v>
      </c>
    </row>
    <row r="88" spans="1:6" x14ac:dyDescent="0.25">
      <c r="A88">
        <v>3</v>
      </c>
      <c r="B88" t="s">
        <v>245</v>
      </c>
      <c r="C88" t="s">
        <v>142</v>
      </c>
      <c r="D88">
        <v>7.9214154992685679E-2</v>
      </c>
    </row>
    <row r="89" spans="1:6" x14ac:dyDescent="0.25">
      <c r="A89">
        <v>3</v>
      </c>
      <c r="B89" t="s">
        <v>246</v>
      </c>
      <c r="C89" t="s">
        <v>142</v>
      </c>
      <c r="D89">
        <v>0</v>
      </c>
    </row>
    <row r="90" spans="1:6" x14ac:dyDescent="0.25">
      <c r="A90">
        <v>3</v>
      </c>
      <c r="B90" t="s">
        <v>247</v>
      </c>
      <c r="C90" t="s">
        <v>142</v>
      </c>
    </row>
    <row r="91" spans="1:6" x14ac:dyDescent="0.25">
      <c r="A91">
        <v>3</v>
      </c>
      <c r="B91" t="s">
        <v>248</v>
      </c>
      <c r="C91" t="s">
        <v>142</v>
      </c>
      <c r="D91">
        <v>0.44326031353705075</v>
      </c>
      <c r="E91">
        <v>3.6045095192924874</v>
      </c>
      <c r="F91">
        <v>7.6421960370446005</v>
      </c>
    </row>
    <row r="92" spans="1:6" x14ac:dyDescent="0.25">
      <c r="A92">
        <v>3</v>
      </c>
      <c r="B92" t="s">
        <v>249</v>
      </c>
      <c r="C92" t="s">
        <v>142</v>
      </c>
      <c r="D92">
        <v>1.4312100080529291</v>
      </c>
      <c r="E92">
        <v>48.471830808387779</v>
      </c>
      <c r="F92">
        <v>11.748257297626193</v>
      </c>
    </row>
    <row r="93" spans="1:6" x14ac:dyDescent="0.25">
      <c r="A93">
        <v>3</v>
      </c>
      <c r="B93" t="s">
        <v>250</v>
      </c>
      <c r="C93" t="s">
        <v>142</v>
      </c>
      <c r="D93">
        <v>7.7021479589851047</v>
      </c>
      <c r="E93">
        <v>28.524575331684993</v>
      </c>
      <c r="F93" s="58">
        <v>24.93335181870307</v>
      </c>
    </row>
    <row r="94" spans="1:6" x14ac:dyDescent="0.25">
      <c r="A94">
        <v>3</v>
      </c>
      <c r="B94" t="s">
        <v>251</v>
      </c>
      <c r="C94" t="s">
        <v>142</v>
      </c>
      <c r="D94">
        <v>3.9889271225297263</v>
      </c>
      <c r="E94">
        <v>15.646663218057457</v>
      </c>
      <c r="F94">
        <v>15.753345012726029</v>
      </c>
    </row>
    <row r="95" spans="1:6" x14ac:dyDescent="0.25">
      <c r="A95">
        <v>3</v>
      </c>
      <c r="B95" t="s">
        <v>252</v>
      </c>
      <c r="C95" t="s">
        <v>142</v>
      </c>
      <c r="D95">
        <v>1.0041453957793416</v>
      </c>
      <c r="E95">
        <v>10.915703630865281</v>
      </c>
      <c r="F95">
        <v>11.197854290144512</v>
      </c>
    </row>
    <row r="96" spans="1:6" x14ac:dyDescent="0.25">
      <c r="A96">
        <v>3</v>
      </c>
      <c r="B96" t="s">
        <v>253</v>
      </c>
      <c r="C96" t="s">
        <v>142</v>
      </c>
      <c r="D96">
        <v>0.72121845579565003</v>
      </c>
      <c r="E96">
        <v>11.649532446385635</v>
      </c>
      <c r="F96">
        <v>8.0411505865422885</v>
      </c>
    </row>
    <row r="97" spans="1:6" x14ac:dyDescent="0.25">
      <c r="A97">
        <v>3</v>
      </c>
      <c r="B97" t="s">
        <v>254</v>
      </c>
      <c r="C97" t="s">
        <v>142</v>
      </c>
      <c r="D97">
        <v>0.35025831637571075</v>
      </c>
      <c r="E97">
        <v>10.060191299854068</v>
      </c>
      <c r="F97">
        <v>4.0205752932711443</v>
      </c>
    </row>
    <row r="98" spans="1:6" x14ac:dyDescent="0.25">
      <c r="A98">
        <v>3</v>
      </c>
      <c r="B98" t="s">
        <v>255</v>
      </c>
      <c r="C98" t="s">
        <v>137</v>
      </c>
      <c r="D98">
        <v>0.25619955551203849</v>
      </c>
      <c r="E98">
        <v>8.9093467938296325</v>
      </c>
    </row>
    <row r="99" spans="1:6" x14ac:dyDescent="0.25">
      <c r="A99">
        <v>3</v>
      </c>
      <c r="B99" t="s">
        <v>256</v>
      </c>
      <c r="C99" t="s">
        <v>137</v>
      </c>
    </row>
    <row r="100" spans="1:6" x14ac:dyDescent="0.25">
      <c r="A100">
        <v>3</v>
      </c>
      <c r="B100" t="s">
        <v>238</v>
      </c>
      <c r="C100" t="s">
        <v>137</v>
      </c>
      <c r="D100">
        <v>0</v>
      </c>
    </row>
    <row r="101" spans="1:6" x14ac:dyDescent="0.25">
      <c r="A101">
        <v>3</v>
      </c>
      <c r="B101" t="s">
        <v>239</v>
      </c>
      <c r="C101" t="s">
        <v>137</v>
      </c>
      <c r="D101">
        <v>3.2901702005624263E-2</v>
      </c>
    </row>
    <row r="102" spans="1:6" x14ac:dyDescent="0.25">
      <c r="A102">
        <v>3</v>
      </c>
      <c r="B102" t="s">
        <v>240</v>
      </c>
      <c r="C102" t="s">
        <v>137</v>
      </c>
      <c r="D102">
        <v>0.18577628120289902</v>
      </c>
    </row>
    <row r="103" spans="1:6" x14ac:dyDescent="0.25">
      <c r="A103">
        <v>3</v>
      </c>
      <c r="B103" t="s">
        <v>241</v>
      </c>
      <c r="C103" t="s">
        <v>137</v>
      </c>
      <c r="D103">
        <v>0</v>
      </c>
    </row>
    <row r="104" spans="1:6" x14ac:dyDescent="0.25">
      <c r="A104">
        <v>3</v>
      </c>
      <c r="B104" t="s">
        <v>242</v>
      </c>
      <c r="C104" t="s">
        <v>137</v>
      </c>
      <c r="D104">
        <v>3.2093873139822877</v>
      </c>
      <c r="E104">
        <v>113.63068533769594</v>
      </c>
    </row>
    <row r="105" spans="1:6" x14ac:dyDescent="0.25">
      <c r="A105">
        <v>3</v>
      </c>
      <c r="B105" t="s">
        <v>243</v>
      </c>
      <c r="C105" t="s">
        <v>137</v>
      </c>
      <c r="D105">
        <v>1.074006207402745</v>
      </c>
      <c r="E105">
        <v>23.028145533553001</v>
      </c>
    </row>
    <row r="106" spans="1:6" x14ac:dyDescent="0.25">
      <c r="A106">
        <v>3</v>
      </c>
      <c r="B106" t="s">
        <v>244</v>
      </c>
      <c r="C106" t="s">
        <v>137</v>
      </c>
      <c r="D106">
        <v>0.57354425710947343</v>
      </c>
      <c r="E106">
        <v>11.788217356461654</v>
      </c>
    </row>
    <row r="107" spans="1:6" x14ac:dyDescent="0.25">
      <c r="A107">
        <v>3</v>
      </c>
      <c r="B107" t="s">
        <v>245</v>
      </c>
      <c r="C107" t="s">
        <v>137</v>
      </c>
      <c r="D107">
        <v>0.16395313213199106</v>
      </c>
    </row>
    <row r="108" spans="1:6" x14ac:dyDescent="0.25">
      <c r="A108">
        <v>3</v>
      </c>
      <c r="B108" t="s">
        <v>257</v>
      </c>
      <c r="C108" t="s">
        <v>137</v>
      </c>
      <c r="D108">
        <v>0</v>
      </c>
    </row>
    <row r="109" spans="1:6" x14ac:dyDescent="0.25">
      <c r="A109">
        <v>3</v>
      </c>
      <c r="B109" t="s">
        <v>258</v>
      </c>
      <c r="C109" t="s">
        <v>137</v>
      </c>
    </row>
    <row r="110" spans="1:6" x14ac:dyDescent="0.25">
      <c r="A110">
        <v>3</v>
      </c>
      <c r="B110" t="s">
        <v>250</v>
      </c>
      <c r="C110" t="s">
        <v>137</v>
      </c>
      <c r="D110">
        <v>7.0889748893648479</v>
      </c>
      <c r="E110">
        <v>29.246716479322586</v>
      </c>
      <c r="F110">
        <v>25.114028281157438</v>
      </c>
    </row>
    <row r="111" spans="1:6" x14ac:dyDescent="0.25">
      <c r="A111">
        <v>3</v>
      </c>
      <c r="B111" t="s">
        <v>251</v>
      </c>
      <c r="C111" t="s">
        <v>137</v>
      </c>
      <c r="D111">
        <v>4.2199166750654067</v>
      </c>
      <c r="E111">
        <v>19.470426420223184</v>
      </c>
      <c r="F111">
        <v>22.726137067539192</v>
      </c>
    </row>
    <row r="112" spans="1:6" x14ac:dyDescent="0.25">
      <c r="A112">
        <v>3</v>
      </c>
      <c r="B112" t="s">
        <v>252</v>
      </c>
      <c r="C112" t="s">
        <v>137</v>
      </c>
      <c r="D112">
        <v>0.71311018018460637</v>
      </c>
      <c r="E112">
        <v>12.42199248315314</v>
      </c>
      <c r="F112">
        <v>13.538030870311431</v>
      </c>
    </row>
    <row r="113" spans="1:6" x14ac:dyDescent="0.25">
      <c r="A113">
        <v>3</v>
      </c>
      <c r="B113" t="s">
        <v>253</v>
      </c>
      <c r="C113" t="s">
        <v>137</v>
      </c>
      <c r="D113">
        <v>0.33449907666206802</v>
      </c>
      <c r="E113">
        <v>4.1136331190501201</v>
      </c>
      <c r="F113">
        <v>9.8738914609678812</v>
      </c>
    </row>
    <row r="114" spans="1:6" x14ac:dyDescent="0.25">
      <c r="A114">
        <v>3</v>
      </c>
      <c r="B114" t="s">
        <v>254</v>
      </c>
      <c r="C114" t="s">
        <v>137</v>
      </c>
      <c r="D114">
        <v>0.10321215200382876</v>
      </c>
      <c r="E114">
        <v>1.7178368787111407</v>
      </c>
      <c r="F114">
        <v>4.2734104843399834</v>
      </c>
    </row>
    <row r="115" spans="1:6" x14ac:dyDescent="0.25">
      <c r="A115">
        <v>3</v>
      </c>
      <c r="B115" t="s">
        <v>255</v>
      </c>
      <c r="C115" t="s">
        <v>137</v>
      </c>
      <c r="D115">
        <v>3.7719955928701497E-2</v>
      </c>
      <c r="F115">
        <v>1.6413620188490299</v>
      </c>
    </row>
    <row r="116" spans="1:6" x14ac:dyDescent="0.25">
      <c r="A116">
        <v>4</v>
      </c>
      <c r="B116" t="s">
        <v>227</v>
      </c>
      <c r="C116" t="s">
        <v>142</v>
      </c>
      <c r="D116">
        <v>0.24151498416236772</v>
      </c>
      <c r="E116">
        <v>32.090147248145612</v>
      </c>
    </row>
    <row r="117" spans="1:6" x14ac:dyDescent="0.25">
      <c r="A117">
        <v>4</v>
      </c>
      <c r="B117" t="s">
        <v>236</v>
      </c>
      <c r="C117" t="s">
        <v>142</v>
      </c>
      <c r="D117">
        <v>2.1477600317480389E-2</v>
      </c>
    </row>
    <row r="118" spans="1:6" x14ac:dyDescent="0.25">
      <c r="A118">
        <v>4</v>
      </c>
      <c r="B118" t="s">
        <v>237</v>
      </c>
      <c r="C118" t="s">
        <v>142</v>
      </c>
      <c r="D118">
        <v>0</v>
      </c>
    </row>
    <row r="119" spans="1:6" x14ac:dyDescent="0.25">
      <c r="A119">
        <v>4</v>
      </c>
      <c r="B119" t="s">
        <v>238</v>
      </c>
      <c r="C119" t="s">
        <v>142</v>
      </c>
      <c r="D119">
        <v>0</v>
      </c>
    </row>
    <row r="120" spans="1:6" x14ac:dyDescent="0.25">
      <c r="A120">
        <v>4</v>
      </c>
      <c r="B120" t="s">
        <v>239</v>
      </c>
      <c r="C120" t="s">
        <v>142</v>
      </c>
      <c r="D120">
        <v>6.252493747385568E-2</v>
      </c>
      <c r="E120">
        <v>10.582399703205271</v>
      </c>
    </row>
    <row r="121" spans="1:6" x14ac:dyDescent="0.25">
      <c r="A121">
        <v>4</v>
      </c>
      <c r="B121" t="s">
        <v>240</v>
      </c>
      <c r="C121" t="s">
        <v>142</v>
      </c>
      <c r="D121">
        <v>1.3581272772727442</v>
      </c>
      <c r="E121">
        <v>30.40119212982216</v>
      </c>
    </row>
    <row r="122" spans="1:6" x14ac:dyDescent="0.25">
      <c r="A122">
        <v>4</v>
      </c>
      <c r="B122" t="s">
        <v>241</v>
      </c>
      <c r="C122" t="s">
        <v>142</v>
      </c>
      <c r="D122">
        <v>12.113239999978964</v>
      </c>
      <c r="E122">
        <v>23.576434712923309</v>
      </c>
      <c r="F122">
        <v>20.50731303431791</v>
      </c>
    </row>
    <row r="123" spans="1:6" x14ac:dyDescent="0.25">
      <c r="A123">
        <v>4</v>
      </c>
      <c r="B123" t="s">
        <v>242</v>
      </c>
      <c r="C123" t="s">
        <v>142</v>
      </c>
      <c r="D123">
        <v>9.5763015243253538</v>
      </c>
      <c r="E123">
        <v>22.216255787177733</v>
      </c>
      <c r="F123">
        <v>16.008018026788577</v>
      </c>
    </row>
    <row r="124" spans="1:6" x14ac:dyDescent="0.25">
      <c r="A124">
        <v>4</v>
      </c>
      <c r="B124" t="s">
        <v>243</v>
      </c>
      <c r="C124" t="s">
        <v>142</v>
      </c>
      <c r="D124">
        <v>3.7767703889423339</v>
      </c>
      <c r="E124">
        <v>15.10124576383323</v>
      </c>
      <c r="F124">
        <v>11.179793234837827</v>
      </c>
    </row>
    <row r="125" spans="1:6" x14ac:dyDescent="0.25">
      <c r="A125">
        <v>4</v>
      </c>
      <c r="B125" t="s">
        <v>244</v>
      </c>
      <c r="C125" t="s">
        <v>142</v>
      </c>
      <c r="D125">
        <v>2.1816756982727865</v>
      </c>
      <c r="E125">
        <v>11.143845346622914</v>
      </c>
      <c r="F125">
        <v>4.563180912178705</v>
      </c>
    </row>
    <row r="126" spans="1:6" x14ac:dyDescent="0.25">
      <c r="A126">
        <v>4</v>
      </c>
      <c r="B126" t="s">
        <v>245</v>
      </c>
      <c r="C126" t="s">
        <v>142</v>
      </c>
      <c r="D126">
        <v>0.73772453495757195</v>
      </c>
    </row>
    <row r="127" spans="1:6" x14ac:dyDescent="0.25">
      <c r="A127">
        <v>4</v>
      </c>
      <c r="B127" t="s">
        <v>246</v>
      </c>
      <c r="C127" t="s">
        <v>142</v>
      </c>
      <c r="D127">
        <v>0</v>
      </c>
    </row>
    <row r="128" spans="1:6" x14ac:dyDescent="0.25">
      <c r="A128">
        <v>4</v>
      </c>
      <c r="B128" t="s">
        <v>247</v>
      </c>
      <c r="C128" t="s">
        <v>142</v>
      </c>
    </row>
    <row r="129" spans="1:6" x14ac:dyDescent="0.25">
      <c r="A129">
        <v>4</v>
      </c>
      <c r="B129" t="s">
        <v>248</v>
      </c>
      <c r="C129" t="s">
        <v>142</v>
      </c>
      <c r="D129">
        <v>0.61351753426820543</v>
      </c>
      <c r="E129">
        <v>3.4657359027997261</v>
      </c>
      <c r="F129">
        <v>4.0558641343472512</v>
      </c>
    </row>
    <row r="130" spans="1:6" x14ac:dyDescent="0.25">
      <c r="A130">
        <v>4</v>
      </c>
      <c r="B130" t="s">
        <v>249</v>
      </c>
      <c r="C130" t="s">
        <v>142</v>
      </c>
      <c r="D130">
        <v>3.1221855092540265</v>
      </c>
      <c r="E130">
        <v>17.818693587659265</v>
      </c>
      <c r="F130">
        <v>10.470501216917603</v>
      </c>
    </row>
    <row r="131" spans="1:6" x14ac:dyDescent="0.25">
      <c r="A131">
        <v>4</v>
      </c>
      <c r="B131" t="s">
        <v>250</v>
      </c>
      <c r="C131" t="s">
        <v>142</v>
      </c>
      <c r="D131">
        <v>12.781413391681529</v>
      </c>
      <c r="E131">
        <v>26.05816468270471</v>
      </c>
      <c r="F131">
        <v>27.725887222397809</v>
      </c>
    </row>
    <row r="132" spans="1:6" x14ac:dyDescent="0.25">
      <c r="A132">
        <v>4</v>
      </c>
      <c r="B132" t="s">
        <v>251</v>
      </c>
      <c r="C132" t="s">
        <v>142</v>
      </c>
      <c r="D132">
        <v>8.4789168532288315</v>
      </c>
      <c r="E132">
        <v>14.145860827753985</v>
      </c>
      <c r="F132">
        <v>15.611422985584353</v>
      </c>
    </row>
    <row r="133" spans="1:6" x14ac:dyDescent="0.25">
      <c r="A133">
        <v>4</v>
      </c>
      <c r="B133" t="s">
        <v>252</v>
      </c>
      <c r="C133" t="s">
        <v>142</v>
      </c>
      <c r="D133">
        <v>1.7346445748010648</v>
      </c>
      <c r="E133">
        <v>10.598580742506808</v>
      </c>
      <c r="F133">
        <v>10.830424696249144</v>
      </c>
    </row>
    <row r="134" spans="1:6" x14ac:dyDescent="0.25">
      <c r="A134">
        <v>4</v>
      </c>
      <c r="B134" t="s">
        <v>253</v>
      </c>
      <c r="C134" t="s">
        <v>142</v>
      </c>
      <c r="D134">
        <v>1.4708582514239936</v>
      </c>
      <c r="E134">
        <v>8.3111172729010221</v>
      </c>
      <c r="F134">
        <v>5.2831339981703138</v>
      </c>
    </row>
    <row r="135" spans="1:6" x14ac:dyDescent="0.25">
      <c r="A135">
        <v>4</v>
      </c>
      <c r="B135" t="s">
        <v>254</v>
      </c>
      <c r="C135" t="s">
        <v>142</v>
      </c>
      <c r="D135">
        <v>0.75147833882246073</v>
      </c>
      <c r="E135">
        <v>8.7408219490535348</v>
      </c>
      <c r="F135">
        <v>6.890131019482558</v>
      </c>
    </row>
    <row r="136" spans="1:6" x14ac:dyDescent="0.25">
      <c r="A136">
        <v>4</v>
      </c>
      <c r="B136" t="s">
        <v>255</v>
      </c>
      <c r="C136" t="s">
        <v>137</v>
      </c>
      <c r="D136">
        <v>0.47594671355774287</v>
      </c>
      <c r="E136">
        <v>9.6808265441333141</v>
      </c>
    </row>
    <row r="137" spans="1:6" x14ac:dyDescent="0.25">
      <c r="A137">
        <v>4</v>
      </c>
      <c r="B137" t="s">
        <v>256</v>
      </c>
      <c r="C137" t="s">
        <v>137</v>
      </c>
    </row>
    <row r="138" spans="1:6" x14ac:dyDescent="0.25">
      <c r="A138">
        <v>4</v>
      </c>
      <c r="B138" t="s">
        <v>238</v>
      </c>
      <c r="C138" t="s">
        <v>137</v>
      </c>
      <c r="D138">
        <v>0</v>
      </c>
    </row>
    <row r="139" spans="1:6" x14ac:dyDescent="0.25">
      <c r="A139">
        <v>4</v>
      </c>
      <c r="B139" t="s">
        <v>239</v>
      </c>
      <c r="C139" t="s">
        <v>137</v>
      </c>
      <c r="D139">
        <v>2.9748705221576615E-2</v>
      </c>
    </row>
    <row r="140" spans="1:6" x14ac:dyDescent="0.25">
      <c r="A140">
        <v>4</v>
      </c>
      <c r="B140" t="s">
        <v>240</v>
      </c>
      <c r="C140" t="s">
        <v>137</v>
      </c>
      <c r="D140">
        <v>0.29918094394223554</v>
      </c>
    </row>
    <row r="141" spans="1:6" x14ac:dyDescent="0.25">
      <c r="A141">
        <v>4</v>
      </c>
      <c r="B141" t="s">
        <v>241</v>
      </c>
      <c r="C141" t="s">
        <v>137</v>
      </c>
      <c r="D141">
        <v>0</v>
      </c>
    </row>
    <row r="142" spans="1:6" x14ac:dyDescent="0.25">
      <c r="A142">
        <v>4</v>
      </c>
      <c r="B142" t="s">
        <v>242</v>
      </c>
      <c r="C142" t="s">
        <v>137</v>
      </c>
      <c r="D142">
        <v>6.2106345029602785</v>
      </c>
      <c r="E142">
        <v>45.601788194733246</v>
      </c>
    </row>
    <row r="143" spans="1:6" x14ac:dyDescent="0.25">
      <c r="A143">
        <v>4</v>
      </c>
      <c r="B143" t="s">
        <v>243</v>
      </c>
      <c r="C143" t="s">
        <v>137</v>
      </c>
      <c r="D143">
        <v>2.7929425926139606</v>
      </c>
      <c r="E143">
        <v>19.254088348887372</v>
      </c>
    </row>
    <row r="144" spans="1:6" x14ac:dyDescent="0.25">
      <c r="A144">
        <v>4</v>
      </c>
      <c r="B144" t="s">
        <v>244</v>
      </c>
      <c r="C144" t="s">
        <v>137</v>
      </c>
      <c r="D144">
        <v>1.6665812098395751</v>
      </c>
      <c r="E144">
        <v>2.82341010411383</v>
      </c>
    </row>
    <row r="145" spans="1:6" x14ac:dyDescent="0.25">
      <c r="A145">
        <v>4</v>
      </c>
      <c r="B145" t="s">
        <v>245</v>
      </c>
      <c r="C145" t="s">
        <v>137</v>
      </c>
      <c r="D145">
        <v>0.48757281584375256</v>
      </c>
    </row>
    <row r="146" spans="1:6" x14ac:dyDescent="0.25">
      <c r="A146">
        <v>4</v>
      </c>
      <c r="B146" t="s">
        <v>257</v>
      </c>
      <c r="C146" t="s">
        <v>137</v>
      </c>
      <c r="D146">
        <v>0</v>
      </c>
    </row>
    <row r="147" spans="1:6" x14ac:dyDescent="0.25">
      <c r="A147">
        <v>4</v>
      </c>
      <c r="B147" t="s">
        <v>258</v>
      </c>
      <c r="C147" t="s">
        <v>137</v>
      </c>
    </row>
    <row r="148" spans="1:6" x14ac:dyDescent="0.25">
      <c r="A148">
        <v>4</v>
      </c>
      <c r="B148" t="s">
        <v>250</v>
      </c>
      <c r="C148" t="s">
        <v>137</v>
      </c>
      <c r="D148">
        <v>13.553136025486076</v>
      </c>
      <c r="E148">
        <v>23.819490740891588</v>
      </c>
      <c r="F148">
        <v>26.557363239844644</v>
      </c>
    </row>
    <row r="149" spans="1:6" x14ac:dyDescent="0.25">
      <c r="A149">
        <v>4</v>
      </c>
      <c r="B149" t="s">
        <v>251</v>
      </c>
      <c r="C149" t="s">
        <v>137</v>
      </c>
      <c r="D149">
        <v>8.833154394794704</v>
      </c>
      <c r="E149">
        <v>18.050707827081911</v>
      </c>
      <c r="F149">
        <v>25.483352226468579</v>
      </c>
    </row>
    <row r="150" spans="1:6" x14ac:dyDescent="0.25">
      <c r="A150">
        <v>4</v>
      </c>
      <c r="B150" t="s">
        <v>252</v>
      </c>
      <c r="C150" t="s">
        <v>137</v>
      </c>
      <c r="D150">
        <v>1.4620368799302457</v>
      </c>
      <c r="E150">
        <v>12.289843626949384</v>
      </c>
      <c r="F150">
        <v>14.440566261665527</v>
      </c>
    </row>
    <row r="151" spans="1:6" x14ac:dyDescent="0.25">
      <c r="A151">
        <v>4</v>
      </c>
      <c r="B151" t="s">
        <v>253</v>
      </c>
      <c r="C151" t="s">
        <v>137</v>
      </c>
      <c r="D151">
        <v>0.80333258247797279</v>
      </c>
      <c r="E151">
        <v>2.1907306591654403</v>
      </c>
      <c r="F151">
        <v>10.53415168024233</v>
      </c>
    </row>
    <row r="152" spans="1:6" x14ac:dyDescent="0.25">
      <c r="A152">
        <v>4</v>
      </c>
      <c r="B152" t="s">
        <v>254</v>
      </c>
      <c r="C152" t="s">
        <v>137</v>
      </c>
      <c r="D152">
        <v>0.25290493132470954</v>
      </c>
      <c r="E152">
        <v>1.5919779066604163</v>
      </c>
      <c r="F152">
        <v>4.2760467647128024</v>
      </c>
    </row>
    <row r="153" spans="1:6" x14ac:dyDescent="0.25">
      <c r="A153">
        <v>4</v>
      </c>
      <c r="B153" t="s">
        <v>255</v>
      </c>
      <c r="C153" t="s">
        <v>137</v>
      </c>
      <c r="D153">
        <v>9.8187631589015847E-2</v>
      </c>
      <c r="F153">
        <v>1.7246757416271343</v>
      </c>
    </row>
  </sheetData>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E57E3-FD8A-4A6B-8A57-6173C79B524A}">
  <dimension ref="A1:BH198"/>
  <sheetViews>
    <sheetView workbookViewId="0">
      <pane xSplit="5" ySplit="1" topLeftCell="AQ16" activePane="bottomRight" state="frozen"/>
      <selection pane="topRight" activeCell="E1" sqref="E1"/>
      <selection pane="bottomLeft" activeCell="A2" sqref="A2"/>
      <selection pane="bottomRight" activeCell="BC40" sqref="BC40:BC46"/>
    </sheetView>
  </sheetViews>
  <sheetFormatPr baseColWidth="10" defaultRowHeight="15" x14ac:dyDescent="0.25"/>
  <cols>
    <col min="4" max="4" width="11.42578125" style="2"/>
  </cols>
  <sheetData>
    <row r="1" spans="1:57" x14ac:dyDescent="0.25">
      <c r="B1" t="s">
        <v>85</v>
      </c>
      <c r="D1"/>
      <c r="F1" t="s">
        <v>78</v>
      </c>
      <c r="G1" t="s">
        <v>79</v>
      </c>
      <c r="H1" t="s">
        <v>80</v>
      </c>
      <c r="I1" t="s">
        <v>1</v>
      </c>
      <c r="J1" t="s">
        <v>2</v>
      </c>
      <c r="K1" t="s">
        <v>3</v>
      </c>
      <c r="L1" t="s">
        <v>4</v>
      </c>
      <c r="M1" t="s">
        <v>5</v>
      </c>
      <c r="N1" t="s">
        <v>6</v>
      </c>
      <c r="O1" t="s">
        <v>7</v>
      </c>
      <c r="P1" t="s">
        <v>8</v>
      </c>
      <c r="Q1" t="s">
        <v>81</v>
      </c>
      <c r="R1" t="s">
        <v>82</v>
      </c>
      <c r="S1" t="s">
        <v>9</v>
      </c>
      <c r="T1" t="s">
        <v>10</v>
      </c>
      <c r="U1" t="s">
        <v>11</v>
      </c>
      <c r="V1" t="s">
        <v>12</v>
      </c>
      <c r="W1" t="s">
        <v>13</v>
      </c>
      <c r="X1" t="s">
        <v>14</v>
      </c>
      <c r="Y1" t="s">
        <v>15</v>
      </c>
      <c r="Z1" t="s">
        <v>16</v>
      </c>
      <c r="AA1" t="s">
        <v>76</v>
      </c>
      <c r="AB1" t="s">
        <v>18</v>
      </c>
      <c r="AC1" t="s">
        <v>19</v>
      </c>
      <c r="AD1" t="s">
        <v>20</v>
      </c>
      <c r="AE1" t="s">
        <v>21</v>
      </c>
      <c r="AF1" t="s">
        <v>22</v>
      </c>
      <c r="AG1" t="s">
        <v>23</v>
      </c>
      <c r="AH1" t="s">
        <v>24</v>
      </c>
      <c r="AI1" t="s">
        <v>25</v>
      </c>
      <c r="AJ1" t="s">
        <v>26</v>
      </c>
      <c r="AK1" t="s">
        <v>77</v>
      </c>
      <c r="AL1" t="s">
        <v>27</v>
      </c>
      <c r="AM1" t="s">
        <v>28</v>
      </c>
      <c r="AN1" t="s">
        <v>29</v>
      </c>
      <c r="AO1" t="s">
        <v>30</v>
      </c>
      <c r="AP1" t="s">
        <v>31</v>
      </c>
      <c r="AQ1" t="s">
        <v>32</v>
      </c>
      <c r="AR1" t="s">
        <v>86</v>
      </c>
      <c r="AS1" t="s">
        <v>87</v>
      </c>
      <c r="AT1" t="s">
        <v>88</v>
      </c>
      <c r="AU1" t="s">
        <v>220</v>
      </c>
      <c r="AV1" t="s">
        <v>263</v>
      </c>
      <c r="AW1" t="s">
        <v>219</v>
      </c>
      <c r="AX1" t="s">
        <v>221</v>
      </c>
    </row>
    <row r="2" spans="1:57" x14ac:dyDescent="0.25">
      <c r="A2" t="s">
        <v>185</v>
      </c>
      <c r="B2">
        <v>1</v>
      </c>
      <c r="C2" s="2">
        <v>45068</v>
      </c>
      <c r="D2" t="s">
        <v>186</v>
      </c>
      <c r="E2" t="s">
        <v>36</v>
      </c>
      <c r="F2" s="4">
        <v>175.13148738084197</v>
      </c>
      <c r="G2" s="4">
        <v>45.88211281386446</v>
      </c>
      <c r="H2" s="4">
        <v>8.7124119817249035</v>
      </c>
      <c r="I2" s="4">
        <v>1.7741933606987483</v>
      </c>
      <c r="J2" s="4">
        <v>32.16488822531398</v>
      </c>
      <c r="K2" s="4">
        <v>0.23764771180023159</v>
      </c>
      <c r="L2" s="4">
        <v>0.50951983149907198</v>
      </c>
      <c r="M2" s="4">
        <v>0.20437539829463652</v>
      </c>
      <c r="N2" s="4">
        <v>0.2224599815014045</v>
      </c>
      <c r="O2" s="4">
        <v>0.12494068288804061</v>
      </c>
      <c r="P2" s="4">
        <v>0.1068528592497959</v>
      </c>
      <c r="Q2" s="4">
        <v>0.59723118815503651</v>
      </c>
      <c r="R2" s="4">
        <v>8.258923713700915E-2</v>
      </c>
      <c r="S2" s="4">
        <v>0.81207869601686045</v>
      </c>
      <c r="T2" s="4">
        <v>0.27783473863109048</v>
      </c>
      <c r="U2" s="4">
        <v>71.734897597717392</v>
      </c>
      <c r="V2" s="4">
        <v>54.79801989165545</v>
      </c>
      <c r="W2" s="4">
        <v>65.769455374630837</v>
      </c>
      <c r="X2" s="4">
        <v>5.1545900535513098</v>
      </c>
      <c r="Y2" s="4">
        <v>5.1248101950663552</v>
      </c>
      <c r="Z2" s="4">
        <v>1.11056650959105</v>
      </c>
      <c r="AA2" s="4">
        <v>0</v>
      </c>
      <c r="AB2" s="4">
        <v>0.30428671378761113</v>
      </c>
      <c r="AC2" s="4">
        <v>6.8678416598051504</v>
      </c>
      <c r="AD2" s="4">
        <v>0.12675483332463519</v>
      </c>
      <c r="AE2" s="4">
        <v>7.9667642206114289E-2</v>
      </c>
      <c r="AF2" s="4">
        <v>0.18094000342206334</v>
      </c>
      <c r="AG2" s="4">
        <v>0.56296590274379044</v>
      </c>
      <c r="AH2" s="4">
        <v>0.38911964545311023</v>
      </c>
      <c r="AI2" s="4">
        <v>0.59825597966100985</v>
      </c>
      <c r="AJ2" s="4">
        <v>0.21329475449968902</v>
      </c>
      <c r="AK2" s="4">
        <v>0</v>
      </c>
      <c r="AL2" s="4">
        <v>10.880968332931934</v>
      </c>
      <c r="AM2" s="4">
        <v>131.76391104288641</v>
      </c>
      <c r="AN2" s="4">
        <v>64.107897340731</v>
      </c>
      <c r="AO2" s="4">
        <v>39.589019425693536</v>
      </c>
      <c r="AP2" s="4">
        <v>19.380412600492964</v>
      </c>
      <c r="AQ2" s="4">
        <v>20.745425978504301</v>
      </c>
      <c r="AR2" s="4">
        <f>SUM(F2:AQ2)</f>
        <v>766.32372556597295</v>
      </c>
      <c r="AS2" s="4">
        <f>SUM(F2:Z2)</f>
        <v>470.53296370982963</v>
      </c>
      <c r="AT2">
        <f>SUM(AA2:AQ2)</f>
        <v>295.79076185614326</v>
      </c>
      <c r="AU2" s="4">
        <f>SUM(F2:P2)</f>
        <v>265.07089022767724</v>
      </c>
      <c r="AV2" s="4">
        <f>SUM(AA2:AI2)</f>
        <v>9.1098323804034855</v>
      </c>
      <c r="AW2" s="4">
        <f>SUM(Q2:Z2)</f>
        <v>205.46207348215239</v>
      </c>
      <c r="AX2" s="4">
        <f>SUM(AJ2:AQ2)</f>
        <v>286.68092947573984</v>
      </c>
    </row>
    <row r="3" spans="1:57" x14ac:dyDescent="0.25">
      <c r="A3" t="s">
        <v>187</v>
      </c>
      <c r="C3" s="2"/>
      <c r="D3"/>
      <c r="E3" t="s">
        <v>39</v>
      </c>
      <c r="F3" s="4">
        <v>183.715195503822</v>
      </c>
      <c r="G3" s="4">
        <v>41.133729815226602</v>
      </c>
      <c r="H3" s="4">
        <v>7.0605104790313797</v>
      </c>
      <c r="I3" s="4">
        <v>1.74232207512491</v>
      </c>
      <c r="J3" s="4">
        <v>24.815758458271098</v>
      </c>
      <c r="K3" s="4">
        <v>0.16632392287637501</v>
      </c>
      <c r="L3" s="4">
        <v>0.31941648933415601</v>
      </c>
      <c r="M3" s="4">
        <v>0.22710375832435098</v>
      </c>
      <c r="N3" s="4">
        <v>0.322627153287875</v>
      </c>
      <c r="O3" s="4">
        <v>0.19026868749187098</v>
      </c>
      <c r="P3" s="4">
        <v>0.146413196691808</v>
      </c>
      <c r="Q3" s="4">
        <v>0.48094979640435004</v>
      </c>
      <c r="R3" s="4">
        <v>0</v>
      </c>
      <c r="S3" s="4">
        <v>0.73292669317956705</v>
      </c>
      <c r="T3" s="4">
        <v>0.15325040557116698</v>
      </c>
      <c r="U3" s="4">
        <v>35.705950191041396</v>
      </c>
      <c r="V3" s="4">
        <v>48.888854094551299</v>
      </c>
      <c r="W3" s="4">
        <v>92.556353642000104</v>
      </c>
      <c r="X3" s="4">
        <v>7.3671795208030701</v>
      </c>
      <c r="Y3" s="4">
        <v>5.4323566922590301</v>
      </c>
      <c r="Z3" s="4">
        <v>1.12891118006028</v>
      </c>
      <c r="AA3" s="4">
        <v>0</v>
      </c>
      <c r="AB3" s="4">
        <v>0.25057480586432151</v>
      </c>
      <c r="AC3" s="4">
        <v>6.3599417847215198</v>
      </c>
      <c r="AD3" s="4">
        <v>0</v>
      </c>
      <c r="AE3" s="4">
        <v>0</v>
      </c>
      <c r="AF3" s="4">
        <v>0.1043582998498338</v>
      </c>
      <c r="AG3" s="4">
        <v>0.617079867824055</v>
      </c>
      <c r="AH3" s="4">
        <v>0.42922141101208799</v>
      </c>
      <c r="AI3" s="4">
        <v>0.97525105184534489</v>
      </c>
      <c r="AJ3" s="4">
        <v>0.18009407002049199</v>
      </c>
      <c r="AK3" s="4">
        <v>0</v>
      </c>
      <c r="AL3" s="4">
        <v>5.2374938538174849</v>
      </c>
      <c r="AM3" s="4">
        <v>74.798609841589212</v>
      </c>
      <c r="AN3" s="4">
        <v>64.452379474053998</v>
      </c>
      <c r="AO3" s="4">
        <v>40.401760718644567</v>
      </c>
      <c r="AP3" s="4">
        <v>23.0890371588569</v>
      </c>
      <c r="AQ3" s="4">
        <v>25.407376821841591</v>
      </c>
      <c r="AR3" s="4">
        <f t="shared" ref="AR3:AR40" si="0">SUM(F3:AQ3)</f>
        <v>694.58958091529405</v>
      </c>
      <c r="AS3" s="4">
        <f t="shared" ref="AS3:AS40" si="1">SUM(F3:Z3)</f>
        <v>452.2864017553527</v>
      </c>
      <c r="AT3">
        <f t="shared" ref="AT3:AT40" si="2">SUM(AA3:AQ3)</f>
        <v>242.30317915994141</v>
      </c>
      <c r="AU3" s="4">
        <f t="shared" ref="AU3:AU40" si="3">SUM(F3:P3)</f>
        <v>259.83966953948249</v>
      </c>
      <c r="AV3" s="4">
        <f t="shared" ref="AV3:AV40" si="4">SUM(AA3:AI3)</f>
        <v>8.7364272211171627</v>
      </c>
      <c r="AW3" s="4">
        <f t="shared" ref="AW3:AW40" si="5">SUM(Q3:Z3)</f>
        <v>192.44673221587024</v>
      </c>
      <c r="AX3" s="4">
        <f t="shared" ref="AX3:AX40" si="6">SUM(AJ3:AQ3)</f>
        <v>233.56675193882424</v>
      </c>
    </row>
    <row r="4" spans="1:57" x14ac:dyDescent="0.25">
      <c r="C4" s="2"/>
      <c r="D4"/>
      <c r="E4" t="s">
        <v>40</v>
      </c>
      <c r="F4" s="4">
        <v>151.48772204457899</v>
      </c>
      <c r="G4" s="4">
        <v>37.613566224441101</v>
      </c>
      <c r="H4" s="4">
        <v>7.9584625171677494</v>
      </c>
      <c r="I4" s="4">
        <v>2.1732899991511498</v>
      </c>
      <c r="J4" s="4">
        <v>42.410236081323397</v>
      </c>
      <c r="K4" s="4">
        <v>0.23750897365057302</v>
      </c>
      <c r="L4" s="4">
        <v>0.473804092555351</v>
      </c>
      <c r="M4" s="4">
        <v>0.23085199517635702</v>
      </c>
      <c r="N4" s="4">
        <v>0.32565460826245801</v>
      </c>
      <c r="O4" s="4">
        <v>0.18123402221625601</v>
      </c>
      <c r="P4" s="4">
        <v>0.12198183869517799</v>
      </c>
      <c r="Q4" s="4">
        <v>0.46873242532925796</v>
      </c>
      <c r="R4" s="4">
        <v>0</v>
      </c>
      <c r="S4" s="4">
        <v>1.10767562559663</v>
      </c>
      <c r="T4" s="4">
        <v>0.21803603362962301</v>
      </c>
      <c r="U4" s="4">
        <v>53.243049614725194</v>
      </c>
      <c r="V4" s="4">
        <v>50.274177614957701</v>
      </c>
      <c r="W4" s="4">
        <v>80.236969782557196</v>
      </c>
      <c r="X4" s="4">
        <v>7.3445100984320195</v>
      </c>
      <c r="Y4" s="4">
        <v>6.07612964359876</v>
      </c>
      <c r="Z4" s="4">
        <v>0.96957378210697598</v>
      </c>
      <c r="AA4" s="4">
        <v>0</v>
      </c>
      <c r="AB4" s="4">
        <v>0.33402942697864252</v>
      </c>
      <c r="AC4" s="4">
        <v>9.4406786026141454</v>
      </c>
      <c r="AD4" s="4">
        <v>0.16882921696426398</v>
      </c>
      <c r="AE4" s="4">
        <v>0</v>
      </c>
      <c r="AF4" s="4">
        <v>0.16715111585420622</v>
      </c>
      <c r="AG4" s="4">
        <v>0.65200575536982752</v>
      </c>
      <c r="AH4" s="4">
        <v>0.47254603547557894</v>
      </c>
      <c r="AI4" s="4">
        <v>0.83997360012854605</v>
      </c>
      <c r="AJ4" s="4">
        <v>0.22290501377279001</v>
      </c>
      <c r="AK4" s="4">
        <v>0</v>
      </c>
      <c r="AL4" s="4">
        <v>7.7017278543107901</v>
      </c>
      <c r="AM4" s="4">
        <v>103.31654059594915</v>
      </c>
      <c r="AN4" s="4">
        <v>65.775090878807049</v>
      </c>
      <c r="AO4" s="4">
        <v>38.623011168756847</v>
      </c>
      <c r="AP4" s="4">
        <v>23.140670871629286</v>
      </c>
      <c r="AQ4" s="4">
        <v>24.266880789952737</v>
      </c>
      <c r="AR4" s="4">
        <f t="shared" si="0"/>
        <v>718.2752079447157</v>
      </c>
      <c r="AS4" s="4">
        <f t="shared" si="1"/>
        <v>443.15316701815186</v>
      </c>
      <c r="AT4">
        <f t="shared" si="2"/>
        <v>275.12204092656384</v>
      </c>
      <c r="AU4" s="4">
        <f t="shared" si="3"/>
        <v>243.21431239721852</v>
      </c>
      <c r="AV4" s="4">
        <f t="shared" si="4"/>
        <v>12.075213753385212</v>
      </c>
      <c r="AW4" s="4">
        <f t="shared" si="5"/>
        <v>199.93885462093334</v>
      </c>
      <c r="AX4" s="4">
        <f t="shared" si="6"/>
        <v>263.04682717317866</v>
      </c>
    </row>
    <row r="5" spans="1:57" x14ac:dyDescent="0.25">
      <c r="C5" s="2"/>
      <c r="D5"/>
      <c r="E5" t="s">
        <v>41</v>
      </c>
      <c r="F5" s="4">
        <v>189.438339835797</v>
      </c>
      <c r="G5" s="4">
        <v>43.828515465841704</v>
      </c>
      <c r="H5" s="4">
        <v>7.6172608358282794</v>
      </c>
      <c r="I5" s="4">
        <v>1.84653463752277</v>
      </c>
      <c r="J5" s="4">
        <v>32.262519809962399</v>
      </c>
      <c r="K5" s="4">
        <v>0.18634542713487301</v>
      </c>
      <c r="L5" s="4">
        <v>0.33161303338372</v>
      </c>
      <c r="M5" s="4">
        <v>0.178797371852536</v>
      </c>
      <c r="N5" s="4">
        <v>0.26733272566921801</v>
      </c>
      <c r="O5" s="4">
        <v>0.17327807177406399</v>
      </c>
      <c r="P5" s="4">
        <v>0.117446049833226</v>
      </c>
      <c r="Q5" s="4">
        <v>0.56623235046863707</v>
      </c>
      <c r="R5" s="4">
        <v>0</v>
      </c>
      <c r="S5" s="4">
        <v>0.96935151399702901</v>
      </c>
      <c r="T5" s="4">
        <v>0.188349142282105</v>
      </c>
      <c r="U5" s="4">
        <v>35.868854644259798</v>
      </c>
      <c r="V5" s="4">
        <v>39.690327294783501</v>
      </c>
      <c r="W5" s="4">
        <v>71.448528254409496</v>
      </c>
      <c r="X5" s="4">
        <v>5.3199238111655003</v>
      </c>
      <c r="Y5" s="4">
        <v>4.6732711869059607</v>
      </c>
      <c r="Z5" s="4">
        <v>0.99338803754930805</v>
      </c>
      <c r="AA5" s="4">
        <v>0</v>
      </c>
      <c r="AB5" s="4">
        <v>0.23986433494640899</v>
      </c>
      <c r="AC5" s="4">
        <v>7.9125807069744498</v>
      </c>
      <c r="AD5" s="4">
        <v>0.19076937963422552</v>
      </c>
      <c r="AE5" s="4">
        <v>0</v>
      </c>
      <c r="AF5" s="4">
        <v>0.1020626503258122</v>
      </c>
      <c r="AG5" s="4">
        <v>0.50736883144337652</v>
      </c>
      <c r="AH5" s="4">
        <v>0.32870767331537953</v>
      </c>
      <c r="AI5" s="4">
        <v>0.67990734908173356</v>
      </c>
      <c r="AJ5" s="4">
        <v>0.20722971892855901</v>
      </c>
      <c r="AK5" s="4">
        <v>0</v>
      </c>
      <c r="AL5" s="4">
        <v>5.8326498293611948</v>
      </c>
      <c r="AM5" s="4">
        <v>72.015279451430644</v>
      </c>
      <c r="AN5" s="4">
        <v>51.692795257187001</v>
      </c>
      <c r="AO5" s="4">
        <v>32.60350407020686</v>
      </c>
      <c r="AP5" s="4">
        <v>18.357528605188293</v>
      </c>
      <c r="AQ5" s="4">
        <v>19.960991056932549</v>
      </c>
      <c r="AR5" s="4">
        <f t="shared" si="0"/>
        <v>646.5974484153777</v>
      </c>
      <c r="AS5" s="4">
        <f t="shared" si="1"/>
        <v>435.96620950042114</v>
      </c>
      <c r="AT5">
        <f t="shared" si="2"/>
        <v>210.6312389149565</v>
      </c>
      <c r="AU5" s="4">
        <f t="shared" si="3"/>
        <v>276.24798326459984</v>
      </c>
      <c r="AV5" s="4">
        <f t="shared" si="4"/>
        <v>9.9612609257213869</v>
      </c>
      <c r="AW5" s="4">
        <f t="shared" si="5"/>
        <v>159.71822623582131</v>
      </c>
      <c r="AX5" s="4">
        <f t="shared" si="6"/>
        <v>200.66997798923512</v>
      </c>
    </row>
    <row r="6" spans="1:57" x14ac:dyDescent="0.25">
      <c r="C6" s="2">
        <v>45068</v>
      </c>
      <c r="D6" t="s">
        <v>186</v>
      </c>
      <c r="E6" t="s">
        <v>89</v>
      </c>
      <c r="F6" s="4">
        <f>AVERAGE(F2:F5)</f>
        <v>174.94318619126</v>
      </c>
      <c r="G6" s="4">
        <f t="shared" ref="G6:AQ6" si="7">AVERAGE(G2:G5)</f>
        <v>42.114481079843465</v>
      </c>
      <c r="H6" s="4">
        <f t="shared" si="7"/>
        <v>7.8371614534380782</v>
      </c>
      <c r="I6" s="4">
        <f t="shared" si="7"/>
        <v>1.8840850181243944</v>
      </c>
      <c r="J6" s="4">
        <f t="shared" si="7"/>
        <v>32.91335064371772</v>
      </c>
      <c r="K6" s="4">
        <f t="shared" si="7"/>
        <v>0.20695650886551314</v>
      </c>
      <c r="L6" s="4">
        <f t="shared" si="7"/>
        <v>0.40858836169307472</v>
      </c>
      <c r="M6" s="4">
        <f t="shared" si="7"/>
        <v>0.21028213091197012</v>
      </c>
      <c r="N6" s="4">
        <f t="shared" si="7"/>
        <v>0.28451861718023885</v>
      </c>
      <c r="O6" s="4">
        <f t="shared" si="7"/>
        <v>0.1674303660925579</v>
      </c>
      <c r="P6" s="4">
        <f t="shared" si="7"/>
        <v>0.12317348611750197</v>
      </c>
      <c r="Q6" s="4">
        <f t="shared" si="7"/>
        <v>0.52828644008932035</v>
      </c>
      <c r="R6" s="4">
        <f t="shared" si="7"/>
        <v>2.0647309284252287E-2</v>
      </c>
      <c r="S6" s="4">
        <f t="shared" si="7"/>
        <v>0.90550813219752169</v>
      </c>
      <c r="T6" s="4">
        <f t="shared" si="7"/>
        <v>0.20936758002849637</v>
      </c>
      <c r="U6" s="4">
        <f t="shared" si="7"/>
        <v>49.138188011935938</v>
      </c>
      <c r="V6" s="4">
        <f t="shared" si="7"/>
        <v>48.412844723986993</v>
      </c>
      <c r="W6" s="4">
        <f t="shared" si="7"/>
        <v>77.502826763399412</v>
      </c>
      <c r="X6" s="4">
        <f t="shared" si="7"/>
        <v>6.2965508709879749</v>
      </c>
      <c r="Y6" s="4">
        <f t="shared" si="7"/>
        <v>5.3266419294575265</v>
      </c>
      <c r="Z6" s="4">
        <f t="shared" si="7"/>
        <v>1.0506098773269035</v>
      </c>
      <c r="AA6" s="4">
        <f t="shared" si="7"/>
        <v>0</v>
      </c>
      <c r="AB6" s="4">
        <f t="shared" si="7"/>
        <v>0.28218882039424603</v>
      </c>
      <c r="AC6" s="4">
        <f t="shared" si="7"/>
        <v>7.6452606885288157</v>
      </c>
      <c r="AD6" s="4">
        <f t="shared" si="7"/>
        <v>0.12158835748078117</v>
      </c>
      <c r="AE6" s="4">
        <f t="shared" si="7"/>
        <v>1.9916910551528572E-2</v>
      </c>
      <c r="AF6" s="4">
        <f t="shared" si="7"/>
        <v>0.13862801736297889</v>
      </c>
      <c r="AG6" s="4">
        <f t="shared" si="7"/>
        <v>0.58485508934526231</v>
      </c>
      <c r="AH6" s="4">
        <f t="shared" si="7"/>
        <v>0.40489869131403922</v>
      </c>
      <c r="AI6" s="4">
        <f t="shared" si="7"/>
        <v>0.7733469951791585</v>
      </c>
      <c r="AJ6" s="4">
        <f t="shared" si="7"/>
        <v>0.20588088930538251</v>
      </c>
      <c r="AK6" s="4">
        <f t="shared" si="7"/>
        <v>0</v>
      </c>
      <c r="AL6" s="4">
        <f t="shared" si="7"/>
        <v>7.4132099676053507</v>
      </c>
      <c r="AM6" s="4">
        <f t="shared" si="7"/>
        <v>95.473585232963842</v>
      </c>
      <c r="AN6" s="4">
        <f t="shared" si="7"/>
        <v>61.507040737694766</v>
      </c>
      <c r="AO6" s="4">
        <f t="shared" si="7"/>
        <v>37.804323845825451</v>
      </c>
      <c r="AP6" s="4">
        <f t="shared" si="7"/>
        <v>20.991912309041862</v>
      </c>
      <c r="AQ6" s="4">
        <f t="shared" si="7"/>
        <v>22.595168661807797</v>
      </c>
      <c r="AR6" s="4">
        <f t="shared" si="0"/>
        <v>706.44649071033996</v>
      </c>
      <c r="AS6" s="4">
        <f t="shared" si="1"/>
        <v>450.48468549593889</v>
      </c>
      <c r="AT6">
        <f t="shared" si="2"/>
        <v>255.96180521440124</v>
      </c>
      <c r="AU6" s="4">
        <f t="shared" si="3"/>
        <v>261.09321385724456</v>
      </c>
      <c r="AV6" s="4">
        <f t="shared" si="4"/>
        <v>9.9706835701568117</v>
      </c>
      <c r="AW6" s="4">
        <f t="shared" si="5"/>
        <v>189.39147163869436</v>
      </c>
      <c r="AX6" s="4">
        <f t="shared" si="6"/>
        <v>245.99112164424446</v>
      </c>
      <c r="AY6">
        <f>_xlfn.STDEV.P(AR2:AR5)</f>
        <v>43.150017320041378</v>
      </c>
      <c r="AZ6">
        <f t="shared" ref="AZ6:BE6" si="8">_xlfn.STDEV.P(AS2:AS5)</f>
        <v>12.939445015567319</v>
      </c>
      <c r="BA6">
        <f t="shared" si="8"/>
        <v>32.383941724407521</v>
      </c>
      <c r="BB6">
        <f t="shared" si="8"/>
        <v>11.902892882319877</v>
      </c>
      <c r="BC6">
        <f t="shared" si="8"/>
        <v>1.2935986224861127</v>
      </c>
      <c r="BD6">
        <f t="shared" si="8"/>
        <v>17.743644223485724</v>
      </c>
      <c r="BE6">
        <f t="shared" si="8"/>
        <v>32.229367730490431</v>
      </c>
    </row>
    <row r="7" spans="1:57" x14ac:dyDescent="0.25">
      <c r="B7">
        <v>5</v>
      </c>
      <c r="C7" s="2">
        <v>45072</v>
      </c>
      <c r="D7" t="s">
        <v>188</v>
      </c>
      <c r="E7" t="s">
        <v>36</v>
      </c>
      <c r="F7" s="4">
        <v>160.09850858400452</v>
      </c>
      <c r="G7" s="4">
        <v>34.982745244573749</v>
      </c>
      <c r="H7" s="4">
        <v>5.8249156723229172</v>
      </c>
      <c r="I7" s="4">
        <v>1.5807706223731133</v>
      </c>
      <c r="J7" s="4">
        <v>23.418870149940382</v>
      </c>
      <c r="K7" s="4">
        <v>0.21996627641637809</v>
      </c>
      <c r="L7" s="4">
        <v>0.491238312134535</v>
      </c>
      <c r="M7" s="4">
        <v>0.31220721035104798</v>
      </c>
      <c r="N7" s="4">
        <v>0.49524848527908449</v>
      </c>
      <c r="O7" s="4">
        <v>0.30475222729682561</v>
      </c>
      <c r="P7" s="4">
        <v>0.1831386534389349</v>
      </c>
      <c r="Q7" s="4">
        <v>0.49607504034632949</v>
      </c>
      <c r="R7" s="4">
        <v>8.7118860111534246E-2</v>
      </c>
      <c r="S7" s="4">
        <v>0.575064039001286</v>
      </c>
      <c r="T7" s="4">
        <v>0.23908370359831599</v>
      </c>
      <c r="U7" s="4">
        <v>57.64842016851275</v>
      </c>
      <c r="V7" s="4">
        <v>67.493502514298044</v>
      </c>
      <c r="W7" s="4">
        <v>119.21057273880101</v>
      </c>
      <c r="X7" s="4">
        <v>14.236087367519699</v>
      </c>
      <c r="Y7" s="4">
        <v>13.429859977022399</v>
      </c>
      <c r="Z7" s="4">
        <v>3.8312826746942399</v>
      </c>
      <c r="AA7" s="4">
        <v>0</v>
      </c>
      <c r="AB7" s="4">
        <v>0.2337249682449459</v>
      </c>
      <c r="AC7" s="4">
        <v>4.260008682638234</v>
      </c>
      <c r="AD7" s="4">
        <v>0.11119851566784685</v>
      </c>
      <c r="AE7" s="4">
        <v>8.8513719654762957E-2</v>
      </c>
      <c r="AF7" s="4">
        <v>0.22783584213884414</v>
      </c>
      <c r="AG7" s="4">
        <v>0.94878887803438539</v>
      </c>
      <c r="AH7" s="4">
        <v>0.64324820131787019</v>
      </c>
      <c r="AI7" s="4">
        <v>1.0810078092385447</v>
      </c>
      <c r="AJ7" s="4">
        <v>0.16827474808249224</v>
      </c>
      <c r="AK7" s="4">
        <v>0</v>
      </c>
      <c r="AL7" s="4">
        <v>10.195081585486017</v>
      </c>
      <c r="AM7" s="4">
        <v>138.27965387722111</v>
      </c>
      <c r="AN7" s="4">
        <v>94.650934503114684</v>
      </c>
      <c r="AO7" s="4">
        <v>79.938250080783149</v>
      </c>
      <c r="AP7" s="4">
        <v>45.217102812457121</v>
      </c>
      <c r="AQ7" s="4">
        <v>52.329593351299479</v>
      </c>
      <c r="AR7" s="4">
        <f t="shared" si="0"/>
        <v>933.53264609741655</v>
      </c>
      <c r="AS7" s="4">
        <f t="shared" si="1"/>
        <v>505.15942852203705</v>
      </c>
      <c r="AT7">
        <f t="shared" si="2"/>
        <v>428.3732175753795</v>
      </c>
      <c r="AU7" s="4">
        <f t="shared" si="3"/>
        <v>227.91236143813151</v>
      </c>
      <c r="AV7" s="4">
        <f t="shared" si="4"/>
        <v>7.5943266169354331</v>
      </c>
      <c r="AW7" s="4">
        <f t="shared" si="5"/>
        <v>277.24706708390556</v>
      </c>
      <c r="AX7" s="4">
        <f t="shared" si="6"/>
        <v>420.77889095844404</v>
      </c>
    </row>
    <row r="8" spans="1:57" x14ac:dyDescent="0.25">
      <c r="C8" s="2"/>
      <c r="D8"/>
      <c r="E8" t="s">
        <v>39</v>
      </c>
      <c r="F8" s="4">
        <v>172.31762562363099</v>
      </c>
      <c r="G8" s="4">
        <v>42.735893966062001</v>
      </c>
      <c r="H8" s="4">
        <v>9.4835183718490601</v>
      </c>
      <c r="I8" s="4">
        <v>3.2311298239276196</v>
      </c>
      <c r="J8" s="4">
        <v>81.560677232078206</v>
      </c>
      <c r="K8" s="4">
        <v>0.59864316187563993</v>
      </c>
      <c r="L8" s="4">
        <v>1.39871557219778</v>
      </c>
      <c r="M8" s="4">
        <v>0.64554236345781402</v>
      </c>
      <c r="N8" s="4">
        <v>0.80981998582182102</v>
      </c>
      <c r="O8" s="4">
        <v>0.46014645764511697</v>
      </c>
      <c r="P8" s="4">
        <v>0.32573339094130804</v>
      </c>
      <c r="Q8" s="4">
        <v>0.72297691954581711</v>
      </c>
      <c r="R8" s="4">
        <v>0</v>
      </c>
      <c r="S8" s="4">
        <v>1.3668923255188599</v>
      </c>
      <c r="T8" s="4">
        <v>0.57325504859405707</v>
      </c>
      <c r="U8" s="4">
        <v>157.935195604109</v>
      </c>
      <c r="V8" s="4">
        <v>135.396072093388</v>
      </c>
      <c r="W8" s="4">
        <v>202.97334619049502</v>
      </c>
      <c r="X8" s="4">
        <v>20.7113986292795</v>
      </c>
      <c r="Y8" s="4">
        <v>15.8415308480061</v>
      </c>
      <c r="Z8" s="4">
        <v>3.64467025903694</v>
      </c>
      <c r="AA8" s="4">
        <v>0</v>
      </c>
      <c r="AB8" s="4">
        <v>0.45917456801309697</v>
      </c>
      <c r="AC8" s="4">
        <v>17.851862410446749</v>
      </c>
      <c r="AD8" s="4">
        <v>0.33410201352466196</v>
      </c>
      <c r="AE8" s="4">
        <v>0.291934448353594</v>
      </c>
      <c r="AF8" s="4">
        <v>0.80533408041462007</v>
      </c>
      <c r="AG8" s="4">
        <v>2.6287198063528088</v>
      </c>
      <c r="AH8" s="4">
        <v>1.4889339576762124</v>
      </c>
      <c r="AI8" s="4">
        <v>2.2814305492437548</v>
      </c>
      <c r="AJ8" s="4">
        <v>0.25488980192017596</v>
      </c>
      <c r="AK8" s="4">
        <v>0</v>
      </c>
      <c r="AL8" s="4">
        <v>29.939055284360553</v>
      </c>
      <c r="AM8" s="4">
        <v>323.12161564703598</v>
      </c>
      <c r="AN8" s="4">
        <v>215.7219568486889</v>
      </c>
      <c r="AO8" s="4">
        <v>135.63423021221936</v>
      </c>
      <c r="AP8" s="4">
        <v>76.576624584911755</v>
      </c>
      <c r="AQ8" s="4">
        <v>78.465364606917703</v>
      </c>
      <c r="AR8" s="4">
        <f t="shared" si="0"/>
        <v>1738.5880126875404</v>
      </c>
      <c r="AS8" s="4">
        <f t="shared" si="1"/>
        <v>852.73278386746063</v>
      </c>
      <c r="AT8">
        <f t="shared" si="2"/>
        <v>885.8552288200799</v>
      </c>
      <c r="AU8" s="4">
        <f t="shared" si="3"/>
        <v>313.56744594948742</v>
      </c>
      <c r="AV8" s="4">
        <f t="shared" si="4"/>
        <v>26.141491834025501</v>
      </c>
      <c r="AW8" s="4">
        <f t="shared" si="5"/>
        <v>539.16533791797326</v>
      </c>
      <c r="AX8" s="4">
        <f t="shared" si="6"/>
        <v>859.71373698605441</v>
      </c>
    </row>
    <row r="9" spans="1:57" x14ac:dyDescent="0.25">
      <c r="C9" s="2"/>
      <c r="D9"/>
      <c r="E9" t="s">
        <v>40</v>
      </c>
      <c r="F9" s="4">
        <v>150.954455811305</v>
      </c>
      <c r="G9" s="4">
        <v>35.752193907635096</v>
      </c>
      <c r="H9" s="4">
        <v>10.7722360521431</v>
      </c>
      <c r="I9" s="4">
        <v>3.4342233252650001</v>
      </c>
      <c r="J9" s="4">
        <v>55.123111263548303</v>
      </c>
      <c r="K9" s="4">
        <v>0.40856432224237199</v>
      </c>
      <c r="L9" s="4">
        <v>1.05887134056761</v>
      </c>
      <c r="M9" s="4">
        <v>0.71847365901911597</v>
      </c>
      <c r="N9" s="4">
        <v>1.2146374407671401</v>
      </c>
      <c r="O9" s="4">
        <v>0.83647005987091094</v>
      </c>
      <c r="P9" s="4">
        <v>0.60663033265144495</v>
      </c>
      <c r="Q9" s="4">
        <v>0.61996649059675601</v>
      </c>
      <c r="R9" s="4">
        <v>0</v>
      </c>
      <c r="S9" s="4">
        <v>1.11171595170354</v>
      </c>
      <c r="T9" s="4">
        <v>0.34210009520636098</v>
      </c>
      <c r="U9" s="4">
        <v>108.534078386716</v>
      </c>
      <c r="V9" s="4">
        <v>128.45614328248999</v>
      </c>
      <c r="W9" s="4">
        <v>254.552641803401</v>
      </c>
      <c r="X9" s="4">
        <v>47.792375530605597</v>
      </c>
      <c r="Y9" s="4">
        <v>38.932812912113199</v>
      </c>
      <c r="Z9" s="4">
        <v>9.8174035714142001</v>
      </c>
      <c r="AA9" s="4">
        <v>0</v>
      </c>
      <c r="AB9" s="4">
        <v>0.533855167432151</v>
      </c>
      <c r="AC9" s="4">
        <v>12.49153864709977</v>
      </c>
      <c r="AD9" s="4">
        <v>0.17843504066867502</v>
      </c>
      <c r="AE9" s="4">
        <v>0.15937471562577341</v>
      </c>
      <c r="AF9" s="4">
        <v>0.51926676974163799</v>
      </c>
      <c r="AG9" s="4">
        <v>3.5648517848004468</v>
      </c>
      <c r="AH9" s="4">
        <v>2.2388232703958804</v>
      </c>
      <c r="AI9" s="4">
        <v>3.4241148582942103</v>
      </c>
      <c r="AJ9" s="4">
        <v>0.2141990340142905</v>
      </c>
      <c r="AK9" s="4">
        <v>0</v>
      </c>
      <c r="AL9" s="4">
        <v>16.040031413530652</v>
      </c>
      <c r="AM9" s="4">
        <v>261.57383876934449</v>
      </c>
      <c r="AN9" s="4">
        <v>216.30823955076974</v>
      </c>
      <c r="AO9" s="4">
        <v>215.64554912815896</v>
      </c>
      <c r="AP9" s="4">
        <v>141.63140974881415</v>
      </c>
      <c r="AQ9" s="4">
        <v>152.09470673650625</v>
      </c>
      <c r="AR9" s="4">
        <f t="shared" si="0"/>
        <v>1877.6573401744588</v>
      </c>
      <c r="AS9" s="4">
        <f t="shared" si="1"/>
        <v>851.03910553926175</v>
      </c>
      <c r="AT9">
        <f t="shared" si="2"/>
        <v>1026.618234635197</v>
      </c>
      <c r="AU9" s="4">
        <f t="shared" si="3"/>
        <v>260.87986751501518</v>
      </c>
      <c r="AV9" s="4">
        <f t="shared" si="4"/>
        <v>23.110260254058545</v>
      </c>
      <c r="AW9" s="4">
        <f t="shared" si="5"/>
        <v>590.15923802424652</v>
      </c>
      <c r="AX9" s="4">
        <f t="shared" si="6"/>
        <v>1003.5079743811385</v>
      </c>
    </row>
    <row r="10" spans="1:57" x14ac:dyDescent="0.25">
      <c r="C10" s="2"/>
      <c r="D10"/>
      <c r="E10" t="s">
        <v>41</v>
      </c>
      <c r="F10" s="4">
        <v>206.830439156262</v>
      </c>
      <c r="G10" s="4">
        <v>48.863759426782899</v>
      </c>
      <c r="H10" s="4">
        <v>9.6743168715854413</v>
      </c>
      <c r="I10" s="4">
        <v>2.7960159262696802</v>
      </c>
      <c r="J10" s="4">
        <v>50.411580344533299</v>
      </c>
      <c r="K10" s="4">
        <v>0.31755672387581202</v>
      </c>
      <c r="L10" s="4">
        <v>0.89088922938217796</v>
      </c>
      <c r="M10" s="4">
        <v>0.47966959022272199</v>
      </c>
      <c r="N10" s="4">
        <v>0.65094223475490398</v>
      </c>
      <c r="O10" s="4">
        <v>0.38003216890445701</v>
      </c>
      <c r="P10" s="4">
        <v>0.28613468650444202</v>
      </c>
      <c r="Q10" s="4">
        <v>0.69036362725223499</v>
      </c>
      <c r="R10" s="4">
        <v>0</v>
      </c>
      <c r="S10" s="4">
        <v>1.1040578736995101</v>
      </c>
      <c r="T10" s="4">
        <v>0.29246723444907202</v>
      </c>
      <c r="U10" s="4">
        <v>106.674817138745</v>
      </c>
      <c r="V10" s="4">
        <v>96.656396838727204</v>
      </c>
      <c r="W10" s="4">
        <v>169.29318375993901</v>
      </c>
      <c r="X10" s="4">
        <v>15.273912970184899</v>
      </c>
      <c r="Y10" s="4">
        <v>15.1285998332517</v>
      </c>
      <c r="Z10" s="4">
        <v>3.0568217125022104</v>
      </c>
      <c r="AA10" s="4">
        <v>0</v>
      </c>
      <c r="AB10" s="4">
        <v>0.4160798580264265</v>
      </c>
      <c r="AC10" s="4">
        <v>11.29032981500113</v>
      </c>
      <c r="AD10" s="4">
        <v>0</v>
      </c>
      <c r="AE10" s="4">
        <v>0.13861487473080811</v>
      </c>
      <c r="AF10" s="4">
        <v>0.52007540849239697</v>
      </c>
      <c r="AG10" s="4">
        <v>2.2372678821103977</v>
      </c>
      <c r="AH10" s="4">
        <v>1.4224422242772401</v>
      </c>
      <c r="AI10" s="4">
        <v>2.2598596862211697</v>
      </c>
      <c r="AJ10" s="4">
        <v>0.21423468462125697</v>
      </c>
      <c r="AK10" s="4">
        <v>0</v>
      </c>
      <c r="AL10" s="4">
        <v>15.2962869520226</v>
      </c>
      <c r="AM10" s="4">
        <v>207.74978966439022</v>
      </c>
      <c r="AN10" s="4">
        <v>163.0523535242757</v>
      </c>
      <c r="AO10" s="4">
        <v>119.86094181864165</v>
      </c>
      <c r="AP10" s="4">
        <v>71.232478816964203</v>
      </c>
      <c r="AQ10" s="4">
        <v>75.424704683579691</v>
      </c>
      <c r="AR10" s="4">
        <f t="shared" si="0"/>
        <v>1400.8674172411836</v>
      </c>
      <c r="AS10" s="4">
        <f t="shared" si="1"/>
        <v>729.75195734782881</v>
      </c>
      <c r="AT10">
        <f t="shared" si="2"/>
        <v>671.1154598933548</v>
      </c>
      <c r="AU10" s="4">
        <f t="shared" si="3"/>
        <v>321.58133635907791</v>
      </c>
      <c r="AV10" s="4">
        <f t="shared" si="4"/>
        <v>18.284669748859567</v>
      </c>
      <c r="AW10" s="4">
        <f t="shared" si="5"/>
        <v>408.17062098875084</v>
      </c>
      <c r="AX10" s="4">
        <f t="shared" si="6"/>
        <v>652.83079014449527</v>
      </c>
    </row>
    <row r="11" spans="1:57" x14ac:dyDescent="0.25">
      <c r="C11" s="2">
        <v>45072</v>
      </c>
      <c r="D11" t="s">
        <v>188</v>
      </c>
      <c r="E11" t="s">
        <v>89</v>
      </c>
      <c r="F11" s="4">
        <f>AVERAGE(F7:F10)</f>
        <v>172.55025729380066</v>
      </c>
      <c r="G11" s="4">
        <f t="shared" ref="G11" si="9">AVERAGE(G7:G10)</f>
        <v>40.583648136263442</v>
      </c>
      <c r="H11" s="4">
        <f t="shared" ref="H11" si="10">AVERAGE(H7:H10)</f>
        <v>8.9387467419751303</v>
      </c>
      <c r="I11" s="4">
        <f t="shared" ref="I11" si="11">AVERAGE(I7:I10)</f>
        <v>2.7605349244588533</v>
      </c>
      <c r="J11" s="4">
        <f t="shared" ref="J11" si="12">AVERAGE(J7:J10)</f>
        <v>52.628559747525046</v>
      </c>
      <c r="K11" s="4">
        <f t="shared" ref="K11" si="13">AVERAGE(K7:K10)</f>
        <v>0.38618262110255053</v>
      </c>
      <c r="L11" s="4">
        <f t="shared" ref="L11" si="14">AVERAGE(L7:L10)</f>
        <v>0.95992861357052561</v>
      </c>
      <c r="M11" s="4">
        <f t="shared" ref="M11" si="15">AVERAGE(M7:M10)</f>
        <v>0.53897320576267504</v>
      </c>
      <c r="N11" s="4">
        <f t="shared" ref="N11" si="16">AVERAGE(N7:N10)</f>
        <v>0.79266203665573742</v>
      </c>
      <c r="O11" s="4">
        <f t="shared" ref="O11" si="17">AVERAGE(O7:O10)</f>
        <v>0.49535022842932763</v>
      </c>
      <c r="P11" s="4">
        <f t="shared" ref="P11" si="18">AVERAGE(P7:P10)</f>
        <v>0.35040926588403248</v>
      </c>
      <c r="Q11" s="4">
        <f t="shared" ref="Q11" si="19">AVERAGE(Q7:Q10)</f>
        <v>0.63234551943528439</v>
      </c>
      <c r="R11" s="4">
        <f t="shared" ref="R11" si="20">AVERAGE(R7:R10)</f>
        <v>2.1779715027883562E-2</v>
      </c>
      <c r="S11" s="4">
        <f t="shared" ref="S11" si="21">AVERAGE(S7:S10)</f>
        <v>1.0394325474807991</v>
      </c>
      <c r="T11" s="4">
        <f t="shared" ref="T11" si="22">AVERAGE(T7:T10)</f>
        <v>0.36172652046195153</v>
      </c>
      <c r="U11" s="4">
        <f t="shared" ref="U11" si="23">AVERAGE(U7:U10)</f>
        <v>107.6981278245207</v>
      </c>
      <c r="V11" s="4">
        <f t="shared" ref="V11" si="24">AVERAGE(V7:V10)</f>
        <v>107.00052868222582</v>
      </c>
      <c r="W11" s="4">
        <f t="shared" ref="W11" si="25">AVERAGE(W7:W10)</f>
        <v>186.50743612315901</v>
      </c>
      <c r="X11" s="4">
        <f t="shared" ref="X11" si="26">AVERAGE(X7:X10)</f>
        <v>24.503443624397423</v>
      </c>
      <c r="Y11" s="4">
        <f t="shared" ref="Y11" si="27">AVERAGE(Y7:Y10)</f>
        <v>20.833200892598349</v>
      </c>
      <c r="Z11" s="4">
        <f t="shared" ref="Z11" si="28">AVERAGE(Z7:Z10)</f>
        <v>5.0875445544118971</v>
      </c>
      <c r="AA11" s="4">
        <f t="shared" ref="AA11" si="29">AVERAGE(AA7:AA10)</f>
        <v>0</v>
      </c>
      <c r="AB11" s="4">
        <f t="shared" ref="AB11" si="30">AVERAGE(AB7:AB10)</f>
        <v>0.41070864042915506</v>
      </c>
      <c r="AC11" s="4">
        <f t="shared" ref="AC11" si="31">AVERAGE(AC7:AC10)</f>
        <v>11.47343488879647</v>
      </c>
      <c r="AD11" s="4">
        <f t="shared" ref="AD11" si="32">AVERAGE(AD7:AD10)</f>
        <v>0.15593389246529596</v>
      </c>
      <c r="AE11" s="4">
        <f t="shared" ref="AE11" si="33">AVERAGE(AE7:AE10)</f>
        <v>0.16960943959123462</v>
      </c>
      <c r="AF11" s="4">
        <f t="shared" ref="AF11" si="34">AVERAGE(AF7:AF10)</f>
        <v>0.51812802519687484</v>
      </c>
      <c r="AG11" s="4">
        <f t="shared" ref="AG11" si="35">AVERAGE(AG7:AG10)</f>
        <v>2.3449070878245095</v>
      </c>
      <c r="AH11" s="4">
        <f t="shared" ref="AH11" si="36">AVERAGE(AH7:AH10)</f>
        <v>1.4483619134168007</v>
      </c>
      <c r="AI11" s="4">
        <f t="shared" ref="AI11" si="37">AVERAGE(AI7:AI10)</f>
        <v>2.2616032257494196</v>
      </c>
      <c r="AJ11" s="4">
        <f t="shared" ref="AJ11" si="38">AVERAGE(AJ7:AJ10)</f>
        <v>0.21289956715955391</v>
      </c>
      <c r="AK11" s="4">
        <f t="shared" ref="AK11" si="39">AVERAGE(AK7:AK10)</f>
        <v>0</v>
      </c>
      <c r="AL11" s="4">
        <f t="shared" ref="AL11" si="40">AVERAGE(AL7:AL10)</f>
        <v>17.867613808849956</v>
      </c>
      <c r="AM11" s="4">
        <f t="shared" ref="AM11" si="41">AVERAGE(AM7:AM10)</f>
        <v>232.68122448949794</v>
      </c>
      <c r="AN11" s="4">
        <f t="shared" ref="AN11" si="42">AVERAGE(AN7:AN10)</f>
        <v>172.43337110671223</v>
      </c>
      <c r="AO11" s="4">
        <f t="shared" ref="AO11" si="43">AVERAGE(AO7:AO10)</f>
        <v>137.76974280995077</v>
      </c>
      <c r="AP11" s="4">
        <f t="shared" ref="AP11" si="44">AVERAGE(AP7:AP10)</f>
        <v>83.664403990786809</v>
      </c>
      <c r="AQ11" s="4">
        <f t="shared" ref="AQ11" si="45">AVERAGE(AQ7:AQ10)</f>
        <v>89.578592344575796</v>
      </c>
      <c r="AR11" s="4">
        <f t="shared" ref="AR11" si="46">SUM(F11:AQ11)</f>
        <v>1487.6613540501496</v>
      </c>
      <c r="AS11" s="4">
        <f t="shared" ref="AS11" si="47">SUM(F11:Z11)</f>
        <v>734.67081881914703</v>
      </c>
      <c r="AT11">
        <f t="shared" ref="AT11" si="48">SUM(AA11:AQ11)</f>
        <v>752.99053523100281</v>
      </c>
      <c r="AU11" s="4">
        <f t="shared" si="3"/>
        <v>280.98525281542794</v>
      </c>
      <c r="AV11" s="4">
        <f t="shared" si="4"/>
        <v>18.782687113469759</v>
      </c>
      <c r="AW11" s="4">
        <f t="shared" si="5"/>
        <v>453.6855660037192</v>
      </c>
      <c r="AX11" s="4">
        <f t="shared" si="6"/>
        <v>734.2078481175331</v>
      </c>
      <c r="AY11">
        <f>_xlfn.STDEV.P(AR7:AR10)</f>
        <v>363.8862698880522</v>
      </c>
      <c r="AZ11">
        <f t="shared" ref="AZ11" si="49">_xlfn.STDEV.P(AS7:AS10)</f>
        <v>141.58025923440971</v>
      </c>
      <c r="BA11">
        <f t="shared" ref="BA11" si="50">_xlfn.STDEV.P(AT7:AT10)</f>
        <v>226.16646279191613</v>
      </c>
      <c r="BB11">
        <f t="shared" ref="BB11" si="51">_xlfn.STDEV.P(AU7:AU10)</f>
        <v>38.505193239784283</v>
      </c>
      <c r="BC11">
        <f t="shared" ref="BC11" si="52">_xlfn.STDEV.P(AV7:AV10)</f>
        <v>7.0410817368193133</v>
      </c>
      <c r="BD11">
        <f t="shared" ref="BD11" si="53">_xlfn.STDEV.P(AW7:AW10)</f>
        <v>121.58742603788428</v>
      </c>
      <c r="BE11">
        <f t="shared" ref="BE11" si="54">_xlfn.STDEV.P(AX7:AX10)</f>
        <v>219.73519455042501</v>
      </c>
    </row>
    <row r="12" spans="1:57" x14ac:dyDescent="0.25">
      <c r="C12" s="2"/>
      <c r="D12" t="s">
        <v>43</v>
      </c>
      <c r="E12" t="s">
        <v>36</v>
      </c>
      <c r="F12" s="4">
        <v>284.32575756922301</v>
      </c>
      <c r="G12" s="4">
        <v>66.610045035157299</v>
      </c>
      <c r="H12" s="4">
        <v>10.6523045877275</v>
      </c>
      <c r="I12" s="4">
        <v>2.7120494761520599</v>
      </c>
      <c r="J12" s="4">
        <v>43.394169635806499</v>
      </c>
      <c r="K12" s="4">
        <v>0.25347807396588001</v>
      </c>
      <c r="L12" s="4">
        <v>0.57317397410050497</v>
      </c>
      <c r="M12" s="4">
        <v>0.33631849532568497</v>
      </c>
      <c r="N12" s="4">
        <v>0.48063332634213402</v>
      </c>
      <c r="O12" s="4">
        <v>0.27289544722628301</v>
      </c>
      <c r="P12" s="4">
        <v>0.19295079247776598</v>
      </c>
      <c r="Q12" s="4">
        <v>0.86500697399903803</v>
      </c>
      <c r="R12" s="4">
        <v>0</v>
      </c>
      <c r="S12" s="4">
        <v>1.0759265205715201</v>
      </c>
      <c r="T12" s="4">
        <v>0.26610812994675698</v>
      </c>
      <c r="U12" s="4">
        <v>85.465817528683203</v>
      </c>
      <c r="V12" s="4">
        <v>70.588763305956292</v>
      </c>
      <c r="W12" s="4">
        <v>123.59458905088501</v>
      </c>
      <c r="X12" s="4">
        <v>11.552653616138</v>
      </c>
      <c r="Y12" s="4">
        <v>11.547370434899099</v>
      </c>
      <c r="Z12" s="4">
        <v>2.0875674191361999</v>
      </c>
      <c r="AA12" s="4">
        <v>0</v>
      </c>
      <c r="AB12" s="4">
        <v>0.36350203624070004</v>
      </c>
      <c r="AC12" s="4">
        <v>10.223357263344965</v>
      </c>
      <c r="AD12" s="4">
        <v>0</v>
      </c>
      <c r="AE12" s="4">
        <v>0</v>
      </c>
      <c r="AF12" s="4">
        <v>0.30387874611136645</v>
      </c>
      <c r="AG12" s="4">
        <v>1.766692467812949</v>
      </c>
      <c r="AH12" s="4">
        <v>0.93718110211579209</v>
      </c>
      <c r="AI12" s="4">
        <v>1.4976930296121671</v>
      </c>
      <c r="AJ12" s="4">
        <v>0.19701246686466301</v>
      </c>
      <c r="AK12" s="4">
        <v>0</v>
      </c>
      <c r="AL12" s="4">
        <v>12.606628840942276</v>
      </c>
      <c r="AM12" s="4">
        <v>159.02238441509951</v>
      </c>
      <c r="AN12" s="4">
        <v>108.2577960675208</v>
      </c>
      <c r="AO12" s="4">
        <v>82.727715867479546</v>
      </c>
      <c r="AP12" s="4">
        <v>47.817826812809749</v>
      </c>
      <c r="AQ12" s="4">
        <v>47.969998027418121</v>
      </c>
      <c r="AR12" s="4">
        <f t="shared" si="0"/>
        <v>1190.5392465370921</v>
      </c>
      <c r="AS12" s="4">
        <f t="shared" si="1"/>
        <v>716.84757939371968</v>
      </c>
      <c r="AT12">
        <f t="shared" si="2"/>
        <v>473.69166714337263</v>
      </c>
      <c r="AU12" s="4">
        <f t="shared" si="3"/>
        <v>409.80377641350464</v>
      </c>
      <c r="AV12" s="4">
        <f t="shared" si="4"/>
        <v>15.092304645237938</v>
      </c>
      <c r="AW12" s="4">
        <f t="shared" si="5"/>
        <v>307.0438029802151</v>
      </c>
      <c r="AX12" s="4">
        <f t="shared" si="6"/>
        <v>458.59936249813467</v>
      </c>
    </row>
    <row r="13" spans="1:57" x14ac:dyDescent="0.25">
      <c r="C13" s="2"/>
      <c r="D13"/>
      <c r="E13" t="s">
        <v>39</v>
      </c>
      <c r="F13" s="4">
        <v>284.32575756922301</v>
      </c>
      <c r="G13" s="4">
        <v>66.610045035157299</v>
      </c>
      <c r="H13" s="4">
        <v>10.6523045877275</v>
      </c>
      <c r="I13" s="4">
        <v>2.7120494761520599</v>
      </c>
      <c r="J13" s="4">
        <v>43.394169635806499</v>
      </c>
      <c r="K13" s="4">
        <v>0.25347807396588001</v>
      </c>
      <c r="L13" s="4">
        <v>0.57317397410050497</v>
      </c>
      <c r="M13" s="4">
        <v>0.33631849532568497</v>
      </c>
      <c r="N13" s="4">
        <v>0.48063332634213402</v>
      </c>
      <c r="O13" s="4">
        <v>0.27289544722628301</v>
      </c>
      <c r="P13" s="4">
        <v>0.19295079247776598</v>
      </c>
      <c r="Q13" s="4">
        <v>0.86500697399903803</v>
      </c>
      <c r="R13" s="4">
        <v>0</v>
      </c>
      <c r="S13" s="4">
        <v>1.0759265205715201</v>
      </c>
      <c r="T13" s="4">
        <v>0.26610812994675698</v>
      </c>
      <c r="U13" s="4">
        <v>85.465817528683203</v>
      </c>
      <c r="V13" s="4">
        <v>70.588763305956292</v>
      </c>
      <c r="W13" s="4">
        <v>123.59458905088501</v>
      </c>
      <c r="X13" s="4">
        <v>11.552653616138</v>
      </c>
      <c r="Y13" s="4">
        <v>11.547370434899099</v>
      </c>
      <c r="Z13" s="4">
        <v>2.0875674191361999</v>
      </c>
      <c r="AA13" s="4">
        <v>0</v>
      </c>
      <c r="AB13" s="4">
        <v>0.36350203624070004</v>
      </c>
      <c r="AC13" s="4">
        <v>10.223357263344965</v>
      </c>
      <c r="AD13" s="4">
        <v>0</v>
      </c>
      <c r="AE13" s="4">
        <v>0</v>
      </c>
      <c r="AF13" s="4">
        <v>0.30387874611136645</v>
      </c>
      <c r="AG13" s="4">
        <v>1.766692467812949</v>
      </c>
      <c r="AH13" s="4">
        <v>0.93718110211579209</v>
      </c>
      <c r="AI13" s="4">
        <v>1.4976930296121671</v>
      </c>
      <c r="AJ13" s="4">
        <v>0.19701246686466301</v>
      </c>
      <c r="AK13" s="4">
        <v>0</v>
      </c>
      <c r="AL13" s="4">
        <v>12.606628840942276</v>
      </c>
      <c r="AM13" s="4">
        <v>159.02238441509951</v>
      </c>
      <c r="AN13" s="4">
        <v>108.2577960675208</v>
      </c>
      <c r="AO13" s="4">
        <v>82.727715867479546</v>
      </c>
      <c r="AP13" s="4">
        <v>47.817826812809749</v>
      </c>
      <c r="AQ13" s="4">
        <v>47.969998027418121</v>
      </c>
      <c r="AR13" s="4">
        <f t="shared" si="0"/>
        <v>1190.5392465370921</v>
      </c>
      <c r="AS13" s="4">
        <f t="shared" si="1"/>
        <v>716.84757939371968</v>
      </c>
      <c r="AT13">
        <f t="shared" si="2"/>
        <v>473.69166714337263</v>
      </c>
      <c r="AU13" s="4">
        <f t="shared" si="3"/>
        <v>409.80377641350464</v>
      </c>
      <c r="AV13" s="4">
        <f t="shared" si="4"/>
        <v>15.092304645237938</v>
      </c>
      <c r="AW13" s="4">
        <f t="shared" si="5"/>
        <v>307.0438029802151</v>
      </c>
      <c r="AX13" s="4">
        <f t="shared" si="6"/>
        <v>458.59936249813467</v>
      </c>
    </row>
    <row r="14" spans="1:57" x14ac:dyDescent="0.25">
      <c r="C14" s="2"/>
      <c r="D14"/>
      <c r="E14" t="s">
        <v>40</v>
      </c>
      <c r="F14" s="4">
        <v>284.32575756922301</v>
      </c>
      <c r="G14" s="4">
        <v>66.610045035157299</v>
      </c>
      <c r="H14" s="4">
        <v>10.6523045877275</v>
      </c>
      <c r="I14" s="4">
        <v>2.7120494761520599</v>
      </c>
      <c r="J14" s="4">
        <v>43.394169635806499</v>
      </c>
      <c r="K14" s="4">
        <v>0.25347807396588001</v>
      </c>
      <c r="L14" s="4">
        <v>0.57317397410050497</v>
      </c>
      <c r="M14" s="4">
        <v>0.33631849532568497</v>
      </c>
      <c r="N14" s="4">
        <v>0.48063332634213402</v>
      </c>
      <c r="O14" s="4">
        <v>0.27289544722628301</v>
      </c>
      <c r="P14" s="4">
        <v>0.19295079247776598</v>
      </c>
      <c r="Q14" s="4">
        <v>0.86500697399903803</v>
      </c>
      <c r="R14" s="4">
        <v>0</v>
      </c>
      <c r="S14" s="4">
        <v>1.0759265205715201</v>
      </c>
      <c r="T14" s="4">
        <v>0.26610812994675698</v>
      </c>
      <c r="U14" s="4">
        <v>85.465817528683203</v>
      </c>
      <c r="V14" s="4">
        <v>70.588763305956292</v>
      </c>
      <c r="W14" s="4">
        <v>123.59458905088501</v>
      </c>
      <c r="X14" s="4">
        <v>11.552653616138</v>
      </c>
      <c r="Y14" s="4">
        <v>11.547370434899099</v>
      </c>
      <c r="Z14" s="4">
        <v>2.0875674191361999</v>
      </c>
      <c r="AA14" s="4">
        <v>0</v>
      </c>
      <c r="AB14" s="4">
        <v>0.36350203624070004</v>
      </c>
      <c r="AC14" s="4">
        <v>10.223357263344965</v>
      </c>
      <c r="AD14" s="4">
        <v>0</v>
      </c>
      <c r="AE14" s="4">
        <v>0</v>
      </c>
      <c r="AF14" s="4">
        <v>0.30387874611136645</v>
      </c>
      <c r="AG14" s="4">
        <v>1.766692467812949</v>
      </c>
      <c r="AH14" s="4">
        <v>0.93718110211579209</v>
      </c>
      <c r="AI14" s="4">
        <v>1.4976930296121671</v>
      </c>
      <c r="AJ14" s="4">
        <v>0.19701246686466301</v>
      </c>
      <c r="AK14" s="4">
        <v>0</v>
      </c>
      <c r="AL14" s="4">
        <v>12.606628840942276</v>
      </c>
      <c r="AM14" s="4">
        <v>159.02238441509951</v>
      </c>
      <c r="AN14" s="4">
        <v>108.2577960675208</v>
      </c>
      <c r="AO14" s="4">
        <v>82.727715867479546</v>
      </c>
      <c r="AP14" s="4">
        <v>47.817826812809749</v>
      </c>
      <c r="AQ14" s="4">
        <v>47.969998027418121</v>
      </c>
      <c r="AR14" s="4">
        <f t="shared" si="0"/>
        <v>1190.5392465370921</v>
      </c>
      <c r="AS14" s="4">
        <f t="shared" si="1"/>
        <v>716.84757939371968</v>
      </c>
      <c r="AT14">
        <f t="shared" si="2"/>
        <v>473.69166714337263</v>
      </c>
      <c r="AU14" s="4">
        <f t="shared" si="3"/>
        <v>409.80377641350464</v>
      </c>
      <c r="AV14" s="4">
        <f t="shared" si="4"/>
        <v>15.092304645237938</v>
      </c>
      <c r="AW14" s="4">
        <f t="shared" si="5"/>
        <v>307.0438029802151</v>
      </c>
      <c r="AX14" s="4">
        <f t="shared" si="6"/>
        <v>458.59936249813467</v>
      </c>
    </row>
    <row r="15" spans="1:57" x14ac:dyDescent="0.25">
      <c r="C15" s="2"/>
      <c r="D15"/>
      <c r="E15" t="s">
        <v>41</v>
      </c>
      <c r="F15" s="4">
        <v>284.32575756922301</v>
      </c>
      <c r="G15" s="4">
        <v>66.610045035157299</v>
      </c>
      <c r="H15" s="4">
        <v>10.6523045877275</v>
      </c>
      <c r="I15" s="4">
        <v>2.7120494761520599</v>
      </c>
      <c r="J15" s="4">
        <v>43.394169635806499</v>
      </c>
      <c r="K15" s="4">
        <v>0.25347807396588001</v>
      </c>
      <c r="L15" s="4">
        <v>0.57317397410050497</v>
      </c>
      <c r="M15" s="4">
        <v>0.33631849532568497</v>
      </c>
      <c r="N15" s="4">
        <v>0.48063332634213402</v>
      </c>
      <c r="O15" s="4">
        <v>0.27289544722628301</v>
      </c>
      <c r="P15" s="4">
        <v>0.19295079247776598</v>
      </c>
      <c r="Q15" s="4">
        <v>0.86500697399903803</v>
      </c>
      <c r="R15" s="4">
        <v>0</v>
      </c>
      <c r="S15" s="4">
        <v>1.0759265205715201</v>
      </c>
      <c r="T15" s="4">
        <v>0.26610812994675698</v>
      </c>
      <c r="U15" s="4">
        <v>85.465817528683203</v>
      </c>
      <c r="V15" s="4">
        <v>70.588763305956292</v>
      </c>
      <c r="W15" s="4">
        <v>123.59458905088501</v>
      </c>
      <c r="X15" s="4">
        <v>11.552653616138</v>
      </c>
      <c r="Y15" s="4">
        <v>11.547370434899099</v>
      </c>
      <c r="Z15" s="4">
        <v>2.0875674191361999</v>
      </c>
      <c r="AA15" s="4">
        <v>0</v>
      </c>
      <c r="AB15" s="4">
        <v>0.36350203624070004</v>
      </c>
      <c r="AC15" s="4">
        <v>10.223357263344965</v>
      </c>
      <c r="AD15" s="4">
        <v>0</v>
      </c>
      <c r="AE15" s="4">
        <v>0</v>
      </c>
      <c r="AF15" s="4">
        <v>0.30387874611136645</v>
      </c>
      <c r="AG15" s="4">
        <v>1.766692467812949</v>
      </c>
      <c r="AH15" s="4">
        <v>0.93718110211579209</v>
      </c>
      <c r="AI15" s="4">
        <v>1.4976930296121671</v>
      </c>
      <c r="AJ15" s="4">
        <v>0.19701246686466301</v>
      </c>
      <c r="AK15" s="4">
        <v>0</v>
      </c>
      <c r="AL15" s="4">
        <v>12.606628840942276</v>
      </c>
      <c r="AM15" s="4">
        <v>159.02238441509951</v>
      </c>
      <c r="AN15" s="4">
        <v>108.2577960675208</v>
      </c>
      <c r="AO15" s="4">
        <v>82.727715867479546</v>
      </c>
      <c r="AP15" s="4">
        <v>47.817826812809749</v>
      </c>
      <c r="AQ15" s="4">
        <v>47.969998027418121</v>
      </c>
      <c r="AR15" s="4">
        <f t="shared" si="0"/>
        <v>1190.5392465370921</v>
      </c>
      <c r="AS15" s="4">
        <f t="shared" si="1"/>
        <v>716.84757939371968</v>
      </c>
      <c r="AT15">
        <f t="shared" si="2"/>
        <v>473.69166714337263</v>
      </c>
      <c r="AU15" s="4">
        <f t="shared" si="3"/>
        <v>409.80377641350464</v>
      </c>
      <c r="AV15" s="4">
        <f t="shared" si="4"/>
        <v>15.092304645237938</v>
      </c>
      <c r="AW15" s="4">
        <f t="shared" si="5"/>
        <v>307.0438029802151</v>
      </c>
      <c r="AX15" s="4">
        <f t="shared" si="6"/>
        <v>458.59936249813467</v>
      </c>
    </row>
    <row r="16" spans="1:57" s="58" customFormat="1" x14ac:dyDescent="0.25">
      <c r="C16" s="59"/>
      <c r="D16" s="58" t="s">
        <v>44</v>
      </c>
      <c r="E16" s="58" t="s">
        <v>36</v>
      </c>
      <c r="F16" s="4">
        <v>218.376371445464</v>
      </c>
      <c r="G16" s="4">
        <v>53.105685457190098</v>
      </c>
      <c r="H16" s="4">
        <v>11.2437509363321</v>
      </c>
      <c r="I16" s="4">
        <v>3.3347835682208702</v>
      </c>
      <c r="J16" s="4">
        <v>77.045806591399412</v>
      </c>
      <c r="K16" s="4">
        <v>0.39748327683575796</v>
      </c>
      <c r="L16" s="4">
        <v>0.90041145810422996</v>
      </c>
      <c r="M16" s="4">
        <v>0.59737938427432902</v>
      </c>
      <c r="N16" s="4">
        <v>0.83409934677813502</v>
      </c>
      <c r="O16" s="4">
        <v>0.53578700364111598</v>
      </c>
      <c r="P16" s="4">
        <v>0.41609464937940499</v>
      </c>
      <c r="Q16" s="4">
        <v>0.79719931461819704</v>
      </c>
      <c r="R16" s="4">
        <v>0</v>
      </c>
      <c r="S16" s="4">
        <v>1.19410425279479</v>
      </c>
      <c r="T16" s="4">
        <v>0.33223387645118996</v>
      </c>
      <c r="U16" s="4">
        <v>110.36203337917699</v>
      </c>
      <c r="V16" s="4">
        <v>116.368513359074</v>
      </c>
      <c r="W16" s="4">
        <v>208.901888897612</v>
      </c>
      <c r="X16" s="4">
        <v>24.055441471286201</v>
      </c>
      <c r="Y16" s="4">
        <v>22.0436688310037</v>
      </c>
      <c r="Z16" s="4">
        <v>4.7982055111767501</v>
      </c>
      <c r="AA16" s="4">
        <v>0</v>
      </c>
      <c r="AB16" s="4">
        <v>0.44414004785891698</v>
      </c>
      <c r="AC16" s="4">
        <v>18.611825631995249</v>
      </c>
      <c r="AD16" s="4">
        <v>0.2115254388570795</v>
      </c>
      <c r="AE16" s="4">
        <v>0.15888313030511553</v>
      </c>
      <c r="AF16" s="4">
        <v>0.40669477758276495</v>
      </c>
      <c r="AG16" s="4">
        <v>2.7602047254563282</v>
      </c>
      <c r="AH16" s="4">
        <v>1.5991733186905421</v>
      </c>
      <c r="AI16" s="4">
        <v>2.0541929666236749</v>
      </c>
      <c r="AJ16" s="4">
        <v>0.2030070180817605</v>
      </c>
      <c r="AK16" s="4">
        <v>0</v>
      </c>
      <c r="AL16" s="4">
        <v>17.930209122602253</v>
      </c>
      <c r="AM16" s="4">
        <v>252.31629336598149</v>
      </c>
      <c r="AN16" s="4">
        <v>199.02908846975811</v>
      </c>
      <c r="AO16" s="4">
        <v>163.23895821010387</v>
      </c>
      <c r="AP16" s="4">
        <v>95.938403390697857</v>
      </c>
      <c r="AQ16" s="4">
        <v>106.23086859369408</v>
      </c>
      <c r="AR16" s="57">
        <f t="shared" si="0"/>
        <v>1716.7744102191025</v>
      </c>
      <c r="AS16" s="57">
        <f t="shared" si="1"/>
        <v>855.64094201081343</v>
      </c>
      <c r="AT16" s="58">
        <f t="shared" si="2"/>
        <v>861.13346820828906</v>
      </c>
      <c r="AU16" s="4">
        <f t="shared" si="3"/>
        <v>366.78765311761953</v>
      </c>
      <c r="AV16" s="4">
        <f t="shared" si="4"/>
        <v>26.246640037369673</v>
      </c>
      <c r="AW16" s="4">
        <f t="shared" si="5"/>
        <v>488.85328889319385</v>
      </c>
      <c r="AX16" s="4">
        <f t="shared" si="6"/>
        <v>834.88682817091944</v>
      </c>
    </row>
    <row r="17" spans="2:57" x14ac:dyDescent="0.25">
      <c r="C17" s="2"/>
      <c r="D17"/>
      <c r="E17" t="s">
        <v>39</v>
      </c>
      <c r="F17" s="4">
        <v>218.376371445464</v>
      </c>
      <c r="G17" s="4">
        <v>53.105685457190098</v>
      </c>
      <c r="H17" s="4">
        <v>11.2437509363321</v>
      </c>
      <c r="I17" s="4">
        <v>3.3347835682208702</v>
      </c>
      <c r="J17" s="4">
        <v>77.045806591399412</v>
      </c>
      <c r="K17" s="4">
        <v>0.39748327683575796</v>
      </c>
      <c r="L17" s="4">
        <v>0.90041145810422996</v>
      </c>
      <c r="M17" s="4">
        <v>0.59737938427432902</v>
      </c>
      <c r="N17" s="4">
        <v>0.83409934677813502</v>
      </c>
      <c r="O17" s="4">
        <v>0.53578700364111598</v>
      </c>
      <c r="P17" s="4">
        <v>0.41609464937940499</v>
      </c>
      <c r="Q17" s="4">
        <v>0.79719931461819704</v>
      </c>
      <c r="R17" s="4">
        <v>0</v>
      </c>
      <c r="S17" s="4">
        <v>1.19410425279479</v>
      </c>
      <c r="T17" s="4">
        <v>0.33223387645118996</v>
      </c>
      <c r="U17" s="4">
        <v>110.36203337917699</v>
      </c>
      <c r="V17" s="4">
        <v>116.368513359074</v>
      </c>
      <c r="W17" s="4">
        <v>208.901888897612</v>
      </c>
      <c r="X17" s="4">
        <v>24.055441471286201</v>
      </c>
      <c r="Y17" s="4">
        <v>22.0436688310037</v>
      </c>
      <c r="Z17" s="4">
        <v>4.7982055111767501</v>
      </c>
      <c r="AA17" s="4">
        <v>0</v>
      </c>
      <c r="AB17" s="4">
        <v>0.44414004785891698</v>
      </c>
      <c r="AC17" s="4">
        <v>18.611825631995249</v>
      </c>
      <c r="AD17" s="4">
        <v>0.2115254388570795</v>
      </c>
      <c r="AE17" s="4">
        <v>0.15888313030511553</v>
      </c>
      <c r="AF17" s="4">
        <v>0.40669477758276495</v>
      </c>
      <c r="AG17" s="4">
        <v>2.7602047254563282</v>
      </c>
      <c r="AH17" s="4">
        <v>1.5991733186905421</v>
      </c>
      <c r="AI17" s="4">
        <v>2.0541929666236749</v>
      </c>
      <c r="AJ17" s="4">
        <v>0.2030070180817605</v>
      </c>
      <c r="AK17" s="4">
        <v>0</v>
      </c>
      <c r="AL17" s="4">
        <v>17.930209122602253</v>
      </c>
      <c r="AM17" s="4">
        <v>252.31629336598149</v>
      </c>
      <c r="AN17" s="4">
        <v>199.02908846975811</v>
      </c>
      <c r="AO17" s="4">
        <v>163.23895821010387</v>
      </c>
      <c r="AP17" s="4">
        <v>95.938403390697857</v>
      </c>
      <c r="AQ17" s="4">
        <v>106.23086859369408</v>
      </c>
      <c r="AR17" s="4">
        <f t="shared" si="0"/>
        <v>1716.7744102191025</v>
      </c>
      <c r="AS17" s="4">
        <f t="shared" si="1"/>
        <v>855.64094201081343</v>
      </c>
      <c r="AT17">
        <f t="shared" si="2"/>
        <v>861.13346820828906</v>
      </c>
      <c r="AU17" s="4">
        <f t="shared" si="3"/>
        <v>366.78765311761953</v>
      </c>
      <c r="AV17" s="4">
        <f t="shared" si="4"/>
        <v>26.246640037369673</v>
      </c>
      <c r="AW17" s="4">
        <f t="shared" si="5"/>
        <v>488.85328889319385</v>
      </c>
      <c r="AX17" s="4">
        <f t="shared" si="6"/>
        <v>834.88682817091944</v>
      </c>
    </row>
    <row r="18" spans="2:57" x14ac:dyDescent="0.25">
      <c r="C18" s="2"/>
      <c r="D18"/>
      <c r="E18" t="s">
        <v>40</v>
      </c>
      <c r="F18" s="4">
        <v>218.376371445464</v>
      </c>
      <c r="G18" s="4">
        <v>53.105685457190098</v>
      </c>
      <c r="H18" s="4">
        <v>11.2437509363321</v>
      </c>
      <c r="I18" s="4">
        <v>3.3347835682208702</v>
      </c>
      <c r="J18" s="4">
        <v>77.045806591399412</v>
      </c>
      <c r="K18" s="4">
        <v>0.39748327683575796</v>
      </c>
      <c r="L18" s="4">
        <v>0.90041145810422996</v>
      </c>
      <c r="M18" s="4">
        <v>0.59737938427432902</v>
      </c>
      <c r="N18" s="4">
        <v>0.83409934677813502</v>
      </c>
      <c r="O18" s="4">
        <v>0.53578700364111598</v>
      </c>
      <c r="P18" s="4">
        <v>0.41609464937940499</v>
      </c>
      <c r="Q18" s="4">
        <v>0.79719931461819704</v>
      </c>
      <c r="R18" s="4">
        <v>0</v>
      </c>
      <c r="S18" s="4">
        <v>1.19410425279479</v>
      </c>
      <c r="T18" s="4">
        <v>0.33223387645118996</v>
      </c>
      <c r="U18" s="4">
        <v>110.36203337917699</v>
      </c>
      <c r="V18" s="4">
        <v>116.368513359074</v>
      </c>
      <c r="W18" s="4">
        <v>208.901888897612</v>
      </c>
      <c r="X18" s="4">
        <v>24.055441471286201</v>
      </c>
      <c r="Y18" s="4">
        <v>22.0436688310037</v>
      </c>
      <c r="Z18" s="4">
        <v>4.7982055111767501</v>
      </c>
      <c r="AA18" s="4">
        <v>0</v>
      </c>
      <c r="AB18" s="4">
        <v>0.44414004785891698</v>
      </c>
      <c r="AC18" s="4">
        <v>18.611825631995249</v>
      </c>
      <c r="AD18" s="4">
        <v>0.2115254388570795</v>
      </c>
      <c r="AE18" s="4">
        <v>0.15888313030511553</v>
      </c>
      <c r="AF18" s="4">
        <v>0.40669477758276495</v>
      </c>
      <c r="AG18" s="4">
        <v>2.7602047254563282</v>
      </c>
      <c r="AH18" s="4">
        <v>1.5991733186905421</v>
      </c>
      <c r="AI18" s="4">
        <v>2.0541929666236749</v>
      </c>
      <c r="AJ18" s="4">
        <v>0.2030070180817605</v>
      </c>
      <c r="AK18" s="4">
        <v>0</v>
      </c>
      <c r="AL18" s="4">
        <v>17.930209122602253</v>
      </c>
      <c r="AM18" s="4">
        <v>252.31629336598149</v>
      </c>
      <c r="AN18" s="4">
        <v>199.02908846975811</v>
      </c>
      <c r="AO18" s="4">
        <v>163.23895821010387</v>
      </c>
      <c r="AP18" s="4">
        <v>95.938403390697857</v>
      </c>
      <c r="AQ18" s="4">
        <v>106.23086859369408</v>
      </c>
      <c r="AR18" s="4">
        <f t="shared" si="0"/>
        <v>1716.7744102191025</v>
      </c>
      <c r="AS18" s="4">
        <f t="shared" si="1"/>
        <v>855.64094201081343</v>
      </c>
      <c r="AT18">
        <f t="shared" si="2"/>
        <v>861.13346820828906</v>
      </c>
      <c r="AU18" s="4">
        <f t="shared" si="3"/>
        <v>366.78765311761953</v>
      </c>
      <c r="AV18" s="4">
        <f t="shared" si="4"/>
        <v>26.246640037369673</v>
      </c>
      <c r="AW18" s="4">
        <f t="shared" si="5"/>
        <v>488.85328889319385</v>
      </c>
      <c r="AX18" s="4">
        <f t="shared" si="6"/>
        <v>834.88682817091944</v>
      </c>
    </row>
    <row r="19" spans="2:57" x14ac:dyDescent="0.25">
      <c r="C19" s="2"/>
      <c r="D19"/>
      <c r="E19" t="s">
        <v>41</v>
      </c>
      <c r="F19" s="4">
        <v>218.376371445464</v>
      </c>
      <c r="G19" s="4">
        <v>53.105685457190098</v>
      </c>
      <c r="H19" s="4">
        <v>11.2437509363321</v>
      </c>
      <c r="I19" s="4">
        <v>3.3347835682208702</v>
      </c>
      <c r="J19" s="4">
        <v>77.045806591399412</v>
      </c>
      <c r="K19" s="4">
        <v>0.39748327683575796</v>
      </c>
      <c r="L19" s="4">
        <v>0.90041145810422996</v>
      </c>
      <c r="M19" s="4">
        <v>0.59737938427432902</v>
      </c>
      <c r="N19" s="4">
        <v>0.83409934677813502</v>
      </c>
      <c r="O19" s="4">
        <v>0.53578700364111598</v>
      </c>
      <c r="P19" s="4">
        <v>0.41609464937940499</v>
      </c>
      <c r="Q19" s="4">
        <v>0.79719931461819704</v>
      </c>
      <c r="R19" s="4">
        <v>0</v>
      </c>
      <c r="S19" s="4">
        <v>1.19410425279479</v>
      </c>
      <c r="T19" s="4">
        <v>0.33223387645118996</v>
      </c>
      <c r="U19" s="4">
        <v>110.36203337917699</v>
      </c>
      <c r="V19" s="4">
        <v>116.368513359074</v>
      </c>
      <c r="W19" s="4">
        <v>208.901888897612</v>
      </c>
      <c r="X19" s="4">
        <v>24.055441471286201</v>
      </c>
      <c r="Y19" s="4">
        <v>22.0436688310037</v>
      </c>
      <c r="Z19" s="4">
        <v>4.7982055111767501</v>
      </c>
      <c r="AA19" s="4">
        <v>0</v>
      </c>
      <c r="AB19" s="4">
        <v>0.44414004785891698</v>
      </c>
      <c r="AC19" s="4">
        <v>18.611825631995249</v>
      </c>
      <c r="AD19" s="4">
        <v>0.2115254388570795</v>
      </c>
      <c r="AE19" s="4">
        <v>0.15888313030511553</v>
      </c>
      <c r="AF19" s="4">
        <v>0.40669477758276495</v>
      </c>
      <c r="AG19" s="4">
        <v>2.7602047254563282</v>
      </c>
      <c r="AH19" s="4">
        <v>1.5991733186905421</v>
      </c>
      <c r="AI19" s="4">
        <v>2.0541929666236749</v>
      </c>
      <c r="AJ19" s="4">
        <v>0.2030070180817605</v>
      </c>
      <c r="AK19" s="4">
        <v>0</v>
      </c>
      <c r="AL19" s="4">
        <v>17.930209122602253</v>
      </c>
      <c r="AM19" s="4">
        <v>252.31629336598149</v>
      </c>
      <c r="AN19" s="4">
        <v>199.02908846975811</v>
      </c>
      <c r="AO19" s="4">
        <v>163.23895821010387</v>
      </c>
      <c r="AP19" s="4">
        <v>95.938403390697857</v>
      </c>
      <c r="AQ19" s="4">
        <v>106.23086859369408</v>
      </c>
      <c r="AR19" s="4">
        <f t="shared" si="0"/>
        <v>1716.7744102191025</v>
      </c>
      <c r="AS19" s="4">
        <f t="shared" si="1"/>
        <v>855.64094201081343</v>
      </c>
      <c r="AT19">
        <f t="shared" si="2"/>
        <v>861.13346820828906</v>
      </c>
      <c r="AU19" s="4">
        <f t="shared" si="3"/>
        <v>366.78765311761953</v>
      </c>
      <c r="AV19" s="4">
        <f t="shared" si="4"/>
        <v>26.246640037369673</v>
      </c>
      <c r="AW19" s="4">
        <f t="shared" si="5"/>
        <v>488.85328889319385</v>
      </c>
      <c r="AX19" s="4">
        <f t="shared" si="6"/>
        <v>834.88682817091944</v>
      </c>
    </row>
    <row r="20" spans="2:57" x14ac:dyDescent="0.25">
      <c r="C20" s="2"/>
      <c r="D20" t="s">
        <v>45</v>
      </c>
      <c r="E20" t="s">
        <v>36</v>
      </c>
      <c r="F20" s="4">
        <v>188.50481550517</v>
      </c>
      <c r="G20" s="4">
        <v>50.489828206579396</v>
      </c>
      <c r="H20" s="4">
        <v>12.932840401327899</v>
      </c>
      <c r="I20" s="4">
        <v>2.3886460803776899</v>
      </c>
      <c r="J20" s="4">
        <v>42.806243816647097</v>
      </c>
      <c r="K20" s="4">
        <v>0.24180542495007601</v>
      </c>
      <c r="L20" s="4">
        <v>0.41964530868030997</v>
      </c>
      <c r="M20" s="4">
        <v>0.151580398769354</v>
      </c>
      <c r="N20" s="4">
        <v>0.19621007491470399</v>
      </c>
      <c r="O20" s="4">
        <v>9.7031372512366099E-2</v>
      </c>
      <c r="P20" s="4">
        <v>7.7226986158126606E-2</v>
      </c>
      <c r="Q20" s="4">
        <v>0.60539990859661097</v>
      </c>
      <c r="R20" s="4">
        <v>0</v>
      </c>
      <c r="S20" s="4">
        <v>1.1923203807252001</v>
      </c>
      <c r="T20" s="4">
        <v>0.24952304370417802</v>
      </c>
      <c r="U20" s="4">
        <v>53.759837074223796</v>
      </c>
      <c r="V20" s="4">
        <v>43.5677790501285</v>
      </c>
      <c r="W20" s="4">
        <v>55.719323873776098</v>
      </c>
      <c r="X20" s="4">
        <v>3.2961674323459902</v>
      </c>
      <c r="Y20" s="4">
        <v>3.0607343075600002</v>
      </c>
      <c r="Z20" s="4">
        <v>0.64139967264845399</v>
      </c>
      <c r="AA20" s="4">
        <v>0</v>
      </c>
      <c r="AB20" s="4">
        <v>0.44441562279958952</v>
      </c>
      <c r="AC20" s="4">
        <v>10.103720769317624</v>
      </c>
      <c r="AD20" s="4">
        <v>0.18118591300995002</v>
      </c>
      <c r="AE20" s="4">
        <v>0</v>
      </c>
      <c r="AF20" s="4">
        <v>0.14409037170091987</v>
      </c>
      <c r="AG20" s="4">
        <v>0.46919717118661058</v>
      </c>
      <c r="AH20" s="4">
        <v>0.25379292421275451</v>
      </c>
      <c r="AI20" s="4">
        <v>0.43592414153411152</v>
      </c>
      <c r="AJ20" s="4">
        <v>0.27587292578328154</v>
      </c>
      <c r="AK20" s="4">
        <v>0</v>
      </c>
      <c r="AL20" s="4">
        <v>8.7755491828019156</v>
      </c>
      <c r="AM20" s="4">
        <v>101.3570487991916</v>
      </c>
      <c r="AN20" s="4">
        <v>47.709236948560893</v>
      </c>
      <c r="AO20" s="4">
        <v>26.147073210981166</v>
      </c>
      <c r="AP20" s="4">
        <v>13.63635381550885</v>
      </c>
      <c r="AQ20" s="4">
        <v>15.131122069129935</v>
      </c>
      <c r="AR20" s="4">
        <f t="shared" si="0"/>
        <v>685.46294218551498</v>
      </c>
      <c r="AS20" s="4">
        <f t="shared" si="1"/>
        <v>460.39835831979582</v>
      </c>
      <c r="AT20">
        <f t="shared" si="2"/>
        <v>225.06458386571919</v>
      </c>
      <c r="AU20" s="4">
        <f t="shared" si="3"/>
        <v>298.30587357608698</v>
      </c>
      <c r="AV20" s="4">
        <f t="shared" si="4"/>
        <v>12.032326913761558</v>
      </c>
      <c r="AW20" s="4">
        <f t="shared" si="5"/>
        <v>162.09248474370881</v>
      </c>
      <c r="AX20" s="4">
        <f t="shared" si="6"/>
        <v>213.03225695195763</v>
      </c>
    </row>
    <row r="21" spans="2:57" x14ac:dyDescent="0.25">
      <c r="C21" s="2"/>
      <c r="D21"/>
      <c r="E21" t="s">
        <v>39</v>
      </c>
      <c r="F21" s="4">
        <v>188.50481550517</v>
      </c>
      <c r="G21" s="4">
        <v>50.489828206579396</v>
      </c>
      <c r="H21" s="4">
        <v>12.932840401327899</v>
      </c>
      <c r="I21" s="4">
        <v>2.3886460803776899</v>
      </c>
      <c r="J21" s="4">
        <v>42.806243816647097</v>
      </c>
      <c r="K21" s="4">
        <v>0.24180542495007601</v>
      </c>
      <c r="L21" s="4">
        <v>0.41964530868030997</v>
      </c>
      <c r="M21" s="4">
        <v>0.151580398769354</v>
      </c>
      <c r="N21" s="4">
        <v>0.19621007491470399</v>
      </c>
      <c r="O21" s="4">
        <v>9.7031372512366099E-2</v>
      </c>
      <c r="P21" s="4">
        <v>7.7226986158126606E-2</v>
      </c>
      <c r="Q21" s="4">
        <v>0.60539990859661097</v>
      </c>
      <c r="R21" s="4">
        <v>0</v>
      </c>
      <c r="S21" s="4">
        <v>1.1923203807252001</v>
      </c>
      <c r="T21" s="4">
        <v>0.24952304370417802</v>
      </c>
      <c r="U21" s="4">
        <v>53.759837074223796</v>
      </c>
      <c r="V21" s="4">
        <v>43.5677790501285</v>
      </c>
      <c r="W21" s="4">
        <v>55.719323873776098</v>
      </c>
      <c r="X21" s="4">
        <v>3.2961674323459902</v>
      </c>
      <c r="Y21" s="4">
        <v>3.0607343075600002</v>
      </c>
      <c r="Z21" s="4">
        <v>0.64139967264845399</v>
      </c>
      <c r="AA21" s="4">
        <v>0</v>
      </c>
      <c r="AB21" s="4">
        <v>0.44441562279958952</v>
      </c>
      <c r="AC21" s="4">
        <v>10.103720769317624</v>
      </c>
      <c r="AD21" s="4">
        <v>0.18118591300995002</v>
      </c>
      <c r="AE21" s="4">
        <v>0</v>
      </c>
      <c r="AF21" s="4">
        <v>0.14409037170091987</v>
      </c>
      <c r="AG21" s="4">
        <v>0.46919717118661058</v>
      </c>
      <c r="AH21" s="4">
        <v>0.25379292421275451</v>
      </c>
      <c r="AI21" s="4">
        <v>0.43592414153411152</v>
      </c>
      <c r="AJ21" s="4">
        <v>0.27587292578328154</v>
      </c>
      <c r="AK21" s="4">
        <v>0</v>
      </c>
      <c r="AL21" s="4">
        <v>8.7755491828019156</v>
      </c>
      <c r="AM21" s="4">
        <v>101.3570487991916</v>
      </c>
      <c r="AN21" s="4">
        <v>47.709236948560893</v>
      </c>
      <c r="AO21" s="4">
        <v>26.147073210981166</v>
      </c>
      <c r="AP21" s="4">
        <v>13.63635381550885</v>
      </c>
      <c r="AQ21" s="4">
        <v>15.131122069129935</v>
      </c>
      <c r="AR21" s="4">
        <f t="shared" si="0"/>
        <v>685.46294218551498</v>
      </c>
      <c r="AS21" s="4">
        <f t="shared" si="1"/>
        <v>460.39835831979582</v>
      </c>
      <c r="AT21">
        <f t="shared" si="2"/>
        <v>225.06458386571919</v>
      </c>
      <c r="AU21" s="4">
        <f t="shared" si="3"/>
        <v>298.30587357608698</v>
      </c>
      <c r="AV21" s="4">
        <f t="shared" si="4"/>
        <v>12.032326913761558</v>
      </c>
      <c r="AW21" s="4">
        <f t="shared" si="5"/>
        <v>162.09248474370881</v>
      </c>
      <c r="AX21" s="4">
        <f t="shared" si="6"/>
        <v>213.03225695195763</v>
      </c>
    </row>
    <row r="22" spans="2:57" x14ac:dyDescent="0.25">
      <c r="C22" s="2"/>
      <c r="D22"/>
      <c r="E22" t="s">
        <v>40</v>
      </c>
      <c r="F22" s="4">
        <v>188.50481550517</v>
      </c>
      <c r="G22" s="4">
        <v>50.489828206579396</v>
      </c>
      <c r="H22" s="4">
        <v>12.932840401327899</v>
      </c>
      <c r="I22" s="4">
        <v>2.3886460803776899</v>
      </c>
      <c r="J22" s="4">
        <v>42.806243816647097</v>
      </c>
      <c r="K22" s="4">
        <v>0.24180542495007601</v>
      </c>
      <c r="L22" s="4">
        <v>0.41964530868030997</v>
      </c>
      <c r="M22" s="4">
        <v>0.151580398769354</v>
      </c>
      <c r="N22" s="4">
        <v>0.19621007491470399</v>
      </c>
      <c r="O22" s="4">
        <v>9.7031372512366099E-2</v>
      </c>
      <c r="P22" s="4">
        <v>7.7226986158126606E-2</v>
      </c>
      <c r="Q22" s="4">
        <v>0.60539990859661097</v>
      </c>
      <c r="R22" s="4">
        <v>0</v>
      </c>
      <c r="S22" s="4">
        <v>1.1923203807252001</v>
      </c>
      <c r="T22" s="4">
        <v>0.24952304370417802</v>
      </c>
      <c r="U22" s="4">
        <v>53.759837074223796</v>
      </c>
      <c r="V22" s="4">
        <v>43.5677790501285</v>
      </c>
      <c r="W22" s="4">
        <v>55.719323873776098</v>
      </c>
      <c r="X22" s="4">
        <v>3.2961674323459902</v>
      </c>
      <c r="Y22" s="4">
        <v>3.0607343075600002</v>
      </c>
      <c r="Z22" s="4">
        <v>0.64139967264845399</v>
      </c>
      <c r="AA22" s="4">
        <v>0</v>
      </c>
      <c r="AB22" s="4">
        <v>0.44441562279958952</v>
      </c>
      <c r="AC22" s="4">
        <v>10.103720769317624</v>
      </c>
      <c r="AD22" s="4">
        <v>0.18118591300995002</v>
      </c>
      <c r="AE22" s="4">
        <v>0</v>
      </c>
      <c r="AF22" s="4">
        <v>0.14409037170091987</v>
      </c>
      <c r="AG22" s="4">
        <v>0.46919717118661058</v>
      </c>
      <c r="AH22" s="4">
        <v>0.25379292421275451</v>
      </c>
      <c r="AI22" s="4">
        <v>0.43592414153411152</v>
      </c>
      <c r="AJ22" s="4">
        <v>0.27587292578328154</v>
      </c>
      <c r="AK22" s="4">
        <v>0</v>
      </c>
      <c r="AL22" s="4">
        <v>8.7755491828019156</v>
      </c>
      <c r="AM22" s="4">
        <v>101.3570487991916</v>
      </c>
      <c r="AN22" s="4">
        <v>47.709236948560893</v>
      </c>
      <c r="AO22" s="4">
        <v>26.147073210981166</v>
      </c>
      <c r="AP22" s="4">
        <v>13.63635381550885</v>
      </c>
      <c r="AQ22" s="4">
        <v>15.131122069129935</v>
      </c>
      <c r="AR22" s="4">
        <f t="shared" si="0"/>
        <v>685.46294218551498</v>
      </c>
      <c r="AS22" s="4">
        <f t="shared" si="1"/>
        <v>460.39835831979582</v>
      </c>
      <c r="AT22">
        <f t="shared" si="2"/>
        <v>225.06458386571919</v>
      </c>
      <c r="AU22" s="4">
        <f t="shared" si="3"/>
        <v>298.30587357608698</v>
      </c>
      <c r="AV22" s="4">
        <f t="shared" si="4"/>
        <v>12.032326913761558</v>
      </c>
      <c r="AW22" s="4">
        <f t="shared" si="5"/>
        <v>162.09248474370881</v>
      </c>
      <c r="AX22" s="4">
        <f t="shared" si="6"/>
        <v>213.03225695195763</v>
      </c>
    </row>
    <row r="23" spans="2:57" x14ac:dyDescent="0.25">
      <c r="C23" s="2"/>
      <c r="D23"/>
      <c r="E23" t="s">
        <v>41</v>
      </c>
      <c r="F23" s="4">
        <v>188.50481550517</v>
      </c>
      <c r="G23" s="4">
        <v>50.489828206579396</v>
      </c>
      <c r="H23" s="4">
        <v>12.932840401327899</v>
      </c>
      <c r="I23" s="4">
        <v>2.3886460803776899</v>
      </c>
      <c r="J23" s="4">
        <v>42.806243816647097</v>
      </c>
      <c r="K23" s="4">
        <v>0.24180542495007601</v>
      </c>
      <c r="L23" s="4">
        <v>0.41964530868030997</v>
      </c>
      <c r="M23" s="4">
        <v>0.151580398769354</v>
      </c>
      <c r="N23" s="4">
        <v>0.19621007491470399</v>
      </c>
      <c r="O23" s="4">
        <v>9.7031372512366099E-2</v>
      </c>
      <c r="P23" s="4">
        <v>7.7226986158126606E-2</v>
      </c>
      <c r="Q23" s="4">
        <v>0.60539990859661097</v>
      </c>
      <c r="R23" s="4">
        <v>0</v>
      </c>
      <c r="S23" s="4">
        <v>1.1923203807252001</v>
      </c>
      <c r="T23" s="4">
        <v>0.24952304370417802</v>
      </c>
      <c r="U23" s="4">
        <v>53.759837074223796</v>
      </c>
      <c r="V23" s="4">
        <v>43.5677790501285</v>
      </c>
      <c r="W23" s="4">
        <v>55.719323873776098</v>
      </c>
      <c r="X23" s="4">
        <v>3.2961674323459902</v>
      </c>
      <c r="Y23" s="4">
        <v>3.0607343075600002</v>
      </c>
      <c r="Z23" s="4">
        <v>0.64139967264845399</v>
      </c>
      <c r="AA23" s="4">
        <v>0</v>
      </c>
      <c r="AB23" s="4">
        <v>0.44441562279958952</v>
      </c>
      <c r="AC23" s="4">
        <v>10.103720769317624</v>
      </c>
      <c r="AD23" s="4">
        <v>0.18118591300995002</v>
      </c>
      <c r="AE23" s="4">
        <v>0</v>
      </c>
      <c r="AF23" s="4">
        <v>0.14409037170091987</v>
      </c>
      <c r="AG23" s="4">
        <v>0.46919717118661058</v>
      </c>
      <c r="AH23" s="4">
        <v>0.25379292421275451</v>
      </c>
      <c r="AI23" s="4">
        <v>0.43592414153411152</v>
      </c>
      <c r="AJ23" s="4">
        <v>0.27587292578328154</v>
      </c>
      <c r="AK23" s="4">
        <v>0</v>
      </c>
      <c r="AL23" s="4">
        <v>8.7755491828019156</v>
      </c>
      <c r="AM23" s="4">
        <v>101.3570487991916</v>
      </c>
      <c r="AN23" s="4">
        <v>47.709236948560893</v>
      </c>
      <c r="AO23" s="4">
        <v>26.147073210981166</v>
      </c>
      <c r="AP23" s="4">
        <v>13.63635381550885</v>
      </c>
      <c r="AQ23" s="4">
        <v>15.131122069129935</v>
      </c>
      <c r="AR23" s="4">
        <f t="shared" si="0"/>
        <v>685.46294218551498</v>
      </c>
      <c r="AS23" s="4">
        <f t="shared" si="1"/>
        <v>460.39835831979582</v>
      </c>
      <c r="AT23">
        <f t="shared" si="2"/>
        <v>225.06458386571919</v>
      </c>
      <c r="AU23" s="4">
        <f t="shared" si="3"/>
        <v>298.30587357608698</v>
      </c>
      <c r="AV23" s="4">
        <f t="shared" si="4"/>
        <v>12.032326913761558</v>
      </c>
      <c r="AW23" s="4">
        <f t="shared" si="5"/>
        <v>162.09248474370881</v>
      </c>
      <c r="AX23" s="4">
        <f t="shared" si="6"/>
        <v>213.03225695195763</v>
      </c>
    </row>
    <row r="24" spans="2:57" x14ac:dyDescent="0.25">
      <c r="C24" s="2"/>
      <c r="D24" t="s">
        <v>46</v>
      </c>
      <c r="E24" t="s">
        <v>36</v>
      </c>
      <c r="F24" s="4">
        <v>213.14220835196099</v>
      </c>
      <c r="G24" s="4">
        <v>49.031122410387304</v>
      </c>
      <c r="H24" s="4">
        <v>9.9122905174793505</v>
      </c>
      <c r="I24" s="4">
        <v>2.39241020104572</v>
      </c>
      <c r="J24" s="4">
        <v>35.394656171988096</v>
      </c>
      <c r="K24" s="4">
        <v>0.18942493784011402</v>
      </c>
      <c r="L24" s="4">
        <v>0.24967474201027098</v>
      </c>
      <c r="M24" s="4">
        <v>0.16983818082031499</v>
      </c>
      <c r="N24" s="4">
        <v>0.24775821269648099</v>
      </c>
      <c r="O24" s="4">
        <v>0.111269994694038</v>
      </c>
      <c r="P24" s="4">
        <v>9.8907880260458991E-2</v>
      </c>
      <c r="Q24" s="4">
        <v>0.69014539151080101</v>
      </c>
      <c r="R24" s="4">
        <v>0</v>
      </c>
      <c r="S24" s="4">
        <v>1.2135880738040101</v>
      </c>
      <c r="T24" s="4">
        <v>0.22658387477957101</v>
      </c>
      <c r="U24" s="4">
        <v>29.482274855545203</v>
      </c>
      <c r="V24" s="4">
        <v>53.546750215337298</v>
      </c>
      <c r="W24" s="4">
        <v>69.830993597615389</v>
      </c>
      <c r="X24" s="4">
        <v>5.2514271548025002</v>
      </c>
      <c r="Y24" s="4">
        <v>4.0144556212458404</v>
      </c>
      <c r="Z24" s="4">
        <v>0.82094855651462206</v>
      </c>
      <c r="AA24" s="4">
        <v>0</v>
      </c>
      <c r="AB24" s="4">
        <v>0.377732305493368</v>
      </c>
      <c r="AC24" s="4">
        <v>8.5003975235936107</v>
      </c>
      <c r="AD24" s="4">
        <v>0</v>
      </c>
      <c r="AE24" s="4">
        <v>0</v>
      </c>
      <c r="AF24" s="4">
        <v>9.0707362629725355E-2</v>
      </c>
      <c r="AG24" s="4">
        <v>0.56358101827903107</v>
      </c>
      <c r="AH24" s="4">
        <v>0.2915946614780105</v>
      </c>
      <c r="AI24" s="4">
        <v>0.53974165380752148</v>
      </c>
      <c r="AJ24" s="4">
        <v>0.3178977288218845</v>
      </c>
      <c r="AK24" s="4">
        <v>0</v>
      </c>
      <c r="AL24" s="4">
        <v>6.7626082119626352</v>
      </c>
      <c r="AM24" s="4">
        <v>77.074243278770709</v>
      </c>
      <c r="AN24" s="4">
        <v>60.162180951924654</v>
      </c>
      <c r="AO24" s="4">
        <v>30.703482155774587</v>
      </c>
      <c r="AP24" s="4">
        <v>17.049817566424391</v>
      </c>
      <c r="AQ24" s="4">
        <v>18.335865545857079</v>
      </c>
      <c r="AR24" s="4">
        <f t="shared" si="0"/>
        <v>696.78657890715567</v>
      </c>
      <c r="AS24" s="4">
        <f t="shared" si="1"/>
        <v>476.01672894233832</v>
      </c>
      <c r="AT24">
        <f t="shared" si="2"/>
        <v>220.76984996481721</v>
      </c>
      <c r="AU24" s="4">
        <f t="shared" si="3"/>
        <v>310.93956160118313</v>
      </c>
      <c r="AV24" s="4">
        <f t="shared" si="4"/>
        <v>10.363754525281266</v>
      </c>
      <c r="AW24" s="4">
        <f t="shared" si="5"/>
        <v>165.07716734115525</v>
      </c>
      <c r="AX24" s="4">
        <f t="shared" si="6"/>
        <v>210.40609543953596</v>
      </c>
    </row>
    <row r="25" spans="2:57" x14ac:dyDescent="0.25">
      <c r="C25" s="2"/>
      <c r="D25"/>
      <c r="E25" t="s">
        <v>39</v>
      </c>
      <c r="F25" s="4">
        <v>213.14220835196099</v>
      </c>
      <c r="G25" s="4">
        <v>49.031122410387304</v>
      </c>
      <c r="H25" s="4">
        <v>9.9122905174793505</v>
      </c>
      <c r="I25" s="4">
        <v>2.39241020104572</v>
      </c>
      <c r="J25" s="4">
        <v>35.394656171988096</v>
      </c>
      <c r="K25" s="4">
        <v>0.18942493784011402</v>
      </c>
      <c r="L25" s="4">
        <v>0.24967474201027098</v>
      </c>
      <c r="M25" s="4">
        <v>0.16983818082031499</v>
      </c>
      <c r="N25" s="4">
        <v>0.24775821269648099</v>
      </c>
      <c r="O25" s="4">
        <v>0.111269994694038</v>
      </c>
      <c r="P25" s="4">
        <v>9.8907880260458991E-2</v>
      </c>
      <c r="Q25" s="4">
        <v>0.69014539151080101</v>
      </c>
      <c r="R25" s="4">
        <v>0</v>
      </c>
      <c r="S25" s="4">
        <v>1.2135880738040101</v>
      </c>
      <c r="T25" s="4">
        <v>0.22658387477957101</v>
      </c>
      <c r="U25" s="4">
        <v>29.482274855545203</v>
      </c>
      <c r="V25" s="4">
        <v>53.546750215337298</v>
      </c>
      <c r="W25" s="4">
        <v>69.830993597615389</v>
      </c>
      <c r="X25" s="4">
        <v>5.2514271548025002</v>
      </c>
      <c r="Y25" s="4">
        <v>4.0144556212458404</v>
      </c>
      <c r="Z25" s="4">
        <v>0.82094855651462206</v>
      </c>
      <c r="AA25" s="4">
        <v>0</v>
      </c>
      <c r="AB25" s="4">
        <v>0.377732305493368</v>
      </c>
      <c r="AC25" s="4">
        <v>8.5003975235936107</v>
      </c>
      <c r="AD25" s="4">
        <v>0</v>
      </c>
      <c r="AE25" s="4">
        <v>0</v>
      </c>
      <c r="AF25" s="4">
        <v>9.0707362629725355E-2</v>
      </c>
      <c r="AG25" s="4">
        <v>0.56358101827903107</v>
      </c>
      <c r="AH25" s="4">
        <v>0.2915946614780105</v>
      </c>
      <c r="AI25" s="4">
        <v>0.53974165380752148</v>
      </c>
      <c r="AJ25" s="4">
        <v>0.3178977288218845</v>
      </c>
      <c r="AK25" s="4">
        <v>0</v>
      </c>
      <c r="AL25" s="4">
        <v>6.7626082119626352</v>
      </c>
      <c r="AM25" s="4">
        <v>77.074243278770709</v>
      </c>
      <c r="AN25" s="4">
        <v>60.162180951924654</v>
      </c>
      <c r="AO25" s="4">
        <v>30.703482155774587</v>
      </c>
      <c r="AP25" s="4">
        <v>17.049817566424391</v>
      </c>
      <c r="AQ25" s="4">
        <v>18.335865545857079</v>
      </c>
      <c r="AR25" s="4">
        <f t="shared" si="0"/>
        <v>696.78657890715567</v>
      </c>
      <c r="AS25" s="4">
        <f t="shared" si="1"/>
        <v>476.01672894233832</v>
      </c>
      <c r="AT25">
        <f t="shared" si="2"/>
        <v>220.76984996481721</v>
      </c>
      <c r="AU25" s="4">
        <f t="shared" si="3"/>
        <v>310.93956160118313</v>
      </c>
      <c r="AV25" s="4">
        <f t="shared" si="4"/>
        <v>10.363754525281266</v>
      </c>
      <c r="AW25" s="4">
        <f t="shared" si="5"/>
        <v>165.07716734115525</v>
      </c>
      <c r="AX25" s="4">
        <f t="shared" si="6"/>
        <v>210.40609543953596</v>
      </c>
    </row>
    <row r="26" spans="2:57" x14ac:dyDescent="0.25">
      <c r="C26" s="2"/>
      <c r="D26"/>
      <c r="E26" t="s">
        <v>40</v>
      </c>
      <c r="F26" s="4">
        <v>213.14220835196099</v>
      </c>
      <c r="G26" s="4">
        <v>49.031122410387304</v>
      </c>
      <c r="H26" s="4">
        <v>9.9122905174793505</v>
      </c>
      <c r="I26" s="4">
        <v>2.39241020104572</v>
      </c>
      <c r="J26" s="4">
        <v>35.394656171988096</v>
      </c>
      <c r="K26" s="4">
        <v>0.18942493784011402</v>
      </c>
      <c r="L26" s="4">
        <v>0.24967474201027098</v>
      </c>
      <c r="M26" s="4">
        <v>0.16983818082031499</v>
      </c>
      <c r="N26" s="4">
        <v>0.24775821269648099</v>
      </c>
      <c r="O26" s="4">
        <v>0.111269994694038</v>
      </c>
      <c r="P26" s="4">
        <v>9.8907880260458991E-2</v>
      </c>
      <c r="Q26" s="4">
        <v>0.69014539151080101</v>
      </c>
      <c r="R26" s="4">
        <v>0</v>
      </c>
      <c r="S26" s="4">
        <v>1.2135880738040101</v>
      </c>
      <c r="T26" s="4">
        <v>0.22658387477957101</v>
      </c>
      <c r="U26" s="4">
        <v>29.482274855545203</v>
      </c>
      <c r="V26" s="4">
        <v>53.546750215337298</v>
      </c>
      <c r="W26" s="4">
        <v>69.830993597615389</v>
      </c>
      <c r="X26" s="4">
        <v>5.2514271548025002</v>
      </c>
      <c r="Y26" s="4">
        <v>4.0144556212458404</v>
      </c>
      <c r="Z26" s="4">
        <v>0.82094855651462206</v>
      </c>
      <c r="AA26" s="4">
        <v>0</v>
      </c>
      <c r="AB26" s="4">
        <v>0.377732305493368</v>
      </c>
      <c r="AC26" s="4">
        <v>8.5003975235936107</v>
      </c>
      <c r="AD26" s="4">
        <v>0</v>
      </c>
      <c r="AE26" s="4">
        <v>0</v>
      </c>
      <c r="AF26" s="4">
        <v>9.0707362629725355E-2</v>
      </c>
      <c r="AG26" s="4">
        <v>0.56358101827903107</v>
      </c>
      <c r="AH26" s="4">
        <v>0.2915946614780105</v>
      </c>
      <c r="AI26" s="4">
        <v>0.53974165380752148</v>
      </c>
      <c r="AJ26" s="4">
        <v>0.3178977288218845</v>
      </c>
      <c r="AK26" s="4">
        <v>0</v>
      </c>
      <c r="AL26" s="4">
        <v>6.7626082119626352</v>
      </c>
      <c r="AM26" s="4">
        <v>77.074243278770709</v>
      </c>
      <c r="AN26" s="4">
        <v>60.162180951924654</v>
      </c>
      <c r="AO26" s="4">
        <v>30.703482155774587</v>
      </c>
      <c r="AP26" s="4">
        <v>17.049817566424391</v>
      </c>
      <c r="AQ26" s="4">
        <v>18.335865545857079</v>
      </c>
      <c r="AR26" s="4">
        <f t="shared" si="0"/>
        <v>696.78657890715567</v>
      </c>
      <c r="AS26" s="4">
        <f t="shared" si="1"/>
        <v>476.01672894233832</v>
      </c>
      <c r="AT26">
        <f t="shared" si="2"/>
        <v>220.76984996481721</v>
      </c>
      <c r="AU26" s="4">
        <f t="shared" si="3"/>
        <v>310.93956160118313</v>
      </c>
      <c r="AV26" s="4">
        <f t="shared" si="4"/>
        <v>10.363754525281266</v>
      </c>
      <c r="AW26" s="4">
        <f t="shared" si="5"/>
        <v>165.07716734115525</v>
      </c>
      <c r="AX26" s="4">
        <f t="shared" si="6"/>
        <v>210.40609543953596</v>
      </c>
    </row>
    <row r="27" spans="2:57" x14ac:dyDescent="0.25">
      <c r="C27" s="2"/>
      <c r="D27"/>
      <c r="E27" t="s">
        <v>41</v>
      </c>
      <c r="F27" s="4">
        <v>213.14220835196099</v>
      </c>
      <c r="G27" s="4">
        <v>49.031122410387304</v>
      </c>
      <c r="H27" s="4">
        <v>9.9122905174793505</v>
      </c>
      <c r="I27" s="4">
        <v>2.39241020104572</v>
      </c>
      <c r="J27" s="4">
        <v>35.394656171988096</v>
      </c>
      <c r="K27" s="4">
        <v>0.18942493784011402</v>
      </c>
      <c r="L27" s="4">
        <v>0.24967474201027098</v>
      </c>
      <c r="M27" s="4">
        <v>0.16983818082031499</v>
      </c>
      <c r="N27" s="4">
        <v>0.24775821269648099</v>
      </c>
      <c r="O27" s="4">
        <v>0.111269994694038</v>
      </c>
      <c r="P27" s="4">
        <v>9.8907880260458991E-2</v>
      </c>
      <c r="Q27" s="4">
        <v>0.69014539151080101</v>
      </c>
      <c r="R27" s="4">
        <v>0</v>
      </c>
      <c r="S27" s="4">
        <v>1.2135880738040101</v>
      </c>
      <c r="T27" s="4">
        <v>0.22658387477957101</v>
      </c>
      <c r="U27" s="4">
        <v>29.482274855545203</v>
      </c>
      <c r="V27" s="4">
        <v>53.546750215337298</v>
      </c>
      <c r="W27" s="4">
        <v>69.830993597615389</v>
      </c>
      <c r="X27" s="4">
        <v>5.2514271548025002</v>
      </c>
      <c r="Y27" s="4">
        <v>4.0144556212458404</v>
      </c>
      <c r="Z27" s="4">
        <v>0.82094855651462206</v>
      </c>
      <c r="AA27" s="4">
        <v>0</v>
      </c>
      <c r="AB27" s="4">
        <v>0.377732305493368</v>
      </c>
      <c r="AC27" s="4">
        <v>8.5003975235936107</v>
      </c>
      <c r="AD27" s="4">
        <v>0</v>
      </c>
      <c r="AE27" s="4">
        <v>0</v>
      </c>
      <c r="AF27" s="4">
        <v>9.0707362629725355E-2</v>
      </c>
      <c r="AG27" s="4">
        <v>0.56358101827903107</v>
      </c>
      <c r="AH27" s="4">
        <v>0.2915946614780105</v>
      </c>
      <c r="AI27" s="4">
        <v>0.53974165380752148</v>
      </c>
      <c r="AJ27" s="4">
        <v>0.3178977288218845</v>
      </c>
      <c r="AK27" s="4">
        <v>0</v>
      </c>
      <c r="AL27" s="4">
        <v>6.7626082119626352</v>
      </c>
      <c r="AM27" s="4">
        <v>77.074243278770709</v>
      </c>
      <c r="AN27" s="4">
        <v>60.162180951924654</v>
      </c>
      <c r="AO27" s="4">
        <v>30.703482155774587</v>
      </c>
      <c r="AP27" s="4">
        <v>17.049817566424391</v>
      </c>
      <c r="AQ27" s="4">
        <v>18.335865545857079</v>
      </c>
      <c r="AR27" s="4">
        <f t="shared" si="0"/>
        <v>696.78657890715567</v>
      </c>
      <c r="AS27" s="4">
        <f t="shared" si="1"/>
        <v>476.01672894233832</v>
      </c>
      <c r="AT27">
        <f t="shared" si="2"/>
        <v>220.76984996481721</v>
      </c>
      <c r="AU27" s="4">
        <f t="shared" si="3"/>
        <v>310.93956160118313</v>
      </c>
      <c r="AV27" s="4">
        <f t="shared" si="4"/>
        <v>10.363754525281266</v>
      </c>
      <c r="AW27" s="4">
        <f t="shared" si="5"/>
        <v>165.07716734115525</v>
      </c>
      <c r="AX27" s="4">
        <f t="shared" si="6"/>
        <v>210.40609543953596</v>
      </c>
    </row>
    <row r="28" spans="2:57" x14ac:dyDescent="0.25">
      <c r="B28">
        <v>38</v>
      </c>
      <c r="C28" s="2">
        <v>45105</v>
      </c>
      <c r="D28" t="s">
        <v>47</v>
      </c>
      <c r="E28" t="s">
        <v>36</v>
      </c>
      <c r="F28" s="4">
        <v>180.75768167506047</v>
      </c>
      <c r="G28" s="4">
        <v>45.130960296467549</v>
      </c>
      <c r="H28" s="4">
        <v>9.0595569892650758</v>
      </c>
      <c r="I28" s="4">
        <v>2.0962633570063081</v>
      </c>
      <c r="J28" s="4">
        <v>38.12936172694873</v>
      </c>
      <c r="K28" s="4">
        <v>0.30605259558635317</v>
      </c>
      <c r="L28" s="4">
        <v>0.92682245585981993</v>
      </c>
      <c r="M28" s="4">
        <v>0.35078156247478554</v>
      </c>
      <c r="N28" s="4">
        <v>0.35797537779462502</v>
      </c>
      <c r="O28" s="4">
        <v>0.1682686472941736</v>
      </c>
      <c r="P28" s="4">
        <v>0.11794793688242089</v>
      </c>
      <c r="Q28" s="4">
        <v>0.53468060651183513</v>
      </c>
      <c r="R28" s="4">
        <v>9.14142755215369E-2</v>
      </c>
      <c r="S28" s="4">
        <v>0.78055931186899996</v>
      </c>
      <c r="T28" s="4">
        <v>0.2836475893989755</v>
      </c>
      <c r="U28" s="4">
        <v>95.705968569506652</v>
      </c>
      <c r="V28" s="4">
        <v>108.4597502930125</v>
      </c>
      <c r="W28" s="4">
        <v>109.662937049929</v>
      </c>
      <c r="X28" s="4">
        <v>9.9352208764681151</v>
      </c>
      <c r="Y28" s="4">
        <v>8.4434247600222001</v>
      </c>
      <c r="Z28" s="4">
        <v>2.0535314145035799</v>
      </c>
      <c r="AA28" s="4">
        <v>0</v>
      </c>
      <c r="AB28" s="4">
        <v>0.39535221234441659</v>
      </c>
      <c r="AC28" s="4">
        <v>7.310894625315032</v>
      </c>
      <c r="AD28" s="4">
        <v>0.13078711856473441</v>
      </c>
      <c r="AE28" s="4">
        <v>9.3555798333328027E-2</v>
      </c>
      <c r="AF28" s="4">
        <v>0.359156380732787</v>
      </c>
      <c r="AG28" s="4">
        <v>0.77937286432968378</v>
      </c>
      <c r="AH28" s="4">
        <v>0.53028641108869579</v>
      </c>
      <c r="AI28" s="4">
        <v>0.87001211502284614</v>
      </c>
      <c r="AJ28" s="4">
        <v>0.20719084866327372</v>
      </c>
      <c r="AK28" s="4">
        <v>0</v>
      </c>
      <c r="AL28" s="4">
        <v>11.370387778517415</v>
      </c>
      <c r="AM28" s="4">
        <v>226.6935490057478</v>
      </c>
      <c r="AN28" s="4">
        <v>116.1711439666477</v>
      </c>
      <c r="AO28" s="4">
        <v>65.232405449459193</v>
      </c>
      <c r="AP28" s="4">
        <v>33.563132446753059</v>
      </c>
      <c r="AQ28" s="4">
        <v>35.689485828360759</v>
      </c>
      <c r="AR28" s="4">
        <f t="shared" si="0"/>
        <v>1112.7495202172645</v>
      </c>
      <c r="AS28" s="4">
        <f t="shared" si="1"/>
        <v>613.35280736738366</v>
      </c>
      <c r="AT28">
        <f t="shared" si="2"/>
        <v>499.39671284988071</v>
      </c>
      <c r="AU28" s="4">
        <f t="shared" si="3"/>
        <v>277.40167262064028</v>
      </c>
      <c r="AV28" s="4">
        <f t="shared" si="4"/>
        <v>10.469417525731522</v>
      </c>
      <c r="AW28" s="4">
        <f t="shared" si="5"/>
        <v>335.95113474674343</v>
      </c>
      <c r="AX28" s="4">
        <f t="shared" si="6"/>
        <v>488.92729532414921</v>
      </c>
    </row>
    <row r="29" spans="2:57" x14ac:dyDescent="0.25">
      <c r="C29" s="2"/>
      <c r="D29"/>
      <c r="E29" t="s">
        <v>39</v>
      </c>
      <c r="F29" s="4">
        <v>126.10726872942199</v>
      </c>
      <c r="G29" s="4">
        <v>30.289962321425801</v>
      </c>
      <c r="H29" s="4">
        <v>7.6084568838076505</v>
      </c>
      <c r="I29" s="4">
        <v>1.7046351875385402</v>
      </c>
      <c r="J29" s="4">
        <v>25.078924351351802</v>
      </c>
      <c r="K29" s="4">
        <v>0.19636091638178801</v>
      </c>
      <c r="L29" s="4">
        <v>0.317873243535506</v>
      </c>
      <c r="M29" s="4">
        <v>0.144752525083785</v>
      </c>
      <c r="N29" s="4">
        <v>0.19084719489140098</v>
      </c>
      <c r="O29" s="4">
        <v>7.9298618982047209E-2</v>
      </c>
      <c r="P29" s="4">
        <v>7.1894703455271297E-2</v>
      </c>
      <c r="Q29" s="4">
        <v>0.62088541416557996</v>
      </c>
      <c r="R29" s="4">
        <v>0</v>
      </c>
      <c r="S29" s="4">
        <v>0.92053812670702095</v>
      </c>
      <c r="T29" s="4">
        <v>0.17573182261418299</v>
      </c>
      <c r="U29" s="4">
        <v>40.669120188804001</v>
      </c>
      <c r="V29" s="4">
        <v>84.382282782336802</v>
      </c>
      <c r="W29" s="4">
        <v>54.310732891352501</v>
      </c>
      <c r="X29" s="4">
        <v>3.0454992044616702</v>
      </c>
      <c r="Y29" s="4">
        <v>1.7624037724212802</v>
      </c>
      <c r="Z29" s="4">
        <v>0.41824958351548797</v>
      </c>
      <c r="AA29" s="4">
        <v>0</v>
      </c>
      <c r="AB29" s="4">
        <v>0.336914122223959</v>
      </c>
      <c r="AC29" s="4">
        <v>6.1210860303850048</v>
      </c>
      <c r="AD29" s="4">
        <v>0.13221277929481651</v>
      </c>
      <c r="AE29" s="4">
        <v>0</v>
      </c>
      <c r="AF29" s="4">
        <v>0.13149359764011911</v>
      </c>
      <c r="AG29" s="4">
        <v>0</v>
      </c>
      <c r="AH29" s="4">
        <v>0</v>
      </c>
      <c r="AI29" s="4">
        <v>0</v>
      </c>
      <c r="AJ29" s="4">
        <v>0.2195357515640545</v>
      </c>
      <c r="AK29" s="4">
        <v>0</v>
      </c>
      <c r="AL29" s="4">
        <v>5.8658136647785248</v>
      </c>
      <c r="AM29" s="4">
        <v>134.32020248789667</v>
      </c>
      <c r="AN29" s="4">
        <v>67.311028982943938</v>
      </c>
      <c r="AO29" s="4">
        <v>34.409356608913441</v>
      </c>
      <c r="AP29" s="4">
        <v>11.42912974993615</v>
      </c>
      <c r="AQ29" s="4">
        <v>8.9377187217040213</v>
      </c>
      <c r="AR29" s="4">
        <f t="shared" si="0"/>
        <v>647.31021095953497</v>
      </c>
      <c r="AS29" s="4">
        <f t="shared" si="1"/>
        <v>378.09571846225418</v>
      </c>
      <c r="AT29">
        <f t="shared" si="2"/>
        <v>269.21449249728067</v>
      </c>
      <c r="AU29" s="4">
        <f t="shared" si="3"/>
        <v>191.79027467587562</v>
      </c>
      <c r="AV29" s="4">
        <f t="shared" si="4"/>
        <v>6.7217065295438996</v>
      </c>
      <c r="AW29" s="4">
        <f t="shared" si="5"/>
        <v>186.30544378637853</v>
      </c>
      <c r="AX29" s="4">
        <f t="shared" si="6"/>
        <v>262.49278596773678</v>
      </c>
    </row>
    <row r="30" spans="2:57" x14ac:dyDescent="0.25">
      <c r="C30" s="2"/>
      <c r="D30"/>
      <c r="E30" t="s">
        <v>40</v>
      </c>
      <c r="F30" s="4">
        <v>133.94906119692899</v>
      </c>
      <c r="G30" s="4">
        <v>32.383684327911304</v>
      </c>
      <c r="H30" s="4">
        <v>6.8532458469752804</v>
      </c>
      <c r="I30" s="4">
        <v>1.5645224655710199</v>
      </c>
      <c r="J30" s="4">
        <v>24.2391422125954</v>
      </c>
      <c r="K30" s="4">
        <v>0.18739314085009801</v>
      </c>
      <c r="L30" s="4">
        <v>0.36141418155842198</v>
      </c>
      <c r="M30" s="4">
        <v>0.16568536788365401</v>
      </c>
      <c r="N30" s="4">
        <v>0.229456884193457</v>
      </c>
      <c r="O30" s="4">
        <v>0.119167886088918</v>
      </c>
      <c r="P30" s="4">
        <v>9.2983325748637297E-2</v>
      </c>
      <c r="Q30" s="4">
        <v>1.08737056969615</v>
      </c>
      <c r="R30" s="4">
        <v>0</v>
      </c>
      <c r="S30" s="4">
        <v>0.80591960417756292</v>
      </c>
      <c r="T30" s="4">
        <v>0.16505884214609798</v>
      </c>
      <c r="U30" s="4">
        <v>41.257490566449803</v>
      </c>
      <c r="V30" s="4">
        <v>64.4025655639105</v>
      </c>
      <c r="W30" s="4">
        <v>61.189785083733305</v>
      </c>
      <c r="X30" s="4">
        <v>4.9167223706336598</v>
      </c>
      <c r="Y30" s="4">
        <v>3.2485118786541998</v>
      </c>
      <c r="Z30" s="4">
        <v>0.73512909480879707</v>
      </c>
      <c r="AA30" s="4">
        <v>0</v>
      </c>
      <c r="AB30" s="4">
        <v>0.34802403842514251</v>
      </c>
      <c r="AC30" s="4">
        <v>5.7746516109392507</v>
      </c>
      <c r="AD30" s="4">
        <v>0</v>
      </c>
      <c r="AE30" s="4">
        <v>0</v>
      </c>
      <c r="AF30" s="4">
        <v>8.7116749261395995E-2</v>
      </c>
      <c r="AG30" s="4">
        <v>0.97711549028909406</v>
      </c>
      <c r="AH30" s="4">
        <v>0.23000220299830698</v>
      </c>
      <c r="AI30" s="4">
        <v>0.49652167252442198</v>
      </c>
      <c r="AJ30" s="4">
        <v>0.18825199904810849</v>
      </c>
      <c r="AK30" s="4">
        <v>0</v>
      </c>
      <c r="AL30" s="4">
        <v>5.6447707121924902</v>
      </c>
      <c r="AM30" s="4">
        <v>86.221688800387398</v>
      </c>
      <c r="AN30" s="4">
        <v>54.56005202637035</v>
      </c>
      <c r="AO30" s="4">
        <v>24.69294413721083</v>
      </c>
      <c r="AP30" s="4">
        <v>13.881922145356056</v>
      </c>
      <c r="AQ30" s="4">
        <v>14.8955865765812</v>
      </c>
      <c r="AR30" s="4">
        <f t="shared" si="0"/>
        <v>585.95295857209931</v>
      </c>
      <c r="AS30" s="4">
        <f t="shared" si="1"/>
        <v>377.95431041051523</v>
      </c>
      <c r="AT30">
        <f t="shared" si="2"/>
        <v>207.99864816158401</v>
      </c>
      <c r="AU30" s="4">
        <f t="shared" si="3"/>
        <v>200.1457568363052</v>
      </c>
      <c r="AV30" s="4">
        <f t="shared" si="4"/>
        <v>7.9134317644376129</v>
      </c>
      <c r="AW30" s="4">
        <f t="shared" si="5"/>
        <v>177.80855357421009</v>
      </c>
      <c r="AX30" s="4">
        <f t="shared" si="6"/>
        <v>200.08521639714644</v>
      </c>
    </row>
    <row r="31" spans="2:57" x14ac:dyDescent="0.25">
      <c r="C31" s="2"/>
      <c r="D31"/>
      <c r="E31" t="s">
        <v>41</v>
      </c>
      <c r="F31" s="4">
        <v>181.066792004349</v>
      </c>
      <c r="G31" s="4">
        <v>40.555504222329404</v>
      </c>
      <c r="H31" s="4">
        <v>8.6752229913679404</v>
      </c>
      <c r="I31" s="4">
        <v>1.68657814521936</v>
      </c>
      <c r="J31" s="4">
        <v>24.258254935253699</v>
      </c>
      <c r="K31" s="4">
        <v>0.197386826215044</v>
      </c>
      <c r="L31" s="4">
        <v>0.41063047774973599</v>
      </c>
      <c r="M31" s="4">
        <v>0.22666847878766899</v>
      </c>
      <c r="N31" s="4">
        <v>0.35687983423464403</v>
      </c>
      <c r="O31" s="4">
        <v>0.20337112711715699</v>
      </c>
      <c r="P31" s="4">
        <v>0.121274057803509</v>
      </c>
      <c r="Q31" s="4">
        <v>0.61033409686818096</v>
      </c>
      <c r="R31" s="4">
        <v>0</v>
      </c>
      <c r="S31" s="4">
        <v>0.75150460086202597</v>
      </c>
      <c r="T31" s="4">
        <v>0.17653702635167098</v>
      </c>
      <c r="U31" s="4">
        <v>56.925099680282003</v>
      </c>
      <c r="V31" s="4">
        <v>54.588629953702601</v>
      </c>
      <c r="W31" s="4">
        <v>92.857472281735198</v>
      </c>
      <c r="X31" s="4">
        <v>8.3868619468986196</v>
      </c>
      <c r="Y31" s="4">
        <v>6.5789643920558705</v>
      </c>
      <c r="Z31" s="4">
        <v>1.3808700970565602</v>
      </c>
      <c r="AA31" s="4">
        <v>0</v>
      </c>
      <c r="AB31" s="4">
        <v>0.28871718493922849</v>
      </c>
      <c r="AC31" s="4">
        <v>5.9845807251018108</v>
      </c>
      <c r="AD31" s="4">
        <v>0</v>
      </c>
      <c r="AE31" s="4">
        <v>0</v>
      </c>
      <c r="AF31" s="4">
        <v>0.13144230040998786</v>
      </c>
      <c r="AG31" s="4">
        <v>0.72391745436493948</v>
      </c>
      <c r="AH31" s="4">
        <v>0.49303013278947949</v>
      </c>
      <c r="AI31" s="4">
        <v>0.85295445055116292</v>
      </c>
      <c r="AJ31" s="4">
        <v>0.16124561167471349</v>
      </c>
      <c r="AK31" s="4">
        <v>0</v>
      </c>
      <c r="AL31" s="4">
        <v>7.2334440935347706</v>
      </c>
      <c r="AM31" s="4">
        <v>106.63105335330479</v>
      </c>
      <c r="AN31" s="4">
        <v>70.160102006427749</v>
      </c>
      <c r="AO31" s="4">
        <v>43.803027372735315</v>
      </c>
      <c r="AP31" s="4">
        <v>26.909963002114068</v>
      </c>
      <c r="AQ31" s="4">
        <v>28.750851431202154</v>
      </c>
      <c r="AR31" s="4">
        <f t="shared" si="0"/>
        <v>772.13916629539017</v>
      </c>
      <c r="AS31" s="4">
        <f t="shared" si="1"/>
        <v>480.01483717623995</v>
      </c>
      <c r="AT31">
        <f t="shared" si="2"/>
        <v>292.12432911915016</v>
      </c>
      <c r="AU31" s="4">
        <f t="shared" si="3"/>
        <v>257.75856310042718</v>
      </c>
      <c r="AV31" s="4">
        <f t="shared" si="4"/>
        <v>8.4746422481566093</v>
      </c>
      <c r="AW31" s="4">
        <f t="shared" si="5"/>
        <v>222.25627407581274</v>
      </c>
      <c r="AX31" s="4">
        <f t="shared" si="6"/>
        <v>283.64968687099355</v>
      </c>
    </row>
    <row r="32" spans="2:57" x14ac:dyDescent="0.25">
      <c r="C32" s="2"/>
      <c r="D32"/>
      <c r="E32" t="s">
        <v>89</v>
      </c>
      <c r="F32" s="4">
        <f>AVERAGE(F28:F31)</f>
        <v>155.47020090144011</v>
      </c>
      <c r="G32" s="4">
        <f t="shared" ref="G32" si="55">AVERAGE(G28:G31)</f>
        <v>37.090027792033517</v>
      </c>
      <c r="H32" s="4">
        <f t="shared" ref="H32" si="56">AVERAGE(H28:H31)</f>
        <v>8.0491206778539865</v>
      </c>
      <c r="I32" s="4">
        <f t="shared" ref="I32" si="57">AVERAGE(I28:I31)</f>
        <v>1.7629997888338071</v>
      </c>
      <c r="J32" s="4">
        <f t="shared" ref="J32" si="58">AVERAGE(J28:J31)</f>
        <v>27.926420806537408</v>
      </c>
      <c r="K32" s="4">
        <f t="shared" ref="K32" si="59">AVERAGE(K28:K31)</f>
        <v>0.22179836975832079</v>
      </c>
      <c r="L32" s="4">
        <f t="shared" ref="L32" si="60">AVERAGE(L28:L31)</f>
        <v>0.50418508967587095</v>
      </c>
      <c r="M32" s="4">
        <f t="shared" ref="M32" si="61">AVERAGE(M28:M31)</f>
        <v>0.22197198355747338</v>
      </c>
      <c r="N32" s="4">
        <f t="shared" ref="N32" si="62">AVERAGE(N28:N31)</f>
        <v>0.28378982277853176</v>
      </c>
      <c r="O32" s="4">
        <f t="shared" ref="O32" si="63">AVERAGE(O28:O31)</f>
        <v>0.14252656987057394</v>
      </c>
      <c r="P32" s="4">
        <f t="shared" ref="P32" si="64">AVERAGE(P28:P31)</f>
        <v>0.10102500597245961</v>
      </c>
      <c r="Q32" s="4">
        <f t="shared" ref="Q32" si="65">AVERAGE(Q28:Q31)</f>
        <v>0.71331767181043659</v>
      </c>
      <c r="R32" s="4">
        <f t="shared" ref="R32" si="66">AVERAGE(R28:R31)</f>
        <v>2.2853568880384225E-2</v>
      </c>
      <c r="S32" s="4">
        <f t="shared" ref="S32" si="67">AVERAGE(S28:S31)</f>
        <v>0.81463041090390254</v>
      </c>
      <c r="T32" s="4">
        <f t="shared" ref="T32" si="68">AVERAGE(T28:T31)</f>
        <v>0.20024382012773187</v>
      </c>
      <c r="U32" s="4">
        <f t="shared" ref="U32" si="69">AVERAGE(U28:U31)</f>
        <v>58.639419751260618</v>
      </c>
      <c r="V32" s="4">
        <f t="shared" ref="V32" si="70">AVERAGE(V28:V31)</f>
        <v>77.958307148240607</v>
      </c>
      <c r="W32" s="4">
        <f t="shared" ref="W32" si="71">AVERAGE(W28:W31)</f>
        <v>79.505231826687506</v>
      </c>
      <c r="X32" s="4">
        <f t="shared" ref="X32" si="72">AVERAGE(X28:X31)</f>
        <v>6.5710760996155164</v>
      </c>
      <c r="Y32" s="4">
        <f t="shared" ref="Y32" si="73">AVERAGE(Y28:Y31)</f>
        <v>5.0083262007883871</v>
      </c>
      <c r="Z32" s="4">
        <f t="shared" ref="Z32" si="74">AVERAGE(Z28:Z31)</f>
        <v>1.1469450474711063</v>
      </c>
      <c r="AA32" s="4">
        <f t="shared" ref="AA32" si="75">AVERAGE(AA28:AA31)</f>
        <v>0</v>
      </c>
      <c r="AB32" s="4">
        <f t="shared" ref="AB32" si="76">AVERAGE(AB28:AB31)</f>
        <v>0.34225188948318663</v>
      </c>
      <c r="AC32" s="4">
        <f t="shared" ref="AC32" si="77">AVERAGE(AC28:AC31)</f>
        <v>6.297803247935275</v>
      </c>
      <c r="AD32" s="4">
        <f t="shared" ref="AD32" si="78">AVERAGE(AD28:AD31)</f>
        <v>6.5749974464887728E-2</v>
      </c>
      <c r="AE32" s="4">
        <f t="shared" ref="AE32" si="79">AVERAGE(AE28:AE31)</f>
        <v>2.3388949583332007E-2</v>
      </c>
      <c r="AF32" s="4">
        <f t="shared" ref="AF32" si="80">AVERAGE(AF28:AF31)</f>
        <v>0.17730225701107249</v>
      </c>
      <c r="AG32" s="4">
        <f t="shared" ref="AG32" si="81">AVERAGE(AG28:AG31)</f>
        <v>0.62010145224592939</v>
      </c>
      <c r="AH32" s="4">
        <f t="shared" ref="AH32" si="82">AVERAGE(AH28:AH31)</f>
        <v>0.31332968671912054</v>
      </c>
      <c r="AI32" s="4">
        <f t="shared" ref="AI32" si="83">AVERAGE(AI28:AI31)</f>
        <v>0.55487205952460772</v>
      </c>
      <c r="AJ32" s="4">
        <f t="shared" ref="AJ32" si="84">AVERAGE(AJ28:AJ31)</f>
        <v>0.19405605273753757</v>
      </c>
      <c r="AK32" s="4">
        <f t="shared" ref="AK32" si="85">AVERAGE(AK28:AK31)</f>
        <v>0</v>
      </c>
      <c r="AL32" s="4">
        <f t="shared" ref="AL32" si="86">AVERAGE(AL28:AL31)</f>
        <v>7.5286040622558001</v>
      </c>
      <c r="AM32" s="4">
        <f t="shared" ref="AM32" si="87">AVERAGE(AM28:AM31)</f>
        <v>138.46662341183415</v>
      </c>
      <c r="AN32" s="4">
        <f t="shared" ref="AN32" si="88">AVERAGE(AN28:AN31)</f>
        <v>77.050581745597441</v>
      </c>
      <c r="AO32" s="4">
        <f t="shared" ref="AO32" si="89">AVERAGE(AO28:AO31)</f>
        <v>42.034433392079691</v>
      </c>
      <c r="AP32" s="4">
        <f t="shared" ref="AP32" si="90">AVERAGE(AP28:AP31)</f>
        <v>21.446036836039834</v>
      </c>
      <c r="AQ32" s="4">
        <f t="shared" ref="AQ32" si="91">AVERAGE(AQ28:AQ31)</f>
        <v>22.068410639462034</v>
      </c>
      <c r="AR32" s="4">
        <f t="shared" si="0"/>
        <v>779.53796401107218</v>
      </c>
      <c r="AS32" s="4">
        <f t="shared" si="1"/>
        <v>462.35441835409824</v>
      </c>
      <c r="AT32">
        <f t="shared" si="2"/>
        <v>317.18354565697388</v>
      </c>
      <c r="AU32" s="4">
        <f t="shared" si="3"/>
        <v>231.77406680831203</v>
      </c>
      <c r="AV32" s="4">
        <f t="shared" si="4"/>
        <v>8.3947995169674101</v>
      </c>
      <c r="AW32" s="4">
        <f t="shared" si="5"/>
        <v>230.58035154578619</v>
      </c>
      <c r="AX32" s="4">
        <f t="shared" si="6"/>
        <v>308.78874614000648</v>
      </c>
      <c r="AY32">
        <f>_xlfn.STDEV.P(AR28:AR31)</f>
        <v>203.74249458866888</v>
      </c>
      <c r="AZ32">
        <f t="shared" ref="AZ32" si="92">_xlfn.STDEV.P(AS28:AS31)</f>
        <v>96.611736613536237</v>
      </c>
      <c r="BA32">
        <f t="shared" ref="BA32" si="93">_xlfn.STDEV.P(AT28:AT31)</f>
        <v>109.60380300664298</v>
      </c>
      <c r="BB32">
        <f t="shared" ref="BB32" si="94">_xlfn.STDEV.P(AU28:AU31)</f>
        <v>36.592779631695869</v>
      </c>
      <c r="BC32">
        <f t="shared" ref="BC32" si="95">_xlfn.STDEV.P(AV28:AV31)</f>
        <v>1.35474811328098</v>
      </c>
      <c r="BD32">
        <f t="shared" ref="BD32" si="96">_xlfn.STDEV.P(AW28:AW31)</f>
        <v>63.082133636169466</v>
      </c>
      <c r="BE32">
        <f t="shared" ref="BE32" si="97">_xlfn.STDEV.P(AX28:AX31)</f>
        <v>108.44542695513725</v>
      </c>
    </row>
    <row r="33" spans="2:60" x14ac:dyDescent="0.25">
      <c r="C33" s="2"/>
      <c r="D33" t="s">
        <v>48</v>
      </c>
      <c r="E33" t="s">
        <v>36</v>
      </c>
      <c r="F33" s="4">
        <v>146.81634775720602</v>
      </c>
      <c r="G33" s="4">
        <v>40.860076959305601</v>
      </c>
      <c r="H33" s="4">
        <v>10.366333827226999</v>
      </c>
      <c r="I33" s="4">
        <v>2.7501510068173203</v>
      </c>
      <c r="J33" s="4">
        <v>55.472942945914106</v>
      </c>
      <c r="K33" s="4">
        <v>0.32587024272866399</v>
      </c>
      <c r="L33" s="4">
        <v>0.66018318238595097</v>
      </c>
      <c r="M33" s="4">
        <v>0.36770725160448697</v>
      </c>
      <c r="N33" s="4">
        <v>0.64114752555755794</v>
      </c>
      <c r="O33" s="4">
        <v>0.43346451840690903</v>
      </c>
      <c r="P33" s="4">
        <v>0.33506044065206103</v>
      </c>
      <c r="Q33" s="4">
        <v>0.55934074711017101</v>
      </c>
      <c r="R33" s="4">
        <v>0</v>
      </c>
      <c r="S33" s="4">
        <v>1.06404343577386</v>
      </c>
      <c r="T33" s="4">
        <v>0.277560255112072</v>
      </c>
      <c r="U33" s="4">
        <v>84.216197655081004</v>
      </c>
      <c r="V33" s="4">
        <v>80.531931708892088</v>
      </c>
      <c r="W33" s="4">
        <v>164.707981235082</v>
      </c>
      <c r="X33" s="4">
        <v>20.964391713288698</v>
      </c>
      <c r="Y33" s="4">
        <v>20.367033104817402</v>
      </c>
      <c r="Z33" s="4">
        <v>3.9143631078406202</v>
      </c>
      <c r="AA33" s="4">
        <v>0</v>
      </c>
      <c r="AB33" s="4">
        <v>0.42522101796930495</v>
      </c>
      <c r="AC33" s="4">
        <v>11.001673684025329</v>
      </c>
      <c r="AD33" s="4">
        <v>0</v>
      </c>
      <c r="AE33" s="4">
        <v>0</v>
      </c>
      <c r="AF33" s="4">
        <v>0.18249808234634554</v>
      </c>
      <c r="AG33" s="4">
        <v>1.2187910155110331</v>
      </c>
      <c r="AH33" s="4">
        <v>0.83575233306572505</v>
      </c>
      <c r="AI33" s="4">
        <v>1.3891175753222273</v>
      </c>
      <c r="AJ33" s="4">
        <v>0.21095148456611099</v>
      </c>
      <c r="AK33" s="4">
        <v>0</v>
      </c>
      <c r="AL33" s="4">
        <v>11.700777914422989</v>
      </c>
      <c r="AM33" s="4">
        <v>151.32869878388075</v>
      </c>
      <c r="AN33" s="4">
        <v>100.44029472393295</v>
      </c>
      <c r="AO33" s="4">
        <v>86.897248893185903</v>
      </c>
      <c r="AP33" s="4">
        <v>56.760654738063749</v>
      </c>
      <c r="AQ33" s="4">
        <v>63.421701472931403</v>
      </c>
      <c r="AR33" s="4">
        <f t="shared" si="0"/>
        <v>1121.4455103400273</v>
      </c>
      <c r="AS33" s="4">
        <f t="shared" si="1"/>
        <v>635.63212862080366</v>
      </c>
      <c r="AT33">
        <f t="shared" si="2"/>
        <v>485.8133817192238</v>
      </c>
      <c r="AU33" s="4">
        <f t="shared" si="3"/>
        <v>259.02928565780576</v>
      </c>
      <c r="AV33" s="4">
        <f t="shared" si="4"/>
        <v>15.053053708239966</v>
      </c>
      <c r="AW33" s="4">
        <f t="shared" si="5"/>
        <v>376.6028429629979</v>
      </c>
      <c r="AX33" s="4">
        <f t="shared" si="6"/>
        <v>470.76032801098393</v>
      </c>
    </row>
    <row r="34" spans="2:60" x14ac:dyDescent="0.25">
      <c r="C34" s="2"/>
      <c r="D34"/>
      <c r="E34" t="s">
        <v>39</v>
      </c>
      <c r="F34" s="4">
        <v>146.81634775720602</v>
      </c>
      <c r="G34" s="4">
        <v>40.860076959305601</v>
      </c>
      <c r="H34" s="4">
        <v>10.366333827226999</v>
      </c>
      <c r="I34" s="4">
        <v>2.7501510068173203</v>
      </c>
      <c r="J34" s="4">
        <v>55.472942945914106</v>
      </c>
      <c r="K34" s="4">
        <v>0.32587024272866399</v>
      </c>
      <c r="L34" s="4">
        <v>0.66018318238595097</v>
      </c>
      <c r="M34" s="4">
        <v>0.36770725160448697</v>
      </c>
      <c r="N34" s="4">
        <v>0.64114752555755794</v>
      </c>
      <c r="O34" s="4">
        <v>0.43346451840690903</v>
      </c>
      <c r="P34" s="4">
        <v>0.33506044065206103</v>
      </c>
      <c r="Q34" s="4">
        <v>0.55934074711017101</v>
      </c>
      <c r="R34" s="4">
        <v>0</v>
      </c>
      <c r="S34" s="4">
        <v>1.06404343577386</v>
      </c>
      <c r="T34" s="4">
        <v>0.277560255112072</v>
      </c>
      <c r="U34" s="4">
        <v>84.216197655081004</v>
      </c>
      <c r="V34" s="4">
        <v>80.531931708892088</v>
      </c>
      <c r="W34" s="4">
        <v>164.707981235082</v>
      </c>
      <c r="X34" s="4">
        <v>20.964391713288698</v>
      </c>
      <c r="Y34" s="4">
        <v>20.367033104817402</v>
      </c>
      <c r="Z34" s="4">
        <v>3.9143631078406202</v>
      </c>
      <c r="AA34" s="4">
        <v>0</v>
      </c>
      <c r="AB34" s="4">
        <v>0.42522101796930495</v>
      </c>
      <c r="AC34" s="4">
        <v>11.001673684025329</v>
      </c>
      <c r="AD34" s="4">
        <v>0</v>
      </c>
      <c r="AE34" s="4">
        <v>0</v>
      </c>
      <c r="AF34" s="4">
        <v>0.18249808234634554</v>
      </c>
      <c r="AG34" s="4">
        <v>1.2187910155110331</v>
      </c>
      <c r="AH34" s="4">
        <v>0.83575233306572505</v>
      </c>
      <c r="AI34" s="4">
        <v>1.3891175753222273</v>
      </c>
      <c r="AJ34" s="4">
        <v>0.21095148456611099</v>
      </c>
      <c r="AK34" s="4">
        <v>0</v>
      </c>
      <c r="AL34" s="4">
        <v>11.700777914422989</v>
      </c>
      <c r="AM34" s="4">
        <v>151.32869878388075</v>
      </c>
      <c r="AN34" s="4">
        <v>100.44029472393295</v>
      </c>
      <c r="AO34" s="4">
        <v>86.897248893185903</v>
      </c>
      <c r="AP34" s="4">
        <v>56.760654738063749</v>
      </c>
      <c r="AQ34" s="4">
        <v>63.421701472931403</v>
      </c>
      <c r="AR34" s="4">
        <f t="shared" si="0"/>
        <v>1121.4455103400273</v>
      </c>
      <c r="AS34" s="4">
        <f t="shared" si="1"/>
        <v>635.63212862080366</v>
      </c>
      <c r="AT34">
        <f t="shared" si="2"/>
        <v>485.8133817192238</v>
      </c>
      <c r="AU34" s="4">
        <f t="shared" si="3"/>
        <v>259.02928565780576</v>
      </c>
      <c r="AV34" s="4">
        <f t="shared" si="4"/>
        <v>15.053053708239966</v>
      </c>
      <c r="AW34" s="4">
        <f t="shared" si="5"/>
        <v>376.6028429629979</v>
      </c>
      <c r="AX34" s="4">
        <f t="shared" si="6"/>
        <v>470.76032801098393</v>
      </c>
    </row>
    <row r="35" spans="2:60" x14ac:dyDescent="0.25">
      <c r="C35" s="2"/>
      <c r="D35"/>
      <c r="E35" t="s">
        <v>40</v>
      </c>
      <c r="F35" s="4">
        <v>146.81634775720602</v>
      </c>
      <c r="G35" s="4">
        <v>40.860076959305601</v>
      </c>
      <c r="H35" s="4">
        <v>10.366333827226999</v>
      </c>
      <c r="I35" s="4">
        <v>2.7501510068173203</v>
      </c>
      <c r="J35" s="4">
        <v>55.472942945914106</v>
      </c>
      <c r="K35" s="4">
        <v>0.32587024272866399</v>
      </c>
      <c r="L35" s="4">
        <v>0.66018318238595097</v>
      </c>
      <c r="M35" s="4">
        <v>0.36770725160448697</v>
      </c>
      <c r="N35" s="4">
        <v>0.64114752555755794</v>
      </c>
      <c r="O35" s="4">
        <v>0.43346451840690903</v>
      </c>
      <c r="P35" s="4">
        <v>0.33506044065206103</v>
      </c>
      <c r="Q35" s="4">
        <v>0.55934074711017101</v>
      </c>
      <c r="R35" s="4">
        <v>0</v>
      </c>
      <c r="S35" s="4">
        <v>1.06404343577386</v>
      </c>
      <c r="T35" s="4">
        <v>0.277560255112072</v>
      </c>
      <c r="U35" s="4">
        <v>84.216197655081004</v>
      </c>
      <c r="V35" s="4">
        <v>80.531931708892088</v>
      </c>
      <c r="W35" s="4">
        <v>164.707981235082</v>
      </c>
      <c r="X35" s="4">
        <v>20.964391713288698</v>
      </c>
      <c r="Y35" s="4">
        <v>20.367033104817402</v>
      </c>
      <c r="Z35" s="4">
        <v>3.9143631078406202</v>
      </c>
      <c r="AA35" s="4">
        <v>0</v>
      </c>
      <c r="AB35" s="4">
        <v>0.42522101796930495</v>
      </c>
      <c r="AC35" s="4">
        <v>11.001673684025329</v>
      </c>
      <c r="AD35" s="4">
        <v>0</v>
      </c>
      <c r="AE35" s="4">
        <v>0</v>
      </c>
      <c r="AF35" s="4">
        <v>0.18249808234634554</v>
      </c>
      <c r="AG35" s="4">
        <v>1.2187910155110331</v>
      </c>
      <c r="AH35" s="4">
        <v>0.83575233306572505</v>
      </c>
      <c r="AI35" s="4">
        <v>1.3891175753222273</v>
      </c>
      <c r="AJ35" s="4">
        <v>0.21095148456611099</v>
      </c>
      <c r="AK35" s="4">
        <v>0</v>
      </c>
      <c r="AL35" s="4">
        <v>11.700777914422989</v>
      </c>
      <c r="AM35" s="4">
        <v>151.32869878388075</v>
      </c>
      <c r="AN35" s="4">
        <v>100.44029472393295</v>
      </c>
      <c r="AO35" s="4">
        <v>86.897248893185903</v>
      </c>
      <c r="AP35" s="4">
        <v>56.760654738063749</v>
      </c>
      <c r="AQ35" s="4">
        <v>63.421701472931403</v>
      </c>
      <c r="AR35" s="4">
        <f t="shared" si="0"/>
        <v>1121.4455103400273</v>
      </c>
      <c r="AS35" s="4">
        <f t="shared" si="1"/>
        <v>635.63212862080366</v>
      </c>
      <c r="AT35">
        <f t="shared" si="2"/>
        <v>485.8133817192238</v>
      </c>
      <c r="AU35" s="4">
        <f t="shared" si="3"/>
        <v>259.02928565780576</v>
      </c>
      <c r="AV35" s="4">
        <f t="shared" si="4"/>
        <v>15.053053708239966</v>
      </c>
      <c r="AW35" s="4">
        <f t="shared" si="5"/>
        <v>376.6028429629979</v>
      </c>
      <c r="AX35" s="4">
        <f t="shared" si="6"/>
        <v>470.76032801098393</v>
      </c>
      <c r="BB35" t="s">
        <v>86</v>
      </c>
      <c r="BC35" t="s">
        <v>87</v>
      </c>
      <c r="BD35" t="s">
        <v>88</v>
      </c>
      <c r="BE35" t="s">
        <v>220</v>
      </c>
      <c r="BF35" t="s">
        <v>263</v>
      </c>
      <c r="BG35" t="s">
        <v>219</v>
      </c>
      <c r="BH35" t="s">
        <v>221</v>
      </c>
    </row>
    <row r="36" spans="2:60" ht="15.75" customHeight="1" x14ac:dyDescent="0.25">
      <c r="C36" s="2"/>
      <c r="D36"/>
      <c r="E36" t="s">
        <v>41</v>
      </c>
      <c r="F36" s="4">
        <v>146.81634775720602</v>
      </c>
      <c r="G36" s="4">
        <v>40.860076959305601</v>
      </c>
      <c r="H36" s="4">
        <v>10.366333827226999</v>
      </c>
      <c r="I36" s="4">
        <v>2.7501510068173203</v>
      </c>
      <c r="J36" s="4">
        <v>55.472942945914106</v>
      </c>
      <c r="K36" s="4">
        <v>0.32587024272866399</v>
      </c>
      <c r="L36" s="4">
        <v>0.66018318238595097</v>
      </c>
      <c r="M36" s="4">
        <v>0.36770725160448697</v>
      </c>
      <c r="N36" s="4">
        <v>0.64114752555755794</v>
      </c>
      <c r="O36" s="4">
        <v>0.43346451840690903</v>
      </c>
      <c r="P36" s="4">
        <v>0.33506044065206103</v>
      </c>
      <c r="Q36" s="4">
        <v>0.55934074711017101</v>
      </c>
      <c r="R36" s="4">
        <v>0</v>
      </c>
      <c r="S36" s="4">
        <v>1.06404343577386</v>
      </c>
      <c r="T36" s="4">
        <v>0.277560255112072</v>
      </c>
      <c r="U36" s="4">
        <v>84.216197655081004</v>
      </c>
      <c r="V36" s="4">
        <v>80.531931708892088</v>
      </c>
      <c r="W36" s="4">
        <v>164.707981235082</v>
      </c>
      <c r="X36" s="4">
        <v>20.964391713288698</v>
      </c>
      <c r="Y36" s="4">
        <v>20.367033104817402</v>
      </c>
      <c r="Z36" s="4">
        <v>3.9143631078406202</v>
      </c>
      <c r="AA36" s="4">
        <v>0</v>
      </c>
      <c r="AB36" s="4">
        <v>0.42522101796930495</v>
      </c>
      <c r="AC36" s="4">
        <v>11.001673684025329</v>
      </c>
      <c r="AD36" s="4">
        <v>0</v>
      </c>
      <c r="AE36" s="4">
        <v>0</v>
      </c>
      <c r="AF36" s="4">
        <v>0.18249808234634554</v>
      </c>
      <c r="AG36" s="4">
        <v>1.2187910155110331</v>
      </c>
      <c r="AH36" s="4">
        <v>0.83575233306572505</v>
      </c>
      <c r="AI36" s="4">
        <v>1.3891175753222273</v>
      </c>
      <c r="AJ36" s="4">
        <v>0.21095148456611099</v>
      </c>
      <c r="AK36" s="4">
        <v>0</v>
      </c>
      <c r="AL36" s="4">
        <v>11.700777914422989</v>
      </c>
      <c r="AM36" s="4">
        <v>151.32869878388075</v>
      </c>
      <c r="AN36" s="4">
        <v>100.44029472393295</v>
      </c>
      <c r="AO36" s="4">
        <v>86.897248893185903</v>
      </c>
      <c r="AP36" s="4">
        <v>56.760654738063749</v>
      </c>
      <c r="AQ36" s="4">
        <v>63.421701472931403</v>
      </c>
      <c r="AR36" s="4">
        <f t="shared" si="0"/>
        <v>1121.4455103400273</v>
      </c>
      <c r="AS36" s="4">
        <f t="shared" si="1"/>
        <v>635.63212862080366</v>
      </c>
      <c r="AT36">
        <f t="shared" si="2"/>
        <v>485.8133817192238</v>
      </c>
      <c r="AU36" s="4">
        <f t="shared" si="3"/>
        <v>259.02928565780576</v>
      </c>
      <c r="AV36" s="4">
        <f t="shared" si="4"/>
        <v>15.053053708239966</v>
      </c>
      <c r="AW36" s="4">
        <f t="shared" si="5"/>
        <v>376.6028429629979</v>
      </c>
      <c r="AX36" s="4">
        <f t="shared" si="6"/>
        <v>470.76032801098393</v>
      </c>
      <c r="BB36">
        <v>43.150017320041378</v>
      </c>
      <c r="BC36">
        <v>12.939445015567319</v>
      </c>
      <c r="BD36">
        <v>32.383941724407521</v>
      </c>
      <c r="BE36">
        <v>11.902892882319877</v>
      </c>
      <c r="BF36">
        <v>1.2935986224861127</v>
      </c>
      <c r="BG36">
        <v>17.743644223485724</v>
      </c>
      <c r="BH36">
        <v>32.229367730490431</v>
      </c>
    </row>
    <row r="37" spans="2:60" x14ac:dyDescent="0.25">
      <c r="B37">
        <v>54</v>
      </c>
      <c r="C37" s="2">
        <v>45121</v>
      </c>
      <c r="D37" t="s">
        <v>49</v>
      </c>
      <c r="E37" t="s">
        <v>36</v>
      </c>
      <c r="F37" s="4">
        <v>146.425504220753</v>
      </c>
      <c r="G37" s="4">
        <v>39.474002096377198</v>
      </c>
      <c r="H37" s="4">
        <v>10.412261070908901</v>
      </c>
      <c r="I37" s="4">
        <v>3.10841470884594</v>
      </c>
      <c r="J37" s="4">
        <v>64.349862861675902</v>
      </c>
      <c r="K37" s="4">
        <v>0.33704811618345898</v>
      </c>
      <c r="L37" s="4">
        <v>0.61942591056679708</v>
      </c>
      <c r="M37" s="4">
        <v>0.28389636812834901</v>
      </c>
      <c r="N37" s="4">
        <v>0.35383699277453601</v>
      </c>
      <c r="O37" s="4">
        <v>0.195124215996584</v>
      </c>
      <c r="P37" s="4">
        <v>0.14479768914199501</v>
      </c>
      <c r="Q37" s="4">
        <v>0.59187344211599302</v>
      </c>
      <c r="R37" s="4">
        <v>0</v>
      </c>
      <c r="S37" s="4">
        <v>1.07062830535455</v>
      </c>
      <c r="T37" s="4">
        <v>0.262164070660097</v>
      </c>
      <c r="U37" s="4">
        <v>82.329132145330192</v>
      </c>
      <c r="V37" s="4">
        <v>75.193975807539999</v>
      </c>
      <c r="W37" s="4">
        <v>112.53699801953199</v>
      </c>
      <c r="X37" s="4">
        <v>8.3088763006417601</v>
      </c>
      <c r="Y37" s="4">
        <v>6.1939318079831605</v>
      </c>
      <c r="Z37" s="4">
        <v>1.6233744701902499</v>
      </c>
      <c r="AA37" s="4">
        <v>0</v>
      </c>
      <c r="AB37" s="4">
        <v>0.480438255897009</v>
      </c>
      <c r="AC37" s="4">
        <v>13.6207508827986</v>
      </c>
      <c r="AD37" s="4">
        <v>0.19949207548874401</v>
      </c>
      <c r="AE37" s="4">
        <v>0.10268902897180246</v>
      </c>
      <c r="AF37" s="4">
        <v>0.19399390437815192</v>
      </c>
      <c r="AG37" s="4">
        <v>0.85807408592702106</v>
      </c>
      <c r="AH37" s="4">
        <v>0.51756825450535904</v>
      </c>
      <c r="AI37" s="4">
        <v>0.97506320197313945</v>
      </c>
      <c r="AJ37" s="4">
        <v>0.20154178690187802</v>
      </c>
      <c r="AK37" s="4">
        <v>0</v>
      </c>
      <c r="AL37" s="4">
        <v>11.258560692495381</v>
      </c>
      <c r="AM37" s="4">
        <v>149.04818280892346</v>
      </c>
      <c r="AN37" s="4">
        <v>87.609408194482157</v>
      </c>
      <c r="AO37" s="4">
        <v>50.278417380908692</v>
      </c>
      <c r="AP37" s="4">
        <v>28.023422094363486</v>
      </c>
      <c r="AQ37" s="4">
        <v>30.058392848269872</v>
      </c>
      <c r="AR37" s="4">
        <f t="shared" si="0"/>
        <v>927.24112411698525</v>
      </c>
      <c r="AS37" s="4">
        <f t="shared" si="1"/>
        <v>553.81512862070065</v>
      </c>
      <c r="AT37">
        <f t="shared" si="2"/>
        <v>373.42599549628477</v>
      </c>
      <c r="AU37" s="4">
        <f t="shared" si="3"/>
        <v>265.70417425135264</v>
      </c>
      <c r="AV37" s="4">
        <f t="shared" si="4"/>
        <v>16.948069689939828</v>
      </c>
      <c r="AW37" s="4">
        <f t="shared" si="5"/>
        <v>288.11095436934801</v>
      </c>
      <c r="AX37" s="4">
        <f t="shared" si="6"/>
        <v>356.4779258063449</v>
      </c>
      <c r="BB37">
        <v>363.8862698880522</v>
      </c>
      <c r="BC37">
        <v>141.58025923440971</v>
      </c>
      <c r="BD37">
        <v>226.16646279191613</v>
      </c>
      <c r="BE37">
        <v>38.505193239784283</v>
      </c>
      <c r="BF37">
        <v>7.0410817368193133</v>
      </c>
      <c r="BG37">
        <v>121.58742603788428</v>
      </c>
      <c r="BH37">
        <v>219.73519455042501</v>
      </c>
    </row>
    <row r="38" spans="2:60" x14ac:dyDescent="0.25">
      <c r="C38" s="2"/>
      <c r="D38"/>
      <c r="E38" t="s">
        <v>39</v>
      </c>
      <c r="F38" s="4">
        <v>146.425504220753</v>
      </c>
      <c r="G38" s="4">
        <v>39.474002096377198</v>
      </c>
      <c r="H38" s="4">
        <v>10.412261070908901</v>
      </c>
      <c r="I38" s="4">
        <v>3.10841470884594</v>
      </c>
      <c r="J38" s="4">
        <v>64.349862861675902</v>
      </c>
      <c r="K38" s="4">
        <v>0.33704811618345898</v>
      </c>
      <c r="L38" s="4">
        <v>0.61942591056679708</v>
      </c>
      <c r="M38" s="4">
        <v>0.28389636812834901</v>
      </c>
      <c r="N38" s="4">
        <v>0.35383699277453601</v>
      </c>
      <c r="O38" s="4">
        <v>0.195124215996584</v>
      </c>
      <c r="P38" s="4">
        <v>0.14479768914199501</v>
      </c>
      <c r="Q38" s="4">
        <v>0.59187344211599302</v>
      </c>
      <c r="R38" s="4">
        <v>0</v>
      </c>
      <c r="S38" s="4">
        <v>1.07062830535455</v>
      </c>
      <c r="T38" s="4">
        <v>0.262164070660097</v>
      </c>
      <c r="U38" s="4">
        <v>82.329132145330192</v>
      </c>
      <c r="V38" s="4">
        <v>75.193975807539999</v>
      </c>
      <c r="W38" s="4">
        <v>112.53699801953199</v>
      </c>
      <c r="X38" s="4">
        <v>8.3088763006417601</v>
      </c>
      <c r="Y38" s="4">
        <v>6.1939318079831605</v>
      </c>
      <c r="Z38" s="4">
        <v>1.6233744701902499</v>
      </c>
      <c r="AA38" s="4">
        <v>0</v>
      </c>
      <c r="AB38" s="4">
        <v>0.480438255897009</v>
      </c>
      <c r="AC38" s="4">
        <v>13.6207508827986</v>
      </c>
      <c r="AD38" s="4">
        <v>0.19949207548874401</v>
      </c>
      <c r="AE38" s="4">
        <v>0.10268902897180246</v>
      </c>
      <c r="AF38" s="4">
        <v>0.19399390437815192</v>
      </c>
      <c r="AG38" s="4">
        <v>0.85807408592702106</v>
      </c>
      <c r="AH38" s="4">
        <v>0.51756825450535904</v>
      </c>
      <c r="AI38" s="4">
        <v>0.97506320197313945</v>
      </c>
      <c r="AJ38" s="4">
        <v>0.20154178690187802</v>
      </c>
      <c r="AK38" s="4">
        <v>0</v>
      </c>
      <c r="AL38" s="4">
        <v>11.258560692495381</v>
      </c>
      <c r="AM38" s="4">
        <v>149.04818280892346</v>
      </c>
      <c r="AN38" s="4">
        <v>87.609408194482157</v>
      </c>
      <c r="AO38" s="4">
        <v>50.278417380908692</v>
      </c>
      <c r="AP38" s="4">
        <v>28.023422094363486</v>
      </c>
      <c r="AQ38" s="4">
        <v>30.058392848269872</v>
      </c>
      <c r="AR38" s="4">
        <f t="shared" si="0"/>
        <v>927.24112411698525</v>
      </c>
      <c r="AS38" s="4">
        <f t="shared" si="1"/>
        <v>553.81512862070065</v>
      </c>
      <c r="AT38">
        <f t="shared" si="2"/>
        <v>373.42599549628477</v>
      </c>
      <c r="AU38" s="4">
        <f t="shared" si="3"/>
        <v>265.70417425135264</v>
      </c>
      <c r="AV38" s="4">
        <f t="shared" si="4"/>
        <v>16.948069689939828</v>
      </c>
      <c r="AW38" s="4">
        <f t="shared" si="5"/>
        <v>288.11095436934801</v>
      </c>
      <c r="AX38" s="4">
        <f t="shared" si="6"/>
        <v>356.4779258063449</v>
      </c>
      <c r="BB38">
        <v>203.74249458866888</v>
      </c>
      <c r="BC38">
        <v>96.611736613536237</v>
      </c>
      <c r="BD38">
        <v>109.60380300664298</v>
      </c>
      <c r="BE38">
        <v>36.592779631695869</v>
      </c>
      <c r="BF38">
        <v>1.35474811328098</v>
      </c>
      <c r="BG38">
        <v>63.082133636169466</v>
      </c>
      <c r="BH38">
        <v>108.44542695513725</v>
      </c>
    </row>
    <row r="39" spans="2:60" x14ac:dyDescent="0.25">
      <c r="C39" s="2"/>
      <c r="D39"/>
      <c r="E39" t="s">
        <v>40</v>
      </c>
      <c r="F39" s="4">
        <v>146.425504220753</v>
      </c>
      <c r="G39" s="4">
        <v>39.474002096377198</v>
      </c>
      <c r="H39" s="4">
        <v>10.412261070908901</v>
      </c>
      <c r="I39" s="4">
        <v>3.10841470884594</v>
      </c>
      <c r="J39" s="4">
        <v>64.349862861675902</v>
      </c>
      <c r="K39" s="4">
        <v>0.33704811618345898</v>
      </c>
      <c r="L39" s="4">
        <v>0.61942591056679708</v>
      </c>
      <c r="M39" s="4">
        <v>0.28389636812834901</v>
      </c>
      <c r="N39" s="4">
        <v>0.35383699277453601</v>
      </c>
      <c r="O39" s="4">
        <v>0.195124215996584</v>
      </c>
      <c r="P39" s="4">
        <v>0.14479768914199501</v>
      </c>
      <c r="Q39" s="4">
        <v>0.59187344211599302</v>
      </c>
      <c r="R39" s="4">
        <v>0</v>
      </c>
      <c r="S39" s="4">
        <v>1.07062830535455</v>
      </c>
      <c r="T39" s="4">
        <v>0.262164070660097</v>
      </c>
      <c r="U39" s="4">
        <v>82.329132145330192</v>
      </c>
      <c r="V39" s="4">
        <v>75.193975807539999</v>
      </c>
      <c r="W39" s="4">
        <v>112.53699801953199</v>
      </c>
      <c r="X39" s="4">
        <v>8.3088763006417601</v>
      </c>
      <c r="Y39" s="4">
        <v>6.1939318079831605</v>
      </c>
      <c r="Z39" s="4">
        <v>1.6233744701902499</v>
      </c>
      <c r="AA39" s="4">
        <v>0</v>
      </c>
      <c r="AB39" s="4">
        <v>0.480438255897009</v>
      </c>
      <c r="AC39" s="4">
        <v>13.6207508827986</v>
      </c>
      <c r="AD39" s="4">
        <v>0.19949207548874401</v>
      </c>
      <c r="AE39" s="4">
        <v>0.10268902897180246</v>
      </c>
      <c r="AF39" s="4">
        <v>0.19399390437815192</v>
      </c>
      <c r="AG39" s="4">
        <v>0.85807408592702106</v>
      </c>
      <c r="AH39" s="4">
        <v>0.51756825450535904</v>
      </c>
      <c r="AI39" s="4">
        <v>0.97506320197313945</v>
      </c>
      <c r="AJ39" s="4">
        <v>0.20154178690187802</v>
      </c>
      <c r="AK39" s="4">
        <v>0</v>
      </c>
      <c r="AL39" s="4">
        <v>11.258560692495381</v>
      </c>
      <c r="AM39" s="4">
        <v>149.04818280892346</v>
      </c>
      <c r="AN39" s="4">
        <v>87.609408194482157</v>
      </c>
      <c r="AO39" s="4">
        <v>50.278417380908692</v>
      </c>
      <c r="AP39" s="4">
        <v>28.023422094363486</v>
      </c>
      <c r="AQ39" s="4">
        <v>30.058392848269872</v>
      </c>
      <c r="AR39" s="4">
        <f t="shared" si="0"/>
        <v>927.24112411698525</v>
      </c>
      <c r="AS39" s="4">
        <f t="shared" si="1"/>
        <v>553.81512862070065</v>
      </c>
      <c r="AT39">
        <f t="shared" si="2"/>
        <v>373.42599549628477</v>
      </c>
      <c r="AU39" s="4">
        <f t="shared" si="3"/>
        <v>265.70417425135264</v>
      </c>
      <c r="AV39" s="4">
        <f t="shared" si="4"/>
        <v>16.948069689939828</v>
      </c>
      <c r="AW39" s="4">
        <f t="shared" si="5"/>
        <v>288.11095436934801</v>
      </c>
      <c r="AX39" s="4">
        <f t="shared" si="6"/>
        <v>356.4779258063449</v>
      </c>
      <c r="AZ39" s="98"/>
      <c r="BA39" s="98"/>
      <c r="BB39" s="98"/>
      <c r="BC39" s="98"/>
      <c r="BD39" s="98"/>
    </row>
    <row r="40" spans="2:60" x14ac:dyDescent="0.25">
      <c r="C40" s="2"/>
      <c r="D40"/>
      <c r="E40" t="s">
        <v>41</v>
      </c>
      <c r="F40" s="4">
        <v>146.425504220753</v>
      </c>
      <c r="G40" s="4">
        <v>39.474002096377198</v>
      </c>
      <c r="H40" s="4">
        <v>10.412261070908901</v>
      </c>
      <c r="I40" s="4">
        <v>3.10841470884594</v>
      </c>
      <c r="J40" s="4">
        <v>64.349862861675902</v>
      </c>
      <c r="K40" s="4">
        <v>0.33704811618345898</v>
      </c>
      <c r="L40" s="4">
        <v>0.61942591056679708</v>
      </c>
      <c r="M40" s="4">
        <v>0.28389636812834901</v>
      </c>
      <c r="N40" s="4">
        <v>0.35383699277453601</v>
      </c>
      <c r="O40" s="4">
        <v>0.195124215996584</v>
      </c>
      <c r="P40" s="4">
        <v>0.14479768914199501</v>
      </c>
      <c r="Q40" s="4">
        <v>0.59187344211599302</v>
      </c>
      <c r="R40" s="4">
        <v>0</v>
      </c>
      <c r="S40" s="4">
        <v>1.07062830535455</v>
      </c>
      <c r="T40" s="4">
        <v>0.262164070660097</v>
      </c>
      <c r="U40" s="4">
        <v>82.329132145330192</v>
      </c>
      <c r="V40" s="4">
        <v>75.193975807539999</v>
      </c>
      <c r="W40" s="4">
        <v>112.53699801953199</v>
      </c>
      <c r="X40" s="4">
        <v>8.3088763006417601</v>
      </c>
      <c r="Y40" s="4">
        <v>6.1939318079831605</v>
      </c>
      <c r="Z40" s="4">
        <v>1.6233744701902499</v>
      </c>
      <c r="AA40" s="4">
        <v>0</v>
      </c>
      <c r="AB40" s="4">
        <v>0.480438255897009</v>
      </c>
      <c r="AC40" s="4">
        <v>13.6207508827986</v>
      </c>
      <c r="AD40" s="4">
        <v>0.19949207548874401</v>
      </c>
      <c r="AE40" s="4">
        <v>0.10268902897180246</v>
      </c>
      <c r="AF40" s="4">
        <v>0.19399390437815192</v>
      </c>
      <c r="AG40" s="4">
        <v>0.85807408592702106</v>
      </c>
      <c r="AH40" s="4">
        <v>0.51756825450535904</v>
      </c>
      <c r="AI40" s="4">
        <v>0.97506320197313945</v>
      </c>
      <c r="AJ40" s="4">
        <v>0.20154178690187802</v>
      </c>
      <c r="AK40" s="4">
        <v>0</v>
      </c>
      <c r="AL40" s="4">
        <v>11.258560692495381</v>
      </c>
      <c r="AM40" s="4">
        <v>149.04818280892346</v>
      </c>
      <c r="AN40" s="4">
        <v>87.609408194482157</v>
      </c>
      <c r="AO40" s="4">
        <v>50.278417380908692</v>
      </c>
      <c r="AP40" s="4">
        <v>28.023422094363486</v>
      </c>
      <c r="AQ40" s="4">
        <v>30.058392848269872</v>
      </c>
      <c r="AR40" s="4">
        <f t="shared" si="0"/>
        <v>927.24112411698525</v>
      </c>
      <c r="AS40" s="4">
        <f t="shared" si="1"/>
        <v>553.81512862070065</v>
      </c>
      <c r="AT40">
        <f t="shared" si="2"/>
        <v>373.42599549628477</v>
      </c>
      <c r="AU40" s="4">
        <f t="shared" si="3"/>
        <v>265.70417425135264</v>
      </c>
      <c r="AV40" s="4">
        <f t="shared" si="4"/>
        <v>16.948069689939828</v>
      </c>
      <c r="AW40" s="4">
        <f t="shared" si="5"/>
        <v>288.11095436934801</v>
      </c>
      <c r="AX40" s="4">
        <f t="shared" si="6"/>
        <v>356.4779258063449</v>
      </c>
      <c r="AZ40" s="98"/>
      <c r="BA40" s="4">
        <v>43.150017320041378</v>
      </c>
      <c r="BB40" s="4">
        <v>363.8862698880522</v>
      </c>
      <c r="BC40" s="4">
        <v>203.74249458866888</v>
      </c>
      <c r="BD40" s="98"/>
    </row>
    <row r="41" spans="2:60" x14ac:dyDescent="0.25">
      <c r="C41" s="2" t="s">
        <v>259</v>
      </c>
      <c r="D41"/>
      <c r="F41" s="4">
        <f>AVERAGE(F6,F11,F12,F16,F20,F24,F32,F33,F37)</f>
        <v>188.95051658180867</v>
      </c>
      <c r="G41" s="4">
        <f t="shared" ref="G41:AT41" si="98">AVERAGE(G6,G11,G12,G16,G20,G24,G32,G33,G37)</f>
        <v>46.595435241459711</v>
      </c>
      <c r="H41" s="4">
        <f t="shared" si="98"/>
        <v>10.038312246029994</v>
      </c>
      <c r="I41" s="4">
        <f t="shared" si="98"/>
        <v>2.5660083080974059</v>
      </c>
      <c r="J41" s="4">
        <f t="shared" si="98"/>
        <v>47.992445913467918</v>
      </c>
      <c r="K41" s="4">
        <f t="shared" si="98"/>
        <v>0.28444973024781506</v>
      </c>
      <c r="L41" s="4">
        <f t="shared" si="98"/>
        <v>0.58835740453194829</v>
      </c>
      <c r="M41" s="4">
        <f t="shared" si="98"/>
        <v>0.31977193323940417</v>
      </c>
      <c r="N41" s="4">
        <f t="shared" si="98"/>
        <v>0.45718399507533952</v>
      </c>
      <c r="O41" s="4">
        <f t="shared" si="98"/>
        <v>0.27231996854108398</v>
      </c>
      <c r="P41" s="4">
        <f t="shared" si="98"/>
        <v>0.20440513289375628</v>
      </c>
      <c r="Q41" s="4">
        <f t="shared" si="98"/>
        <v>0.66476837880953921</v>
      </c>
      <c r="R41" s="4">
        <f t="shared" si="98"/>
        <v>7.253399243613342E-3</v>
      </c>
      <c r="S41" s="4">
        <f t="shared" si="98"/>
        <v>1.0633535621784613</v>
      </c>
      <c r="T41" s="4">
        <f t="shared" si="98"/>
        <v>0.26505679680800498</v>
      </c>
      <c r="U41" s="4">
        <f t="shared" si="98"/>
        <v>73.454558691750847</v>
      </c>
      <c r="V41" s="4">
        <f t="shared" si="98"/>
        <v>74.796599333486853</v>
      </c>
      <c r="W41" s="4">
        <f t="shared" si="98"/>
        <v>119.8674743764165</v>
      </c>
      <c r="X41" s="4">
        <f t="shared" si="98"/>
        <v>12.311114253722673</v>
      </c>
      <c r="Y41" s="4">
        <f t="shared" si="98"/>
        <v>10.932818125594828</v>
      </c>
      <c r="Z41" s="4">
        <f t="shared" si="98"/>
        <v>2.3523286907463117</v>
      </c>
      <c r="AA41" s="4">
        <f t="shared" si="98"/>
        <v>0</v>
      </c>
      <c r="AB41" s="4">
        <f t="shared" si="98"/>
        <v>0.39673318184060841</v>
      </c>
      <c r="AC41" s="4">
        <f t="shared" si="98"/>
        <v>10.83091384225955</v>
      </c>
      <c r="AD41" s="4">
        <f t="shared" si="98"/>
        <v>0.10394173908519316</v>
      </c>
      <c r="AE41" s="4">
        <f t="shared" si="98"/>
        <v>5.2720828778112572E-2</v>
      </c>
      <c r="AF41" s="4">
        <f t="shared" si="98"/>
        <v>0.23954683825780007</v>
      </c>
      <c r="AG41" s="4">
        <f t="shared" si="98"/>
        <v>1.2429337903987416</v>
      </c>
      <c r="AH41" s="4">
        <f t="shared" si="98"/>
        <v>0.73351698727979364</v>
      </c>
      <c r="AI41" s="4">
        <f t="shared" si="98"/>
        <v>1.1646172054806696</v>
      </c>
      <c r="AJ41" s="4">
        <f t="shared" si="98"/>
        <v>0.22434665780245031</v>
      </c>
      <c r="AK41" s="4">
        <f t="shared" si="98"/>
        <v>0</v>
      </c>
      <c r="AL41" s="4">
        <f t="shared" si="98"/>
        <v>11.315973533770949</v>
      </c>
      <c r="AM41" s="4">
        <f t="shared" si="98"/>
        <v>150.75203162068263</v>
      </c>
      <c r="AN41" s="4">
        <f t="shared" si="98"/>
        <v>101.57766654957601</v>
      </c>
      <c r="AO41" s="4">
        <f t="shared" si="98"/>
        <v>73.066821751809954</v>
      </c>
      <c r="AP41" s="4">
        <f t="shared" si="98"/>
        <v>42.814314617081841</v>
      </c>
      <c r="AQ41" s="4">
        <f t="shared" si="98"/>
        <v>46.154457800349576</v>
      </c>
      <c r="AR41" s="37">
        <f t="shared" si="98"/>
        <v>1034.6550690086044</v>
      </c>
      <c r="AS41" s="4">
        <f t="shared" si="98"/>
        <v>593.9845320641507</v>
      </c>
      <c r="AT41" s="4">
        <f t="shared" si="98"/>
        <v>440.67053694445383</v>
      </c>
      <c r="AZ41" s="98"/>
      <c r="BA41" s="4">
        <v>12.939445015567319</v>
      </c>
      <c r="BB41" s="4">
        <v>141.58025923440971</v>
      </c>
      <c r="BC41" s="4">
        <v>96.611736613536237</v>
      </c>
      <c r="BD41" s="98"/>
    </row>
    <row r="42" spans="2:60" x14ac:dyDescent="0.25">
      <c r="C42" s="2" t="s">
        <v>260</v>
      </c>
      <c r="D42"/>
      <c r="F42" s="4">
        <f>_xlfn.STDEV.P(F6,F11,F12,F16,F20,F24,F32,F33,F37)</f>
        <v>41.789850355086912</v>
      </c>
      <c r="G42" s="4">
        <f t="shared" ref="G42:AT42" si="99">_xlfn.STDEV.P(G6,G11,G12,G16,G20,G24,G32,G33,G37)</f>
        <v>8.7828702057401991</v>
      </c>
      <c r="H42" s="4">
        <f t="shared" si="99"/>
        <v>1.5085928629508796</v>
      </c>
      <c r="I42" s="4">
        <f t="shared" si="99"/>
        <v>0.48873225831893241</v>
      </c>
      <c r="J42" s="4">
        <f t="shared" si="99"/>
        <v>15.003273214223574</v>
      </c>
      <c r="K42" s="4">
        <f t="shared" si="99"/>
        <v>7.404675442194307E-2</v>
      </c>
      <c r="L42" s="4">
        <f t="shared" si="99"/>
        <v>0.21714542778193094</v>
      </c>
      <c r="M42" s="4">
        <f t="shared" si="99"/>
        <v>0.14955307632147469</v>
      </c>
      <c r="N42" s="4">
        <f t="shared" si="99"/>
        <v>0.22889327215488342</v>
      </c>
      <c r="O42" s="4">
        <f t="shared" si="99"/>
        <v>0.16179403840219272</v>
      </c>
      <c r="P42" s="4">
        <f t="shared" si="99"/>
        <v>0.12086480020212709</v>
      </c>
      <c r="Q42" s="4">
        <f t="shared" si="99"/>
        <v>0.10554951885289397</v>
      </c>
      <c r="R42" s="4">
        <f t="shared" si="99"/>
        <v>1.0271031391792043E-2</v>
      </c>
      <c r="S42" s="4">
        <f t="shared" si="99"/>
        <v>0.12642989697969823</v>
      </c>
      <c r="T42" s="4">
        <f t="shared" si="99"/>
        <v>5.0604214979017563E-2</v>
      </c>
      <c r="U42" s="4">
        <f t="shared" si="99"/>
        <v>25.832458073322154</v>
      </c>
      <c r="V42" s="4">
        <f t="shared" si="99"/>
        <v>23.449636666782641</v>
      </c>
      <c r="W42" s="4">
        <f t="shared" si="99"/>
        <v>52.163012019109509</v>
      </c>
      <c r="X42" s="4">
        <f t="shared" si="99"/>
        <v>8.0158589895472581</v>
      </c>
      <c r="Y42" s="4">
        <f t="shared" si="99"/>
        <v>7.5252904865774095</v>
      </c>
      <c r="Z42" s="4">
        <f t="shared" si="99"/>
        <v>1.6641637327812309</v>
      </c>
      <c r="AA42" s="4">
        <f t="shared" si="99"/>
        <v>0</v>
      </c>
      <c r="AB42" s="4">
        <f t="shared" si="99"/>
        <v>5.7820027374473087E-2</v>
      </c>
      <c r="AC42" s="4">
        <f t="shared" si="99"/>
        <v>3.4285482830192682</v>
      </c>
      <c r="AD42" s="4">
        <f t="shared" si="99"/>
        <v>8.403414323266517E-2</v>
      </c>
      <c r="AE42" s="4">
        <f t="shared" si="99"/>
        <v>6.7069285875169041E-2</v>
      </c>
      <c r="AF42" s="4">
        <f t="shared" si="99"/>
        <v>0.13347420011176533</v>
      </c>
      <c r="AG42" s="4">
        <f t="shared" si="99"/>
        <v>0.80420115640081302</v>
      </c>
      <c r="AH42" s="4">
        <f t="shared" si="99"/>
        <v>0.4794565228864901</v>
      </c>
      <c r="AI42" s="4">
        <f t="shared" si="99"/>
        <v>0.635814312639298</v>
      </c>
      <c r="AJ42" s="4">
        <f t="shared" si="99"/>
        <v>4.0412225112573121E-2</v>
      </c>
      <c r="AK42" s="4">
        <f t="shared" si="99"/>
        <v>0</v>
      </c>
      <c r="AL42" s="4">
        <f t="shared" si="99"/>
        <v>4.0173496942116209</v>
      </c>
      <c r="AM42" s="4">
        <f t="shared" si="99"/>
        <v>55.950618109907644</v>
      </c>
      <c r="AN42" s="4">
        <f t="shared" si="99"/>
        <v>48.970085637368214</v>
      </c>
      <c r="AO42" s="4">
        <f t="shared" si="99"/>
        <v>46.336900799651048</v>
      </c>
      <c r="AP42" s="4">
        <f t="shared" si="99"/>
        <v>28.630185878974004</v>
      </c>
      <c r="AQ42" s="4">
        <f t="shared" si="99"/>
        <v>31.494032943639255</v>
      </c>
      <c r="AR42" s="37">
        <f t="shared" si="99"/>
        <v>353.20242373296304</v>
      </c>
      <c r="AS42" s="4">
        <f t="shared" si="99"/>
        <v>139.99226209076565</v>
      </c>
      <c r="AT42" s="4">
        <f t="shared" si="99"/>
        <v>217.61115919529968</v>
      </c>
      <c r="AZ42" s="98"/>
      <c r="BA42" s="4">
        <v>32.383941724407521</v>
      </c>
      <c r="BB42" s="4">
        <v>226.16646279191613</v>
      </c>
      <c r="BC42" s="4">
        <v>109.60380300664298</v>
      </c>
      <c r="BD42" s="98"/>
    </row>
    <row r="43" spans="2:60" x14ac:dyDescent="0.25">
      <c r="C43" t="s">
        <v>91</v>
      </c>
      <c r="D43"/>
      <c r="E43" t="s">
        <v>36</v>
      </c>
      <c r="F43" s="4">
        <f t="shared" ref="F43:AQ43" si="100">F2*SUM($O$59:$O$62)+F7*SUM($O$63:$O$65)+F12*SUM($O$66:$O$72)+F16*SUM($O$73:$O$79)+F20*SUM($O$80:$O$86)+F24*SUM($O$87:$O$93)+F28*SUM($O$94:$O$100)+F33*SUM($O$101:$O$107)+F37*SUM($O$108:$O$114)</f>
        <v>18378.220423850435</v>
      </c>
      <c r="G43" s="4">
        <f t="shared" si="100"/>
        <v>4633.1294697466765</v>
      </c>
      <c r="H43" s="4">
        <f t="shared" si="100"/>
        <v>1029.6912189135369</v>
      </c>
      <c r="I43" s="4">
        <f t="shared" si="100"/>
        <v>256.51563980517454</v>
      </c>
      <c r="J43" s="4">
        <f t="shared" si="100"/>
        <v>4883.8465559339602</v>
      </c>
      <c r="K43" s="4">
        <f t="shared" si="100"/>
        <v>28.140765221764234</v>
      </c>
      <c r="L43" s="4">
        <f t="shared" si="100"/>
        <v>58.677429022178714</v>
      </c>
      <c r="M43" s="4">
        <f t="shared" si="100"/>
        <v>30.312504756673171</v>
      </c>
      <c r="N43" s="4">
        <f t="shared" si="100"/>
        <v>42.346609455507966</v>
      </c>
      <c r="O43" s="4">
        <f t="shared" si="100"/>
        <v>24.871143021256284</v>
      </c>
      <c r="P43" s="4">
        <f t="shared" si="100"/>
        <v>19.066581046111502</v>
      </c>
      <c r="Q43" s="4">
        <f t="shared" si="100"/>
        <v>62.444322039196223</v>
      </c>
      <c r="R43" s="4">
        <f t="shared" si="100"/>
        <v>1.2738868095762699</v>
      </c>
      <c r="S43" s="4">
        <f t="shared" si="100"/>
        <v>104.93234472808719</v>
      </c>
      <c r="T43" s="4">
        <f t="shared" si="100"/>
        <v>26.056054608020439</v>
      </c>
      <c r="U43" s="4">
        <f t="shared" si="100"/>
        <v>7251.8432661013676</v>
      </c>
      <c r="V43" s="4">
        <f t="shared" si="100"/>
        <v>7415.4854706151636</v>
      </c>
      <c r="W43" s="4">
        <f t="shared" si="100"/>
        <v>11488.165457861925</v>
      </c>
      <c r="X43" s="4">
        <f t="shared" si="100"/>
        <v>1148.3333770015984</v>
      </c>
      <c r="Y43" s="4">
        <f t="shared" si="100"/>
        <v>1042.7883302786561</v>
      </c>
      <c r="Z43" s="4">
        <f t="shared" si="100"/>
        <v>220.27426517879027</v>
      </c>
      <c r="AA43" s="4">
        <f t="shared" si="100"/>
        <v>0</v>
      </c>
      <c r="AB43" s="4">
        <f t="shared" si="100"/>
        <v>40.526649834288747</v>
      </c>
      <c r="AC43" s="4">
        <f t="shared" si="100"/>
        <v>1081.2592351925859</v>
      </c>
      <c r="AD43" s="4">
        <f t="shared" si="100"/>
        <v>10.022587396140798</v>
      </c>
      <c r="AE43" s="4">
        <f t="shared" si="100"/>
        <v>4.6574514246208816</v>
      </c>
      <c r="AF43" s="4">
        <f t="shared" si="100"/>
        <v>21.925859914699394</v>
      </c>
      <c r="AG43" s="4">
        <f t="shared" si="100"/>
        <v>109.3063326923432</v>
      </c>
      <c r="AH43" s="4">
        <f t="shared" si="100"/>
        <v>65.412467013571899</v>
      </c>
      <c r="AI43" s="4">
        <f t="shared" si="100"/>
        <v>102.80945065725697</v>
      </c>
      <c r="AJ43" s="4">
        <f t="shared" si="100"/>
        <v>22.654262266283421</v>
      </c>
      <c r="AK43" s="4">
        <f t="shared" si="100"/>
        <v>0</v>
      </c>
      <c r="AL43" s="4">
        <f t="shared" si="100"/>
        <v>1084.4868814446186</v>
      </c>
      <c r="AM43" s="4">
        <f t="shared" si="100"/>
        <v>14954.969904976648</v>
      </c>
      <c r="AN43" s="4">
        <f t="shared" si="100"/>
        <v>9587.1412014545713</v>
      </c>
      <c r="AO43" s="4">
        <f t="shared" si="100"/>
        <v>6736.9382713762507</v>
      </c>
      <c r="AP43" s="4">
        <f t="shared" si="100"/>
        <v>3924.8610913779139</v>
      </c>
      <c r="AQ43" s="4">
        <f t="shared" si="100"/>
        <v>4277.7824543136239</v>
      </c>
      <c r="AR43" s="4">
        <f t="shared" ref="AR43:AR46" si="101">SUM(F43:AQ43)</f>
        <v>100171.16921733107</v>
      </c>
      <c r="AS43" s="4">
        <f t="shared" ref="AS43:AS46" si="102">SUM(F43:Z43)</f>
        <v>58146.415115995653</v>
      </c>
      <c r="AT43">
        <f t="shared" ref="AT43:AT46" si="103">SUM(AA43:AQ43)</f>
        <v>42024.754101335413</v>
      </c>
      <c r="AZ43" s="98"/>
      <c r="BA43" s="4">
        <v>11.902892882319877</v>
      </c>
      <c r="BB43" s="4">
        <v>38.505193239784283</v>
      </c>
      <c r="BC43" s="4">
        <v>36.592779631695869</v>
      </c>
      <c r="BD43" s="98"/>
    </row>
    <row r="44" spans="2:60" x14ac:dyDescent="0.25">
      <c r="C44" t="s">
        <v>92</v>
      </c>
      <c r="D44"/>
      <c r="E44" t="s">
        <v>39</v>
      </c>
      <c r="F44" s="4">
        <f t="shared" ref="F44:AQ44" si="104">F3*SUM($L$59:$L$62)+F8*SUM($L$63:$L$65)+F13*SUM($L$66:$L$72)+F17*SUM($L$73:$L$79)+F21*SUM($L$80:$L$86)+F25*SUM($L$87:$L$93)+F29*SUM($L$94:$L$100)+F34*SUM($L$101:$L$107)+F38*SUM($L$108:$L$114)</f>
        <v>19017.782898375524</v>
      </c>
      <c r="G44" s="4">
        <f t="shared" si="104"/>
        <v>4758.7289182245959</v>
      </c>
      <c r="H44" s="4">
        <f t="shared" si="104"/>
        <v>1071.4456249454811</v>
      </c>
      <c r="I44" s="4">
        <f t="shared" si="104"/>
        <v>271.63242342103973</v>
      </c>
      <c r="J44" s="4">
        <f t="shared" si="104"/>
        <v>5190.1492241029</v>
      </c>
      <c r="K44" s="4">
        <f t="shared" si="104"/>
        <v>30.069833731106421</v>
      </c>
      <c r="L44" s="4">
        <f t="shared" si="104"/>
        <v>58.715615000506865</v>
      </c>
      <c r="M44" s="4">
        <f t="shared" si="104"/>
        <v>31.614922414551692</v>
      </c>
      <c r="N44" s="4">
        <f t="shared" si="104"/>
        <v>45.232336633273405</v>
      </c>
      <c r="O44" s="4">
        <f t="shared" si="104"/>
        <v>26.662182460845699</v>
      </c>
      <c r="P44" s="4">
        <f t="shared" si="104"/>
        <v>20.590655068571863</v>
      </c>
      <c r="Q44" s="4">
        <f t="shared" si="104"/>
        <v>67.751188617924782</v>
      </c>
      <c r="R44" s="4">
        <f t="shared" si="104"/>
        <v>0</v>
      </c>
      <c r="S44" s="4">
        <f t="shared" si="104"/>
        <v>114.81342234550957</v>
      </c>
      <c r="T44" s="4">
        <f t="shared" si="104"/>
        <v>27.813586754741756</v>
      </c>
      <c r="U44" s="4">
        <f t="shared" si="104"/>
        <v>7409.2506572251141</v>
      </c>
      <c r="V44" s="4">
        <f t="shared" si="104"/>
        <v>7817.2585308414782</v>
      </c>
      <c r="W44" s="4">
        <f t="shared" si="104"/>
        <v>12082.864846651164</v>
      </c>
      <c r="X44" s="4">
        <f t="shared" si="104"/>
        <v>1187.4908112301032</v>
      </c>
      <c r="Y44" s="4">
        <f t="shared" si="104"/>
        <v>1052.3192012948748</v>
      </c>
      <c r="Z44" s="4">
        <f t="shared" si="104"/>
        <v>220.02819009224947</v>
      </c>
      <c r="AA44" s="4">
        <f t="shared" si="104"/>
        <v>0</v>
      </c>
      <c r="AB44" s="4">
        <f t="shared" si="104"/>
        <v>42.422959052247151</v>
      </c>
      <c r="AC44" s="4">
        <f t="shared" si="104"/>
        <v>1173.4147192954233</v>
      </c>
      <c r="AD44" s="4">
        <f t="shared" si="104"/>
        <v>11.409850175420864</v>
      </c>
      <c r="AE44" s="4">
        <f t="shared" si="104"/>
        <v>4.931238066884112</v>
      </c>
      <c r="AF44" s="4">
        <f t="shared" si="104"/>
        <v>23.332190632582058</v>
      </c>
      <c r="AG44" s="4">
        <f t="shared" si="104"/>
        <v>115.50864900103315</v>
      </c>
      <c r="AH44" s="4">
        <f t="shared" si="104"/>
        <v>68.060506550126249</v>
      </c>
      <c r="AI44" s="4">
        <f t="shared" si="104"/>
        <v>107.59397514737461</v>
      </c>
      <c r="AJ44" s="4">
        <f t="shared" si="104"/>
        <v>24.350235735752079</v>
      </c>
      <c r="AK44" s="4">
        <f t="shared" si="104"/>
        <v>0</v>
      </c>
      <c r="AL44" s="4">
        <f t="shared" si="104"/>
        <v>1175.2239962447945</v>
      </c>
      <c r="AM44" s="4">
        <f t="shared" si="104"/>
        <v>15426.489334897935</v>
      </c>
      <c r="AN44" s="4">
        <f t="shared" si="104"/>
        <v>10191.297259961926</v>
      </c>
      <c r="AO44" s="4">
        <f t="shared" si="104"/>
        <v>7114.6612534723527</v>
      </c>
      <c r="AP44" s="4">
        <f t="shared" si="104"/>
        <v>4097.5613356685299</v>
      </c>
      <c r="AQ44" s="4">
        <f t="shared" si="104"/>
        <v>4411.8920652076995</v>
      </c>
      <c r="AR44" s="4">
        <f t="shared" si="101"/>
        <v>104490.36463854165</v>
      </c>
      <c r="AS44" s="4">
        <f t="shared" si="102"/>
        <v>60502.215069431557</v>
      </c>
      <c r="AT44">
        <f t="shared" si="103"/>
        <v>43988.149569110079</v>
      </c>
      <c r="AZ44" s="98"/>
      <c r="BA44" s="4">
        <v>1.2935986224861127</v>
      </c>
      <c r="BB44" s="4">
        <v>7.0410817368193133</v>
      </c>
      <c r="BC44" s="4">
        <v>1.35474811328098</v>
      </c>
      <c r="BD44" s="98"/>
    </row>
    <row r="45" spans="2:60" x14ac:dyDescent="0.25">
      <c r="D45"/>
      <c r="E45" t="s">
        <v>40</v>
      </c>
      <c r="F45" s="4">
        <f>F4*SUM($M$59:$M$62)+F9*SUM($M$63:$M$65)+F14*SUM($M$66:$M$72)+F18*SUM($M$73:$M$79)+F22*SUM($M$80:$M$86)+F26*SUM($M$87:$M$93)+F30*SUM($M$94:$M$100)+F35*SUM($M$101:$M$107)+F39*SUM($M$108:$M$114)</f>
        <v>18437.589075629898</v>
      </c>
      <c r="G45" s="4">
        <f t="shared" ref="G45:AQ45" si="105">G4*SUM($M$59:$M$62)+G9*SUM($M$63:$M$65)+G14*SUM($M$66:$M$72)+G18*SUM($M$73:$M$79)+G22*SUM($M$80:$M$86)+G26*SUM($M$87:$M$93)+G30*SUM($M$94:$M$100)+G35*SUM($M$101:$M$107)+G39*SUM($M$108:$M$114)</f>
        <v>4630.4233780656414</v>
      </c>
      <c r="H45" s="4">
        <f t="shared" si="105"/>
        <v>1046.0274645831789</v>
      </c>
      <c r="I45" s="4">
        <f t="shared" si="105"/>
        <v>263.14871357895083</v>
      </c>
      <c r="J45" s="4">
        <f t="shared" si="105"/>
        <v>4935.0720496858758</v>
      </c>
      <c r="K45" s="4">
        <f t="shared" si="105"/>
        <v>28.149818930796933</v>
      </c>
      <c r="L45" s="4">
        <f t="shared" si="105"/>
        <v>55.12454801843694</v>
      </c>
      <c r="M45" s="4">
        <f t="shared" si="105"/>
        <v>30.234400640238789</v>
      </c>
      <c r="N45" s="4">
        <f t="shared" si="105"/>
        <v>44.454752263024929</v>
      </c>
      <c r="O45" s="4">
        <f t="shared" si="105"/>
        <v>26.735544470886403</v>
      </c>
      <c r="P45" s="4">
        <f t="shared" si="105"/>
        <v>20.567822917080136</v>
      </c>
      <c r="Q45" s="4">
        <f t="shared" si="105"/>
        <v>72.750043098917757</v>
      </c>
      <c r="R45" s="4">
        <f t="shared" si="105"/>
        <v>0</v>
      </c>
      <c r="S45" s="4">
        <f t="shared" si="105"/>
        <v>110.55713012911579</v>
      </c>
      <c r="T45" s="4">
        <f t="shared" si="105"/>
        <v>25.779914856944714</v>
      </c>
      <c r="U45" s="4">
        <f t="shared" si="105"/>
        <v>6930.2407451948566</v>
      </c>
      <c r="V45" s="4">
        <f t="shared" si="105"/>
        <v>7306.1506898717544</v>
      </c>
      <c r="W45" s="4">
        <f t="shared" si="105"/>
        <v>11673.928734647629</v>
      </c>
      <c r="X45" s="4">
        <f t="shared" si="105"/>
        <v>1222.3636079887538</v>
      </c>
      <c r="Y45" s="4">
        <f t="shared" si="105"/>
        <v>1086.2358892975703</v>
      </c>
      <c r="Z45" s="4">
        <f t="shared" si="105"/>
        <v>229.68442172447661</v>
      </c>
      <c r="AA45" s="4">
        <f t="shared" si="105"/>
        <v>0</v>
      </c>
      <c r="AB45" s="4">
        <f t="shared" si="105"/>
        <v>42.132201983398957</v>
      </c>
      <c r="AC45" s="4">
        <f t="shared" si="105"/>
        <v>1114.436123172628</v>
      </c>
      <c r="AD45" s="4">
        <f t="shared" si="105"/>
        <v>9.0147444938685748</v>
      </c>
      <c r="AE45" s="4">
        <f t="shared" si="105"/>
        <v>3.7968303200376985</v>
      </c>
      <c r="AF45" s="4">
        <f t="shared" si="105"/>
        <v>20.055586168604307</v>
      </c>
      <c r="AG45" s="4">
        <f t="shared" si="105"/>
        <v>123.0815044310435</v>
      </c>
      <c r="AH45" s="4">
        <f t="shared" si="105"/>
        <v>68.237128923501501</v>
      </c>
      <c r="AI45" s="4">
        <f t="shared" si="105"/>
        <v>108.54403698829296</v>
      </c>
      <c r="AJ45" s="4">
        <f t="shared" si="105"/>
        <v>23.420027258703019</v>
      </c>
      <c r="AK45" s="4">
        <f t="shared" si="105"/>
        <v>0</v>
      </c>
      <c r="AL45" s="4">
        <f t="shared" si="105"/>
        <v>1063.9243156684256</v>
      </c>
      <c r="AM45" s="4">
        <f t="shared" si="105"/>
        <v>14020.334553719331</v>
      </c>
      <c r="AN45" s="4">
        <f t="shared" si="105"/>
        <v>9486.3866853053132</v>
      </c>
      <c r="AO45" s="4">
        <f t="shared" si="105"/>
        <v>6836.1911042780839</v>
      </c>
      <c r="AP45" s="4">
        <f t="shared" si="105"/>
        <v>4080.3115145620754</v>
      </c>
      <c r="AQ45" s="4">
        <f t="shared" si="105"/>
        <v>4444.8250439489411</v>
      </c>
      <c r="AR45" s="4">
        <f t="shared" si="101"/>
        <v>99619.91014681627</v>
      </c>
      <c r="AS45" s="4">
        <f t="shared" si="102"/>
        <v>58175.218745594022</v>
      </c>
      <c r="AT45">
        <f t="shared" si="103"/>
        <v>41444.691401222248</v>
      </c>
      <c r="AZ45" s="98"/>
      <c r="BA45" s="4">
        <v>17.743644223485724</v>
      </c>
      <c r="BB45" s="4">
        <v>121.58742603788428</v>
      </c>
      <c r="BC45" s="4">
        <v>63.082133636169466</v>
      </c>
      <c r="BD45" s="98"/>
    </row>
    <row r="46" spans="2:60" x14ac:dyDescent="0.25">
      <c r="D46"/>
      <c r="E46" t="s">
        <v>41</v>
      </c>
      <c r="F46" s="4">
        <f t="shared" ref="F46:AQ46" si="106">F5*SUM($N$60:$N$63)+F10*SUM($N$64:$N$66)+F15*SUM($N$67:$N$73)+F19*SUM($N$74:$N$80)+F23*SUM($N$81:$N$87)+F27*SUM($N$88:$N$94)+F31*SUM($N$95:$N$101)+F36*SUM($N$102:$N$108)+F40*SUM($N$109:$N$114)</f>
        <v>18312.086630385314</v>
      </c>
      <c r="G46" s="4">
        <f t="shared" si="106"/>
        <v>4539.3692403451705</v>
      </c>
      <c r="H46" s="4">
        <f t="shared" si="106"/>
        <v>1004.9813613050534</v>
      </c>
      <c r="I46" s="4">
        <f t="shared" si="106"/>
        <v>246.76570700514623</v>
      </c>
      <c r="J46" s="4">
        <f t="shared" si="106"/>
        <v>4613.9246888941816</v>
      </c>
      <c r="K46" s="4">
        <f t="shared" si="106"/>
        <v>26.171084312167906</v>
      </c>
      <c r="L46" s="4">
        <f t="shared" si="106"/>
        <v>51.506090677413383</v>
      </c>
      <c r="M46" s="4">
        <f t="shared" si="106"/>
        <v>28.534238827299614</v>
      </c>
      <c r="N46" s="4">
        <f t="shared" si="106"/>
        <v>41.891614946110906</v>
      </c>
      <c r="O46" s="4">
        <f t="shared" si="106"/>
        <v>25.046699093873702</v>
      </c>
      <c r="P46" s="4">
        <f t="shared" si="106"/>
        <v>18.916280034384783</v>
      </c>
      <c r="Q46" s="4">
        <f t="shared" si="106"/>
        <v>62.747047735465692</v>
      </c>
      <c r="R46" s="4">
        <f t="shared" si="106"/>
        <v>0</v>
      </c>
      <c r="S46" s="4">
        <f t="shared" si="106"/>
        <v>103.11499394423127</v>
      </c>
      <c r="T46" s="4">
        <f t="shared" si="106"/>
        <v>24.22863152274962</v>
      </c>
      <c r="U46" s="4">
        <f t="shared" si="106"/>
        <v>6660.950101876595</v>
      </c>
      <c r="V46" s="4">
        <f t="shared" si="106"/>
        <v>6621.5813164558467</v>
      </c>
      <c r="W46" s="4">
        <f t="shared" si="106"/>
        <v>11123.658659166613</v>
      </c>
      <c r="X46" s="4">
        <f t="shared" si="106"/>
        <v>1108.2605379820154</v>
      </c>
      <c r="Y46" s="4">
        <f t="shared" si="106"/>
        <v>1004.6270573596986</v>
      </c>
      <c r="Z46" s="4">
        <f t="shared" si="106"/>
        <v>207.34280041531542</v>
      </c>
      <c r="AA46" s="4">
        <f t="shared" si="106"/>
        <v>0</v>
      </c>
      <c r="AB46" s="4">
        <f t="shared" si="106"/>
        <v>38.23283798221091</v>
      </c>
      <c r="AC46" s="4">
        <f t="shared" si="106"/>
        <v>1049.0252031587331</v>
      </c>
      <c r="AD46" s="4">
        <f t="shared" si="106"/>
        <v>8.1515553529164002</v>
      </c>
      <c r="AE46" s="4">
        <f t="shared" si="106"/>
        <v>3.4394420371085968</v>
      </c>
      <c r="AF46" s="4">
        <f t="shared" si="106"/>
        <v>19.338374297425236</v>
      </c>
      <c r="AG46" s="4">
        <f t="shared" si="106"/>
        <v>110.02896753630503</v>
      </c>
      <c r="AH46" s="4">
        <f t="shared" si="106"/>
        <v>65.564108574180409</v>
      </c>
      <c r="AI46" s="4">
        <f t="shared" si="106"/>
        <v>103.16530582329705</v>
      </c>
      <c r="AJ46" s="4">
        <f t="shared" si="106"/>
        <v>21.653772609176553</v>
      </c>
      <c r="AK46" s="4">
        <f t="shared" si="106"/>
        <v>0</v>
      </c>
      <c r="AL46" s="4">
        <f t="shared" si="106"/>
        <v>1018.5408169208748</v>
      </c>
      <c r="AM46" s="4">
        <f t="shared" si="106"/>
        <v>13263.540364485189</v>
      </c>
      <c r="AN46" s="4">
        <f t="shared" si="106"/>
        <v>8983.535973685588</v>
      </c>
      <c r="AO46" s="4">
        <f t="shared" si="106"/>
        <v>6469.4986250435431</v>
      </c>
      <c r="AP46" s="4">
        <f t="shared" si="106"/>
        <v>3840.1637326061482</v>
      </c>
      <c r="AQ46" s="4">
        <f t="shared" si="106"/>
        <v>4179.0555224357731</v>
      </c>
      <c r="AR46" s="4">
        <f t="shared" si="101"/>
        <v>94998.639384833121</v>
      </c>
      <c r="AS46" s="4">
        <f t="shared" si="102"/>
        <v>55825.704782284658</v>
      </c>
      <c r="AT46">
        <f t="shared" si="103"/>
        <v>39172.93460254847</v>
      </c>
      <c r="BA46" s="4">
        <v>32.229367730490431</v>
      </c>
      <c r="BB46" s="4">
        <v>219.73519455042501</v>
      </c>
      <c r="BC46" s="4">
        <v>108.44542695513725</v>
      </c>
    </row>
    <row r="47" spans="2:60" x14ac:dyDescent="0.25">
      <c r="C47" s="97" t="s">
        <v>96</v>
      </c>
      <c r="D47" s="97"/>
      <c r="E47" t="s">
        <v>36</v>
      </c>
      <c r="F47" s="4">
        <f t="shared" ref="F47:AQ47" si="107">F43/AVERAGE($T$59:$T$114)</f>
        <v>458.24624965965893</v>
      </c>
      <c r="G47" s="4">
        <f t="shared" si="107"/>
        <v>115.52338337088263</v>
      </c>
      <c r="H47" s="4">
        <f t="shared" si="107"/>
        <v>25.674528245523842</v>
      </c>
      <c r="I47" s="4">
        <f t="shared" si="107"/>
        <v>6.3960126284708982</v>
      </c>
      <c r="J47" s="4">
        <f t="shared" si="107"/>
        <v>121.77481369554131</v>
      </c>
      <c r="K47" s="4">
        <f t="shared" si="107"/>
        <v>0.70166750795367239</v>
      </c>
      <c r="L47" s="4">
        <f t="shared" si="107"/>
        <v>1.4630748336323822</v>
      </c>
      <c r="M47" s="4">
        <f t="shared" si="107"/>
        <v>0.75581809893353236</v>
      </c>
      <c r="N47" s="4">
        <f t="shared" si="107"/>
        <v>1.0558788893186637</v>
      </c>
      <c r="O47" s="4">
        <f t="shared" si="107"/>
        <v>0.62014208946199345</v>
      </c>
      <c r="P47" s="4">
        <f t="shared" si="107"/>
        <v>0.47540997205985175</v>
      </c>
      <c r="Q47" s="4">
        <f t="shared" si="107"/>
        <v>1.5569993028196867</v>
      </c>
      <c r="R47" s="4">
        <f t="shared" si="107"/>
        <v>3.1763350287259809E-2</v>
      </c>
      <c r="S47" s="4">
        <f t="shared" si="107"/>
        <v>2.6164042181819767</v>
      </c>
      <c r="T47" s="4">
        <f t="shared" si="107"/>
        <v>0.64968691362289488</v>
      </c>
      <c r="U47" s="4">
        <f t="shared" si="107"/>
        <v>180.81892061203018</v>
      </c>
      <c r="V47" s="4">
        <f t="shared" si="107"/>
        <v>184.8992082990344</v>
      </c>
      <c r="W47" s="4">
        <f t="shared" si="107"/>
        <v>286.44823139148724</v>
      </c>
      <c r="X47" s="4">
        <f t="shared" si="107"/>
        <v>28.632775711357208</v>
      </c>
      <c r="Y47" s="4">
        <f t="shared" si="107"/>
        <v>26.001094258229404</v>
      </c>
      <c r="Z47" s="4">
        <f t="shared" si="107"/>
        <v>5.4923628940548888</v>
      </c>
      <c r="AA47" s="4">
        <f t="shared" si="107"/>
        <v>0</v>
      </c>
      <c r="AB47" s="4">
        <f t="shared" si="107"/>
        <v>1.0104996495597691</v>
      </c>
      <c r="AC47" s="4">
        <f t="shared" si="107"/>
        <v>26.960335549891319</v>
      </c>
      <c r="AD47" s="4">
        <f t="shared" si="107"/>
        <v>0.24990521281414924</v>
      </c>
      <c r="AE47" s="4">
        <f t="shared" si="107"/>
        <v>0.11612983189247245</v>
      </c>
      <c r="AF47" s="4">
        <f t="shared" si="107"/>
        <v>0.54670380726498002</v>
      </c>
      <c r="AG47" s="4">
        <f t="shared" si="107"/>
        <v>2.7254661150605033</v>
      </c>
      <c r="AH47" s="4">
        <f t="shared" si="107"/>
        <v>1.6310076274335699</v>
      </c>
      <c r="AI47" s="4">
        <f t="shared" si="107"/>
        <v>2.5634715498415641</v>
      </c>
      <c r="AJ47" s="4">
        <f t="shared" si="107"/>
        <v>0.56486593820903386</v>
      </c>
      <c r="AK47" s="4">
        <f t="shared" si="107"/>
        <v>0</v>
      </c>
      <c r="AL47" s="4">
        <f t="shared" si="107"/>
        <v>27.040814331629218</v>
      </c>
      <c r="AM47" s="4">
        <f t="shared" si="107"/>
        <v>372.89023173511515</v>
      </c>
      <c r="AN47" s="4">
        <f t="shared" si="107"/>
        <v>239.04770969134543</v>
      </c>
      <c r="AO47" s="4">
        <f t="shared" si="107"/>
        <v>167.9801757650263</v>
      </c>
      <c r="AP47" s="4">
        <f t="shared" si="107"/>
        <v>97.863276970220866</v>
      </c>
      <c r="AQ47" s="4">
        <f t="shared" si="107"/>
        <v>106.66308931658847</v>
      </c>
      <c r="AR47" s="4">
        <f t="shared" ref="AR47:AR50" si="108">SUM(F47:AQ47)</f>
        <v>2497.6881090344355</v>
      </c>
      <c r="AS47" s="4">
        <f t="shared" ref="AS47:AS50" si="109">SUM(F47:Z47)</f>
        <v>1449.8344259425428</v>
      </c>
      <c r="AT47">
        <f t="shared" ref="AT47:AT50" si="110">SUM(AA47:AQ47)</f>
        <v>1047.8536830918929</v>
      </c>
    </row>
    <row r="48" spans="2:60" x14ac:dyDescent="0.25">
      <c r="C48" t="s">
        <v>354</v>
      </c>
      <c r="D48"/>
      <c r="E48" t="s">
        <v>39</v>
      </c>
      <c r="F48" s="4">
        <f t="shared" ref="F48:AQ48" si="111">F44/AVERAGE($Q$59:$Q$114)</f>
        <v>435.9099607420851</v>
      </c>
      <c r="G48" s="4">
        <f t="shared" si="111"/>
        <v>109.07566602323026</v>
      </c>
      <c r="H48" s="4">
        <f t="shared" si="111"/>
        <v>24.558794408530062</v>
      </c>
      <c r="I48" s="4">
        <f t="shared" si="111"/>
        <v>6.2261347530608875</v>
      </c>
      <c r="J48" s="4">
        <f t="shared" si="111"/>
        <v>118.96432705189379</v>
      </c>
      <c r="K48" s="4">
        <f t="shared" si="111"/>
        <v>0.68923596989674718</v>
      </c>
      <c r="L48" s="4">
        <f t="shared" si="111"/>
        <v>1.3458309818020164</v>
      </c>
      <c r="M48" s="4">
        <f t="shared" si="111"/>
        <v>0.7246512205041773</v>
      </c>
      <c r="N48" s="4">
        <f t="shared" si="111"/>
        <v>1.0367783769246419</v>
      </c>
      <c r="O48" s="4">
        <f t="shared" si="111"/>
        <v>0.61112859327037128</v>
      </c>
      <c r="P48" s="4">
        <f t="shared" si="111"/>
        <v>0.47196204155646698</v>
      </c>
      <c r="Q48" s="4">
        <f t="shared" si="111"/>
        <v>1.5529369605534777</v>
      </c>
      <c r="R48" s="4">
        <f t="shared" si="111"/>
        <v>0</v>
      </c>
      <c r="S48" s="4">
        <f t="shared" si="111"/>
        <v>2.631658731973987</v>
      </c>
      <c r="T48" s="4">
        <f t="shared" si="111"/>
        <v>0.63752013445224953</v>
      </c>
      <c r="U48" s="4">
        <f t="shared" si="111"/>
        <v>169.82874293907048</v>
      </c>
      <c r="V48" s="4">
        <f t="shared" si="111"/>
        <v>179.18076347274493</v>
      </c>
      <c r="W48" s="4">
        <f t="shared" si="111"/>
        <v>276.95347923051185</v>
      </c>
      <c r="X48" s="4">
        <f t="shared" si="111"/>
        <v>27.218686619307089</v>
      </c>
      <c r="Y48" s="4">
        <f t="shared" si="111"/>
        <v>24.120394273917924</v>
      </c>
      <c r="Z48" s="4">
        <f t="shared" si="111"/>
        <v>5.0433050065713614</v>
      </c>
      <c r="AA48" s="4">
        <f t="shared" si="111"/>
        <v>0</v>
      </c>
      <c r="AB48" s="4">
        <f t="shared" si="111"/>
        <v>0.97238413719654737</v>
      </c>
      <c r="AC48" s="4">
        <f t="shared" si="111"/>
        <v>26.896046029947303</v>
      </c>
      <c r="AD48" s="4">
        <f t="shared" si="111"/>
        <v>0.26152719108312178</v>
      </c>
      <c r="AE48" s="4">
        <f t="shared" si="111"/>
        <v>0.11302977868828984</v>
      </c>
      <c r="AF48" s="4">
        <f t="shared" si="111"/>
        <v>0.53480126243025217</v>
      </c>
      <c r="AG48" s="4">
        <f t="shared" si="111"/>
        <v>2.6475941449364528</v>
      </c>
      <c r="AH48" s="4">
        <f t="shared" si="111"/>
        <v>1.5600268915093243</v>
      </c>
      <c r="AI48" s="4">
        <f t="shared" si="111"/>
        <v>2.4661805076438847</v>
      </c>
      <c r="AJ48" s="4">
        <f t="shared" si="111"/>
        <v>0.5581360540475454</v>
      </c>
      <c r="AK48" s="4">
        <f t="shared" si="111"/>
        <v>0</v>
      </c>
      <c r="AL48" s="4">
        <f t="shared" si="111"/>
        <v>26.93751678645906</v>
      </c>
      <c r="AM48" s="4">
        <f t="shared" si="111"/>
        <v>353.5932866779101</v>
      </c>
      <c r="AN48" s="4">
        <f t="shared" si="111"/>
        <v>233.59652448658431</v>
      </c>
      <c r="AO48" s="4">
        <f t="shared" si="111"/>
        <v>163.07640718515515</v>
      </c>
      <c r="AP48" s="4">
        <f t="shared" si="111"/>
        <v>93.920927087779873</v>
      </c>
      <c r="AQ48" s="4">
        <f t="shared" si="111"/>
        <v>101.12575725676632</v>
      </c>
      <c r="AR48" s="4">
        <f t="shared" si="108"/>
        <v>2395.0421030099956</v>
      </c>
      <c r="AS48" s="4">
        <f t="shared" si="109"/>
        <v>1386.7819575318581</v>
      </c>
      <c r="AT48">
        <f t="shared" si="110"/>
        <v>1008.2601454781376</v>
      </c>
    </row>
    <row r="49" spans="4:50" x14ac:dyDescent="0.25">
      <c r="D49"/>
      <c r="E49" t="s">
        <v>40</v>
      </c>
      <c r="F49" s="4">
        <f t="shared" ref="F49:AQ49" si="112">F45/AVERAGE($R$59:$R$114)</f>
        <v>543.79256654323797</v>
      </c>
      <c r="G49" s="4">
        <f t="shared" si="112"/>
        <v>136.56827921543754</v>
      </c>
      <c r="H49" s="4">
        <f t="shared" si="112"/>
        <v>30.851211473860754</v>
      </c>
      <c r="I49" s="4">
        <f t="shared" si="112"/>
        <v>7.7612270103573895</v>
      </c>
      <c r="J49" s="4">
        <f t="shared" si="112"/>
        <v>145.55349319080085</v>
      </c>
      <c r="K49" s="4">
        <f t="shared" si="112"/>
        <v>0.83024207890274415</v>
      </c>
      <c r="L49" s="4">
        <f t="shared" si="112"/>
        <v>1.6258264203373174</v>
      </c>
      <c r="M49" s="4">
        <f t="shared" si="112"/>
        <v>0.89172408901244982</v>
      </c>
      <c r="N49" s="4">
        <f t="shared" si="112"/>
        <v>1.3111347546033896</v>
      </c>
      <c r="O49" s="4">
        <f t="shared" si="112"/>
        <v>0.78852990410610391</v>
      </c>
      <c r="P49" s="4">
        <f t="shared" si="112"/>
        <v>0.60662102655651717</v>
      </c>
      <c r="Q49" s="4">
        <f t="shared" si="112"/>
        <v>2.1456673370154342</v>
      </c>
      <c r="R49" s="4">
        <f t="shared" si="112"/>
        <v>0</v>
      </c>
      <c r="S49" s="4">
        <f t="shared" si="112"/>
        <v>3.260737903201842</v>
      </c>
      <c r="T49" s="4">
        <f t="shared" si="112"/>
        <v>0.76034485896281301</v>
      </c>
      <c r="U49" s="4">
        <f t="shared" si="112"/>
        <v>204.39838344012355</v>
      </c>
      <c r="V49" s="4">
        <f t="shared" si="112"/>
        <v>215.48535542797242</v>
      </c>
      <c r="W49" s="4">
        <f t="shared" si="112"/>
        <v>344.30725417607289</v>
      </c>
      <c r="X49" s="4">
        <f t="shared" si="112"/>
        <v>36.052015310171335</v>
      </c>
      <c r="Y49" s="4">
        <f t="shared" si="112"/>
        <v>32.037106353197224</v>
      </c>
      <c r="Z49" s="4">
        <f t="shared" si="112"/>
        <v>6.7742415058833005</v>
      </c>
      <c r="AA49" s="4">
        <f t="shared" si="112"/>
        <v>0</v>
      </c>
      <c r="AB49" s="4">
        <f t="shared" si="112"/>
        <v>1.242634172867739</v>
      </c>
      <c r="AC49" s="4">
        <f t="shared" si="112"/>
        <v>32.868835354919383</v>
      </c>
      <c r="AD49" s="4">
        <f t="shared" si="112"/>
        <v>0.26587809419897485</v>
      </c>
      <c r="AE49" s="4">
        <f t="shared" si="112"/>
        <v>0.11198254261949626</v>
      </c>
      <c r="AF49" s="4">
        <f t="shared" si="112"/>
        <v>0.59151327385691876</v>
      </c>
      <c r="AG49" s="4">
        <f t="shared" si="112"/>
        <v>3.6301279366848807</v>
      </c>
      <c r="AH49" s="4">
        <f t="shared" si="112"/>
        <v>2.0125648379862802</v>
      </c>
      <c r="AI49" s="4">
        <f t="shared" si="112"/>
        <v>3.2013643548898463</v>
      </c>
      <c r="AJ49" s="4">
        <f t="shared" si="112"/>
        <v>0.69074306186572887</v>
      </c>
      <c r="AK49" s="4">
        <f t="shared" si="112"/>
        <v>0</v>
      </c>
      <c r="AL49" s="4">
        <f t="shared" si="112"/>
        <v>31.379055680864589</v>
      </c>
      <c r="AM49" s="4">
        <f t="shared" si="112"/>
        <v>413.51142383573313</v>
      </c>
      <c r="AN49" s="4">
        <f t="shared" si="112"/>
        <v>279.78856355152487</v>
      </c>
      <c r="AO49" s="4">
        <f t="shared" si="112"/>
        <v>201.62451233328773</v>
      </c>
      <c r="AP49" s="4">
        <f t="shared" si="112"/>
        <v>120.34344955287129</v>
      </c>
      <c r="AQ49" s="4">
        <f t="shared" si="112"/>
        <v>131.09429918250194</v>
      </c>
      <c r="AR49" s="4">
        <f t="shared" si="108"/>
        <v>2938.1589097864867</v>
      </c>
      <c r="AS49" s="4">
        <f t="shared" si="109"/>
        <v>1715.8019620198138</v>
      </c>
      <c r="AT49">
        <f t="shared" si="110"/>
        <v>1222.3569477666729</v>
      </c>
    </row>
    <row r="50" spans="4:50" x14ac:dyDescent="0.25">
      <c r="D50"/>
      <c r="E50" t="s">
        <v>41</v>
      </c>
      <c r="F50" s="4">
        <f t="shared" ref="F50:AQ50" si="113">F46/AVERAGE($S$59:$S$114)</f>
        <v>503.84830227290672</v>
      </c>
      <c r="G50" s="4">
        <f t="shared" si="113"/>
        <v>124.89857280069252</v>
      </c>
      <c r="H50" s="4">
        <f t="shared" si="113"/>
        <v>27.651581326033256</v>
      </c>
      <c r="I50" s="4">
        <f t="shared" si="113"/>
        <v>6.789640363944712</v>
      </c>
      <c r="J50" s="4">
        <f t="shared" si="113"/>
        <v>126.94993029669098</v>
      </c>
      <c r="K50" s="4">
        <f t="shared" si="113"/>
        <v>0.72008486337361999</v>
      </c>
      <c r="L50" s="4">
        <f t="shared" si="113"/>
        <v>1.4171654420566198</v>
      </c>
      <c r="M50" s="4">
        <f t="shared" si="113"/>
        <v>0.78510592921337952</v>
      </c>
      <c r="N50" s="4">
        <f t="shared" si="113"/>
        <v>1.1526277423264997</v>
      </c>
      <c r="O50" s="4">
        <f t="shared" si="113"/>
        <v>0.68914794205094232</v>
      </c>
      <c r="P50" s="4">
        <f t="shared" si="113"/>
        <v>0.52047239470945583</v>
      </c>
      <c r="Q50" s="4">
        <f t="shared" si="113"/>
        <v>1.7264549973072181</v>
      </c>
      <c r="R50" s="4">
        <f t="shared" si="113"/>
        <v>0</v>
      </c>
      <c r="S50" s="4">
        <f t="shared" si="113"/>
        <v>2.8371597233203336</v>
      </c>
      <c r="T50" s="4">
        <f t="shared" si="113"/>
        <v>0.66663920423340417</v>
      </c>
      <c r="U50" s="4">
        <f t="shared" si="113"/>
        <v>183.27285514182003</v>
      </c>
      <c r="V50" s="4">
        <f t="shared" si="113"/>
        <v>182.18964184684378</v>
      </c>
      <c r="W50" s="4">
        <f t="shared" si="113"/>
        <v>306.06214592632062</v>
      </c>
      <c r="X50" s="4">
        <f t="shared" si="113"/>
        <v>30.493258458691948</v>
      </c>
      <c r="Y50" s="4">
        <f t="shared" si="113"/>
        <v>27.641832822492464</v>
      </c>
      <c r="Z50" s="4">
        <f t="shared" si="113"/>
        <v>5.704937950895256</v>
      </c>
      <c r="AA50" s="4">
        <f t="shared" si="113"/>
        <v>0</v>
      </c>
      <c r="AB50" s="4">
        <f t="shared" si="113"/>
        <v>1.0519582446955</v>
      </c>
      <c r="AC50" s="4">
        <f t="shared" si="113"/>
        <v>28.863426561995094</v>
      </c>
      <c r="AD50" s="4">
        <f t="shared" si="113"/>
        <v>0.22428614544863215</v>
      </c>
      <c r="AE50" s="4">
        <f t="shared" si="113"/>
        <v>9.463460206046273E-2</v>
      </c>
      <c r="AF50" s="4">
        <f t="shared" si="113"/>
        <v>0.53208611640729764</v>
      </c>
      <c r="AG50" s="4">
        <f t="shared" si="113"/>
        <v>3.0273943987366096</v>
      </c>
      <c r="AH50" s="4">
        <f t="shared" si="113"/>
        <v>1.8039650784702645</v>
      </c>
      <c r="AI50" s="4">
        <f t="shared" si="113"/>
        <v>2.838544030601263</v>
      </c>
      <c r="AJ50" s="4">
        <f t="shared" si="113"/>
        <v>0.59579319315985602</v>
      </c>
      <c r="AK50" s="4">
        <f t="shared" si="113"/>
        <v>0</v>
      </c>
      <c r="AL50" s="4">
        <f t="shared" si="113"/>
        <v>28.024663259822287</v>
      </c>
      <c r="AM50" s="4">
        <f t="shared" si="113"/>
        <v>364.93996722826859</v>
      </c>
      <c r="AN50" s="4">
        <f t="shared" si="113"/>
        <v>247.17769417049914</v>
      </c>
      <c r="AO50" s="4">
        <f t="shared" si="113"/>
        <v>178.00515935613535</v>
      </c>
      <c r="AP50" s="4">
        <f t="shared" si="113"/>
        <v>105.6602677880016</v>
      </c>
      <c r="AQ50" s="4">
        <f t="shared" si="113"/>
        <v>114.98471324341776</v>
      </c>
      <c r="AR50" s="4">
        <f t="shared" si="108"/>
        <v>2613.8421108636435</v>
      </c>
      <c r="AS50" s="4">
        <f t="shared" si="109"/>
        <v>1536.017557445924</v>
      </c>
      <c r="AT50">
        <f t="shared" si="110"/>
        <v>1077.8245534177197</v>
      </c>
      <c r="AU50" t="s">
        <v>113</v>
      </c>
      <c r="AV50" t="s">
        <v>115</v>
      </c>
      <c r="AW50" t="s">
        <v>114</v>
      </c>
      <c r="AX50" t="s">
        <v>116</v>
      </c>
    </row>
    <row r="51" spans="4:50" x14ac:dyDescent="0.25">
      <c r="E51" t="s">
        <v>89</v>
      </c>
      <c r="F51" s="4">
        <f>AVERAGE(F47:F50)</f>
        <v>485.44926980447218</v>
      </c>
      <c r="G51" s="4">
        <f t="shared" ref="G51:AQ51" si="114">AVERAGE(G47:G50)</f>
        <v>121.51647535256073</v>
      </c>
      <c r="H51" s="4">
        <f t="shared" si="114"/>
        <v>27.184028863486979</v>
      </c>
      <c r="I51" s="4">
        <f t="shared" si="114"/>
        <v>6.7932536889584725</v>
      </c>
      <c r="J51" s="4">
        <f t="shared" si="114"/>
        <v>128.31064105873173</v>
      </c>
      <c r="K51" s="4">
        <f t="shared" si="114"/>
        <v>0.7353076050316959</v>
      </c>
      <c r="L51" s="4">
        <f t="shared" si="114"/>
        <v>1.4629744194570837</v>
      </c>
      <c r="M51" s="4">
        <f t="shared" si="114"/>
        <v>0.78932483441588475</v>
      </c>
      <c r="N51" s="4">
        <f t="shared" si="114"/>
        <v>1.1391049407932987</v>
      </c>
      <c r="O51" s="4">
        <f t="shared" si="114"/>
        <v>0.67723713222235271</v>
      </c>
      <c r="P51" s="4">
        <f t="shared" si="114"/>
        <v>0.51861635872057299</v>
      </c>
      <c r="Q51" s="4">
        <f t="shared" si="114"/>
        <v>1.7455146494239542</v>
      </c>
      <c r="R51" s="4">
        <f t="shared" si="114"/>
        <v>7.9408375718149522E-3</v>
      </c>
      <c r="S51" s="4">
        <f t="shared" si="114"/>
        <v>2.8364901441695345</v>
      </c>
      <c r="T51" s="4">
        <f t="shared" si="114"/>
        <v>0.67854777781784037</v>
      </c>
      <c r="U51" s="4">
        <f t="shared" si="114"/>
        <v>184.57972553326107</v>
      </c>
      <c r="V51" s="4">
        <f t="shared" si="114"/>
        <v>190.43874226164888</v>
      </c>
      <c r="W51" s="4">
        <f t="shared" si="114"/>
        <v>303.44277768109816</v>
      </c>
      <c r="X51" s="4">
        <f t="shared" si="114"/>
        <v>30.599184024881893</v>
      </c>
      <c r="Y51" s="4">
        <f t="shared" si="114"/>
        <v>27.450106926959251</v>
      </c>
      <c r="Z51" s="4">
        <f t="shared" si="114"/>
        <v>5.7537118393512019</v>
      </c>
      <c r="AA51" s="4">
        <f t="shared" si="114"/>
        <v>0</v>
      </c>
      <c r="AB51" s="4">
        <f t="shared" si="114"/>
        <v>1.069369051079889</v>
      </c>
      <c r="AC51" s="4">
        <f t="shared" si="114"/>
        <v>28.897160874188277</v>
      </c>
      <c r="AD51" s="4">
        <f t="shared" si="114"/>
        <v>0.25039916088621955</v>
      </c>
      <c r="AE51" s="4">
        <f t="shared" si="114"/>
        <v>0.10894418881518031</v>
      </c>
      <c r="AF51" s="4">
        <f t="shared" si="114"/>
        <v>0.55127611498986218</v>
      </c>
      <c r="AG51" s="4">
        <f t="shared" si="114"/>
        <v>3.0076456488546115</v>
      </c>
      <c r="AH51" s="4">
        <f t="shared" si="114"/>
        <v>1.7518911088498599</v>
      </c>
      <c r="AI51" s="4">
        <f t="shared" si="114"/>
        <v>2.7673901107441394</v>
      </c>
      <c r="AJ51" s="4">
        <f t="shared" si="114"/>
        <v>0.60238456182054101</v>
      </c>
      <c r="AK51" s="4">
        <f t="shared" si="114"/>
        <v>0</v>
      </c>
      <c r="AL51" s="4">
        <f t="shared" si="114"/>
        <v>28.345512514693787</v>
      </c>
      <c r="AM51" s="4">
        <f t="shared" si="114"/>
        <v>376.23372736925677</v>
      </c>
      <c r="AN51" s="4">
        <f t="shared" si="114"/>
        <v>249.90262297498845</v>
      </c>
      <c r="AO51" s="4">
        <f t="shared" si="114"/>
        <v>177.67156365990112</v>
      </c>
      <c r="AP51" s="4">
        <f t="shared" si="114"/>
        <v>104.4469803497184</v>
      </c>
      <c r="AQ51" s="4">
        <f t="shared" si="114"/>
        <v>113.46696474981863</v>
      </c>
      <c r="AR51" s="4">
        <f>AVERAGE(AR47:AR50)</f>
        <v>2611.1828081736403</v>
      </c>
      <c r="AS51" s="4">
        <f>AVERAGE(AS47:AS50)</f>
        <v>1522.1089757350346</v>
      </c>
      <c r="AT51" s="4">
        <f>AVERAGE(AT47:AT50)</f>
        <v>1089.0738324386057</v>
      </c>
      <c r="AU51" s="4">
        <f>SUM(F51:P51)/AR51*100</f>
        <v>29.66380720776186</v>
      </c>
      <c r="AV51" s="4">
        <f>SUM(Q51:Z51)/AR51*100</f>
        <v>28.628127427012139</v>
      </c>
      <c r="AW51">
        <f>SUM(AA51:AI51)/AR51*100</f>
        <v>1.4707540252713787</v>
      </c>
      <c r="AX51">
        <f>SUM(AJ51:AQ51)/AR51*100</f>
        <v>40.237311339954623</v>
      </c>
    </row>
    <row r="52" spans="4:50" x14ac:dyDescent="0.25">
      <c r="AR52" s="4"/>
      <c r="AS52" s="4"/>
      <c r="AT52" s="4"/>
    </row>
    <row r="53" spans="4:50" x14ac:dyDescent="0.25">
      <c r="AO53" s="4"/>
      <c r="AR53" s="4"/>
      <c r="AS53" s="4"/>
      <c r="AT53" s="4"/>
    </row>
    <row r="54" spans="4:50" x14ac:dyDescent="0.25">
      <c r="AR54" s="4"/>
      <c r="AS54" s="4"/>
      <c r="AT54" s="4"/>
    </row>
    <row r="55" spans="4:50" x14ac:dyDescent="0.25">
      <c r="AR55" s="4"/>
      <c r="AS55" s="4"/>
      <c r="AT55" s="4"/>
    </row>
    <row r="56" spans="4:50" x14ac:dyDescent="0.25">
      <c r="AR56" s="4"/>
      <c r="AS56" s="4"/>
      <c r="AT56" s="4"/>
    </row>
    <row r="57" spans="4:50" x14ac:dyDescent="0.25">
      <c r="D57"/>
      <c r="Q57" s="29" t="s">
        <v>62</v>
      </c>
      <c r="R57" s="29"/>
      <c r="S57" s="29"/>
      <c r="T57" s="29"/>
      <c r="AR57" s="4"/>
      <c r="AS57" s="4"/>
      <c r="AT57" s="4"/>
    </row>
    <row r="58" spans="4:50" x14ac:dyDescent="0.25">
      <c r="D58"/>
      <c r="H58" t="s">
        <v>100</v>
      </c>
      <c r="K58" t="s">
        <v>68</v>
      </c>
      <c r="L58" t="s">
        <v>39</v>
      </c>
      <c r="M58" t="s">
        <v>40</v>
      </c>
      <c r="N58" t="s">
        <v>41</v>
      </c>
      <c r="O58" t="s">
        <v>36</v>
      </c>
      <c r="Q58" t="s">
        <v>39</v>
      </c>
      <c r="R58" t="s">
        <v>40</v>
      </c>
      <c r="S58" t="s">
        <v>41</v>
      </c>
      <c r="T58" t="s">
        <v>36</v>
      </c>
      <c r="U58" s="29"/>
      <c r="V58" s="29"/>
      <c r="W58" t="s">
        <v>149</v>
      </c>
      <c r="X58" t="s">
        <v>78</v>
      </c>
      <c r="Y58" t="s">
        <v>153</v>
      </c>
      <c r="Z58" s="34">
        <v>188.95051658180867</v>
      </c>
      <c r="AB58" s="4">
        <v>485.44926980447201</v>
      </c>
      <c r="AR58" s="4"/>
      <c r="AS58" s="4"/>
      <c r="AT58" s="4"/>
    </row>
    <row r="59" spans="4:50" x14ac:dyDescent="0.25">
      <c r="D59"/>
      <c r="H59" t="s">
        <v>42</v>
      </c>
      <c r="I59" s="2">
        <v>45068</v>
      </c>
      <c r="J59">
        <v>1</v>
      </c>
      <c r="K59">
        <v>0</v>
      </c>
      <c r="L59">
        <v>0</v>
      </c>
      <c r="M59">
        <v>0</v>
      </c>
      <c r="N59">
        <v>0</v>
      </c>
      <c r="O59">
        <v>0</v>
      </c>
      <c r="Q59">
        <v>42.2</v>
      </c>
      <c r="R59">
        <v>32.1</v>
      </c>
      <c r="S59">
        <v>34.4</v>
      </c>
      <c r="T59">
        <v>38</v>
      </c>
      <c r="X59" t="s">
        <v>79</v>
      </c>
      <c r="Y59" t="s">
        <v>154</v>
      </c>
      <c r="Z59" s="4">
        <v>46.595435241459711</v>
      </c>
      <c r="AB59" s="4">
        <v>121.51647535256073</v>
      </c>
    </row>
    <row r="60" spans="4:50" x14ac:dyDescent="0.25">
      <c r="D60" t="s">
        <v>97</v>
      </c>
      <c r="E60" t="s">
        <v>98</v>
      </c>
      <c r="F60" t="s">
        <v>99</v>
      </c>
      <c r="I60" s="2">
        <v>45069</v>
      </c>
      <c r="J60">
        <v>2</v>
      </c>
      <c r="K60">
        <v>0.20857787810383746</v>
      </c>
      <c r="L60">
        <v>0.56613995485327306</v>
      </c>
      <c r="M60">
        <v>0.12911963882618502</v>
      </c>
      <c r="N60">
        <v>0.14898419864559811</v>
      </c>
      <c r="O60">
        <v>4.9661399548532562E-2</v>
      </c>
      <c r="X60" t="s">
        <v>80</v>
      </c>
      <c r="Y60" t="s">
        <v>155</v>
      </c>
      <c r="Z60" s="4">
        <v>10.038312246029994</v>
      </c>
      <c r="AB60" s="4">
        <v>27.184028863486979</v>
      </c>
    </row>
    <row r="61" spans="4:50" x14ac:dyDescent="0.25">
      <c r="D61" t="s">
        <v>36</v>
      </c>
      <c r="E61">
        <v>96.653002257336368</v>
      </c>
      <c r="F61">
        <v>152.73264108352146</v>
      </c>
      <c r="I61" s="2">
        <v>45070</v>
      </c>
      <c r="J61">
        <v>3</v>
      </c>
      <c r="K61">
        <v>0.42708803611738172</v>
      </c>
      <c r="L61">
        <v>0.96343115124153489</v>
      </c>
      <c r="M61">
        <v>0.46681715575620791</v>
      </c>
      <c r="N61">
        <v>0.38735891647855547</v>
      </c>
      <c r="O61">
        <v>0.10925507900677234</v>
      </c>
      <c r="Q61">
        <v>39.4</v>
      </c>
      <c r="R61">
        <v>31.8</v>
      </c>
      <c r="S61">
        <v>33</v>
      </c>
      <c r="T61">
        <v>36.799999999999997</v>
      </c>
      <c r="X61" t="s">
        <v>1</v>
      </c>
      <c r="Y61" t="s">
        <v>156</v>
      </c>
      <c r="Z61" s="4">
        <v>2.5660083080974059</v>
      </c>
      <c r="AB61" s="4">
        <v>6.7932536889584725</v>
      </c>
    </row>
    <row r="62" spans="4:50" x14ac:dyDescent="0.25">
      <c r="D62" t="s">
        <v>39</v>
      </c>
      <c r="E62">
        <v>103.45661399548536</v>
      </c>
      <c r="F62">
        <v>159.07936794582395</v>
      </c>
      <c r="I62" s="2">
        <v>45071</v>
      </c>
      <c r="J62">
        <v>4</v>
      </c>
      <c r="K62">
        <v>0.79458239277652365</v>
      </c>
      <c r="L62">
        <v>3.3074492099322805</v>
      </c>
      <c r="M62">
        <v>1.271331828442438</v>
      </c>
      <c r="N62">
        <v>0.62573363431151241</v>
      </c>
      <c r="O62">
        <v>0.35756207674943558</v>
      </c>
      <c r="X62" t="s">
        <v>2</v>
      </c>
      <c r="Y62" t="s">
        <v>157</v>
      </c>
      <c r="Z62" s="4">
        <v>47.992445913467918</v>
      </c>
      <c r="AB62" s="4">
        <v>128.31064105873173</v>
      </c>
    </row>
    <row r="63" spans="4:50" x14ac:dyDescent="0.25">
      <c r="D63" t="s">
        <v>40</v>
      </c>
      <c r="E63">
        <v>101.25164785553049</v>
      </c>
      <c r="F63">
        <v>154.71909706546282</v>
      </c>
      <c r="I63" s="2">
        <v>45072</v>
      </c>
      <c r="J63">
        <v>5</v>
      </c>
      <c r="K63">
        <v>0.7747178329571105</v>
      </c>
      <c r="L63">
        <v>0.96343115124153533</v>
      </c>
      <c r="M63">
        <v>0.81444695259593713</v>
      </c>
      <c r="N63">
        <v>0.46681715575620747</v>
      </c>
      <c r="O63">
        <v>0.36749435665914237</v>
      </c>
      <c r="Q63">
        <v>40.4</v>
      </c>
      <c r="R63">
        <v>32.799999999999997</v>
      </c>
      <c r="S63">
        <v>33</v>
      </c>
      <c r="T63">
        <v>37.200000000000003</v>
      </c>
      <c r="X63" t="s">
        <v>3</v>
      </c>
      <c r="Y63" t="s">
        <v>158</v>
      </c>
      <c r="Z63" s="4">
        <v>0.28444973024781506</v>
      </c>
      <c r="AB63" s="4">
        <v>0.7353076050316959</v>
      </c>
    </row>
    <row r="64" spans="4:50" x14ac:dyDescent="0.25">
      <c r="D64" t="s">
        <v>41</v>
      </c>
      <c r="E64">
        <v>94.706275395033884</v>
      </c>
      <c r="F64">
        <v>150.52767494356664</v>
      </c>
      <c r="I64" s="2">
        <v>45073</v>
      </c>
      <c r="J64">
        <v>6</v>
      </c>
      <c r="K64">
        <v>0.58600451467268611</v>
      </c>
      <c r="L64">
        <v>1.032957110609481</v>
      </c>
      <c r="M64">
        <v>0.49661399548532736</v>
      </c>
      <c r="N64">
        <v>0.39729119638826182</v>
      </c>
      <c r="O64">
        <v>0.32776523702031612</v>
      </c>
      <c r="X64" t="s">
        <v>4</v>
      </c>
      <c r="Y64" t="s">
        <v>159</v>
      </c>
      <c r="Z64" s="4">
        <v>0.58835740453194829</v>
      </c>
      <c r="AB64" s="4">
        <v>1.4629744194570837</v>
      </c>
    </row>
    <row r="65" spans="4:28" x14ac:dyDescent="0.25">
      <c r="D65"/>
      <c r="I65" s="2">
        <v>45074</v>
      </c>
      <c r="J65">
        <v>7</v>
      </c>
      <c r="K65">
        <v>0.61580135440180606</v>
      </c>
      <c r="L65">
        <v>3.3968397291196393</v>
      </c>
      <c r="M65">
        <v>1.4501128668171559</v>
      </c>
      <c r="N65">
        <v>0.35756207674943558</v>
      </c>
      <c r="O65">
        <v>0.13905191873589134</v>
      </c>
      <c r="X65" t="s">
        <v>5</v>
      </c>
      <c r="Y65" t="s">
        <v>160</v>
      </c>
      <c r="Z65" s="4">
        <v>0.31977193323940417</v>
      </c>
      <c r="AB65" s="4">
        <v>0.78932483441588475</v>
      </c>
    </row>
    <row r="66" spans="4:28" x14ac:dyDescent="0.25">
      <c r="D66"/>
      <c r="H66" t="s">
        <v>43</v>
      </c>
      <c r="I66" s="2">
        <v>45075</v>
      </c>
      <c r="J66">
        <v>8</v>
      </c>
      <c r="K66">
        <v>0.85616252821670447</v>
      </c>
      <c r="L66">
        <v>0.85616252821670447</v>
      </c>
      <c r="M66">
        <v>0.85616252821670447</v>
      </c>
      <c r="N66">
        <v>0.85616252821670447</v>
      </c>
      <c r="O66">
        <v>0.85616252821670447</v>
      </c>
      <c r="P66">
        <f>AVERAGE(L66:O66)</f>
        <v>0.85616252821670447</v>
      </c>
      <c r="Q66">
        <v>40.799999999999997</v>
      </c>
      <c r="R66">
        <v>33</v>
      </c>
      <c r="S66">
        <v>34.4</v>
      </c>
      <c r="T66">
        <v>37.200000000000003</v>
      </c>
      <c r="X66" t="s">
        <v>6</v>
      </c>
      <c r="Y66" t="s">
        <v>161</v>
      </c>
      <c r="Z66" s="4">
        <v>0.45718399507533952</v>
      </c>
      <c r="AB66" s="4">
        <v>1.1391049407932987</v>
      </c>
    </row>
    <row r="67" spans="4:28" x14ac:dyDescent="0.25">
      <c r="D67"/>
      <c r="I67" s="2">
        <v>45076</v>
      </c>
      <c r="J67">
        <v>9</v>
      </c>
      <c r="K67">
        <v>1.3031151241534991</v>
      </c>
      <c r="L67">
        <v>1.3031151241534991</v>
      </c>
      <c r="M67">
        <v>1.3031151241534991</v>
      </c>
      <c r="N67">
        <v>1.3031151241534991</v>
      </c>
      <c r="O67">
        <v>1.3031151241534991</v>
      </c>
      <c r="P67">
        <f t="shared" ref="P67:P93" si="115">AVERAGE(L67:O67)</f>
        <v>1.3031151241534991</v>
      </c>
      <c r="X67" t="s">
        <v>7</v>
      </c>
      <c r="Y67" t="s">
        <v>162</v>
      </c>
      <c r="Z67" s="4">
        <v>0.27231996854108398</v>
      </c>
      <c r="AB67" s="4">
        <v>0.67723713222235271</v>
      </c>
    </row>
    <row r="68" spans="4:28" x14ac:dyDescent="0.25">
      <c r="D68"/>
      <c r="I68" s="2">
        <v>45077</v>
      </c>
      <c r="J68">
        <v>10</v>
      </c>
      <c r="K68">
        <v>1.1620767494356661</v>
      </c>
      <c r="L68">
        <v>1.1620767494356661</v>
      </c>
      <c r="M68">
        <v>1.1620767494356661</v>
      </c>
      <c r="N68">
        <v>1.1620767494356661</v>
      </c>
      <c r="O68">
        <v>1.1620767494356661</v>
      </c>
      <c r="P68">
        <f t="shared" si="115"/>
        <v>1.1620767494356661</v>
      </c>
      <c r="Q68">
        <v>41.8</v>
      </c>
      <c r="R68">
        <v>33.200000000000003</v>
      </c>
      <c r="S68">
        <v>35</v>
      </c>
      <c r="T68">
        <v>39</v>
      </c>
      <c r="X68" t="s">
        <v>8</v>
      </c>
      <c r="Y68" t="s">
        <v>163</v>
      </c>
      <c r="Z68" s="4">
        <v>0.20440513289375628</v>
      </c>
      <c r="AB68" s="4">
        <v>0.51861635872057299</v>
      </c>
    </row>
    <row r="69" spans="4:28" x14ac:dyDescent="0.25">
      <c r="D69"/>
      <c r="I69" s="2">
        <v>45078</v>
      </c>
      <c r="J69">
        <v>11</v>
      </c>
      <c r="K69">
        <v>1.5832054176072237</v>
      </c>
      <c r="L69">
        <v>1.5832054176072237</v>
      </c>
      <c r="M69">
        <v>1.5832054176072237</v>
      </c>
      <c r="N69">
        <v>1.5832054176072237</v>
      </c>
      <c r="O69">
        <v>1.5832054176072237</v>
      </c>
      <c r="P69">
        <f t="shared" si="115"/>
        <v>1.5832054176072237</v>
      </c>
      <c r="W69" t="s">
        <v>150</v>
      </c>
      <c r="X69" t="s">
        <v>81</v>
      </c>
      <c r="Y69" t="s">
        <v>164</v>
      </c>
      <c r="Z69" s="4">
        <v>0.66476837880953921</v>
      </c>
      <c r="AB69" s="4">
        <v>1.7455146494239542</v>
      </c>
    </row>
    <row r="70" spans="4:28" x14ac:dyDescent="0.25">
      <c r="D70"/>
      <c r="I70" s="2">
        <v>45079</v>
      </c>
      <c r="J70">
        <v>12</v>
      </c>
      <c r="K70">
        <v>1.0111060948081263</v>
      </c>
      <c r="L70">
        <v>1.0111060948081263</v>
      </c>
      <c r="M70">
        <v>1.0111060948081263</v>
      </c>
      <c r="N70">
        <v>1.0111060948081263</v>
      </c>
      <c r="O70">
        <v>1.0111060948081263</v>
      </c>
      <c r="P70">
        <f t="shared" si="115"/>
        <v>1.0111060948081263</v>
      </c>
      <c r="Q70">
        <v>41.6</v>
      </c>
      <c r="R70">
        <v>33.200000000000003</v>
      </c>
      <c r="S70">
        <v>35.799999999999997</v>
      </c>
      <c r="T70">
        <v>38.6</v>
      </c>
      <c r="X70" t="s">
        <v>82</v>
      </c>
      <c r="Z70" s="4">
        <v>7.253399243613342E-3</v>
      </c>
      <c r="AB70" s="4">
        <v>7.9408375718149522E-3</v>
      </c>
    </row>
    <row r="71" spans="4:28" x14ac:dyDescent="0.25">
      <c r="D71"/>
      <c r="I71" s="2">
        <v>45080</v>
      </c>
      <c r="J71">
        <v>13</v>
      </c>
      <c r="K71">
        <v>1.1084424379232509</v>
      </c>
      <c r="L71">
        <v>1.1084424379232509</v>
      </c>
      <c r="M71">
        <v>1.1084424379232509</v>
      </c>
      <c r="N71">
        <v>1.1084424379232509</v>
      </c>
      <c r="O71">
        <v>1.1084424379232509</v>
      </c>
      <c r="P71">
        <f t="shared" si="115"/>
        <v>1.1084424379232509</v>
      </c>
      <c r="X71" t="s">
        <v>9</v>
      </c>
      <c r="Z71" s="4">
        <v>1.0633535621784613</v>
      </c>
      <c r="AB71" s="4">
        <v>2.8364901441695345</v>
      </c>
    </row>
    <row r="72" spans="4:28" x14ac:dyDescent="0.25">
      <c r="D72"/>
      <c r="I72" s="2">
        <v>45081</v>
      </c>
      <c r="J72">
        <v>14</v>
      </c>
      <c r="K72">
        <v>1.1660496613995488</v>
      </c>
      <c r="L72">
        <v>1.1660496613995488</v>
      </c>
      <c r="M72">
        <v>1.1660496613995488</v>
      </c>
      <c r="N72">
        <v>1.1660496613995488</v>
      </c>
      <c r="O72">
        <v>1.1660496613995488</v>
      </c>
      <c r="P72">
        <f t="shared" si="115"/>
        <v>1.1660496613995488</v>
      </c>
      <c r="X72" t="s">
        <v>10</v>
      </c>
      <c r="Z72" s="4">
        <v>0.26505679680800498</v>
      </c>
      <c r="AB72" s="4">
        <v>0.67854777781784037</v>
      </c>
    </row>
    <row r="73" spans="4:28" x14ac:dyDescent="0.25">
      <c r="D73"/>
      <c r="H73" t="s">
        <v>44</v>
      </c>
      <c r="I73" s="2">
        <v>45082</v>
      </c>
      <c r="J73">
        <v>15</v>
      </c>
      <c r="K73">
        <v>1.829525959367946</v>
      </c>
      <c r="L73">
        <v>1.829525959367946</v>
      </c>
      <c r="M73">
        <v>1.829525959367946</v>
      </c>
      <c r="N73">
        <v>1.829525959367946</v>
      </c>
      <c r="O73">
        <v>1.829525959367946</v>
      </c>
      <c r="P73">
        <f t="shared" si="115"/>
        <v>1.829525959367946</v>
      </c>
      <c r="Q73">
        <v>42.6</v>
      </c>
      <c r="R73">
        <v>33.799999999999997</v>
      </c>
      <c r="S73">
        <v>35.4</v>
      </c>
      <c r="T73">
        <v>40.4</v>
      </c>
      <c r="X73" t="s">
        <v>11</v>
      </c>
      <c r="Z73" s="4">
        <v>73.454558691750847</v>
      </c>
      <c r="AB73" s="4">
        <v>184.57972553326107</v>
      </c>
    </row>
    <row r="74" spans="4:28" x14ac:dyDescent="0.25">
      <c r="D74"/>
      <c r="I74" s="2">
        <v>45083</v>
      </c>
      <c r="J74">
        <v>16</v>
      </c>
      <c r="K74">
        <v>1.5812189616252823</v>
      </c>
      <c r="L74">
        <v>1.5812189616252823</v>
      </c>
      <c r="M74">
        <v>1.5812189616252823</v>
      </c>
      <c r="N74">
        <v>1.5812189616252823</v>
      </c>
      <c r="O74">
        <v>1.5812189616252823</v>
      </c>
      <c r="P74">
        <f t="shared" si="115"/>
        <v>1.5812189616252823</v>
      </c>
      <c r="X74" t="s">
        <v>12</v>
      </c>
      <c r="Z74" s="4">
        <v>74.796599333486853</v>
      </c>
      <c r="AB74" s="4">
        <v>190.43874226164888</v>
      </c>
    </row>
    <row r="75" spans="4:28" x14ac:dyDescent="0.25">
      <c r="D75"/>
      <c r="I75" s="2">
        <v>45084</v>
      </c>
      <c r="J75">
        <v>17</v>
      </c>
      <c r="K75">
        <v>1.4660045146726863</v>
      </c>
      <c r="L75">
        <v>1.4660045146726863</v>
      </c>
      <c r="M75">
        <v>1.4660045146726863</v>
      </c>
      <c r="N75">
        <v>1.4660045146726863</v>
      </c>
      <c r="O75">
        <v>1.4660045146726863</v>
      </c>
      <c r="P75">
        <f t="shared" si="115"/>
        <v>1.4660045146726863</v>
      </c>
      <c r="Q75">
        <v>44.4</v>
      </c>
      <c r="R75">
        <v>33.6</v>
      </c>
      <c r="S75">
        <v>37.6</v>
      </c>
      <c r="T75">
        <v>40.6</v>
      </c>
      <c r="X75" t="s">
        <v>13</v>
      </c>
      <c r="Z75" s="4">
        <v>119.8674743764165</v>
      </c>
      <c r="AB75" s="4">
        <v>303.44277768109816</v>
      </c>
    </row>
    <row r="76" spans="4:28" x14ac:dyDescent="0.25">
      <c r="D76"/>
      <c r="I76" s="2">
        <v>45085</v>
      </c>
      <c r="J76">
        <v>18</v>
      </c>
      <c r="K76">
        <v>2.9300225733634315</v>
      </c>
      <c r="L76">
        <v>2.9300225733634315</v>
      </c>
      <c r="M76">
        <v>2.9300225733634315</v>
      </c>
      <c r="N76">
        <v>2.9300225733634315</v>
      </c>
      <c r="O76">
        <v>2.9300225733634315</v>
      </c>
      <c r="P76">
        <f t="shared" si="115"/>
        <v>2.9300225733634315</v>
      </c>
      <c r="X76" t="s">
        <v>14</v>
      </c>
      <c r="Z76" s="4">
        <v>12.311114253722673</v>
      </c>
      <c r="AB76" s="4">
        <v>30.599184024881893</v>
      </c>
    </row>
    <row r="77" spans="4:28" x14ac:dyDescent="0.25">
      <c r="D77"/>
      <c r="I77" s="2">
        <v>45086</v>
      </c>
      <c r="J77">
        <v>19</v>
      </c>
      <c r="K77">
        <v>1.4143566591422121</v>
      </c>
      <c r="L77">
        <v>1.4143566591422121</v>
      </c>
      <c r="M77">
        <v>1.4143566591422121</v>
      </c>
      <c r="N77">
        <v>1.4143566591422121</v>
      </c>
      <c r="O77">
        <v>1.4143566591422121</v>
      </c>
      <c r="P77">
        <f t="shared" si="115"/>
        <v>1.4143566591422121</v>
      </c>
      <c r="Q77">
        <v>45</v>
      </c>
      <c r="R77">
        <v>33.6</v>
      </c>
      <c r="S77">
        <v>37.6</v>
      </c>
      <c r="T77">
        <v>40.4</v>
      </c>
      <c r="X77" t="s">
        <v>15</v>
      </c>
      <c r="Z77" s="4">
        <v>10.932818125594828</v>
      </c>
      <c r="AB77" s="4">
        <v>27.450106926959251</v>
      </c>
    </row>
    <row r="78" spans="4:28" x14ac:dyDescent="0.25">
      <c r="D78"/>
      <c r="I78" s="2">
        <v>45087</v>
      </c>
      <c r="J78">
        <v>20</v>
      </c>
      <c r="K78">
        <v>1.8215801354401813</v>
      </c>
      <c r="L78">
        <v>1.8215801354401813</v>
      </c>
      <c r="M78">
        <v>1.8215801354401813</v>
      </c>
      <c r="N78">
        <v>1.8215801354401813</v>
      </c>
      <c r="O78">
        <v>1.8215801354401813</v>
      </c>
      <c r="P78">
        <f t="shared" si="115"/>
        <v>1.8215801354401813</v>
      </c>
      <c r="X78" t="s">
        <v>16</v>
      </c>
      <c r="Z78" s="4">
        <v>2.3523286907463117</v>
      </c>
      <c r="AB78" s="4">
        <v>5.7537118393512019</v>
      </c>
    </row>
    <row r="79" spans="4:28" x14ac:dyDescent="0.25">
      <c r="D79"/>
      <c r="I79" s="2">
        <v>45088</v>
      </c>
      <c r="J79">
        <v>21</v>
      </c>
      <c r="K79">
        <v>1.8613092550790071</v>
      </c>
      <c r="L79">
        <v>1.8613092550790071</v>
      </c>
      <c r="M79">
        <v>1.8613092550790071</v>
      </c>
      <c r="N79">
        <v>1.8613092550790071</v>
      </c>
      <c r="O79">
        <v>1.8613092550790071</v>
      </c>
      <c r="P79">
        <f t="shared" si="115"/>
        <v>1.8613092550790071</v>
      </c>
      <c r="W79" t="s">
        <v>151</v>
      </c>
      <c r="X79" t="s">
        <v>76</v>
      </c>
      <c r="Z79" s="4">
        <v>0</v>
      </c>
      <c r="AB79" s="4">
        <v>0</v>
      </c>
    </row>
    <row r="80" spans="4:28" x14ac:dyDescent="0.25">
      <c r="D80"/>
      <c r="H80" t="s">
        <v>45</v>
      </c>
      <c r="I80" s="2">
        <v>45089</v>
      </c>
      <c r="J80">
        <v>22</v>
      </c>
      <c r="K80">
        <v>2.1473589164785554</v>
      </c>
      <c r="L80">
        <v>2.1473589164785554</v>
      </c>
      <c r="M80">
        <v>2.1473589164785554</v>
      </c>
      <c r="N80">
        <v>2.1473589164785554</v>
      </c>
      <c r="O80">
        <v>2.1473589164785554</v>
      </c>
      <c r="P80">
        <f t="shared" si="115"/>
        <v>2.1473589164785554</v>
      </c>
      <c r="X80" t="s">
        <v>18</v>
      </c>
      <c r="Z80" s="4">
        <v>0.39673318184060841</v>
      </c>
      <c r="AB80" s="4">
        <v>1.069369051079889</v>
      </c>
    </row>
    <row r="81" spans="4:28" x14ac:dyDescent="0.25">
      <c r="D81"/>
      <c r="I81" s="2">
        <v>45090</v>
      </c>
      <c r="J81">
        <v>23</v>
      </c>
      <c r="K81">
        <v>2.0480361173814901</v>
      </c>
      <c r="L81">
        <v>2.0480361173814901</v>
      </c>
      <c r="M81">
        <v>2.0480361173814901</v>
      </c>
      <c r="N81">
        <v>2.0480361173814901</v>
      </c>
      <c r="O81">
        <v>2.0480361173814901</v>
      </c>
      <c r="P81">
        <f t="shared" si="115"/>
        <v>2.0480361173814901</v>
      </c>
      <c r="X81" t="s">
        <v>19</v>
      </c>
      <c r="Z81" s="4">
        <v>10.83091384225955</v>
      </c>
      <c r="AB81" s="4">
        <v>28.897160874188277</v>
      </c>
    </row>
    <row r="82" spans="4:28" x14ac:dyDescent="0.25">
      <c r="D82"/>
      <c r="I82" s="2">
        <v>45091</v>
      </c>
      <c r="J82">
        <v>24</v>
      </c>
      <c r="K82">
        <v>1.9884424379232513</v>
      </c>
      <c r="L82">
        <v>1.9884424379232513</v>
      </c>
      <c r="M82">
        <v>1.9884424379232513</v>
      </c>
      <c r="N82">
        <v>1.9884424379232513</v>
      </c>
      <c r="O82">
        <v>1.9884424379232513</v>
      </c>
      <c r="P82">
        <f t="shared" si="115"/>
        <v>1.9884424379232513</v>
      </c>
      <c r="Q82">
        <v>45.2</v>
      </c>
      <c r="R82">
        <v>32.799999999999997</v>
      </c>
      <c r="S82">
        <v>38.4</v>
      </c>
      <c r="T82">
        <v>40.6</v>
      </c>
      <c r="X82" t="s">
        <v>20</v>
      </c>
      <c r="Z82" s="4">
        <v>0.10394173908519316</v>
      </c>
      <c r="AB82" s="4">
        <v>0.25039916088621955</v>
      </c>
    </row>
    <row r="83" spans="4:28" x14ac:dyDescent="0.25">
      <c r="D83"/>
      <c r="I83" s="2">
        <v>45092</v>
      </c>
      <c r="J83">
        <v>25</v>
      </c>
      <c r="K83">
        <v>2.5724604966139957</v>
      </c>
      <c r="L83">
        <v>2.5724604966139957</v>
      </c>
      <c r="M83">
        <v>2.5724604966139957</v>
      </c>
      <c r="N83">
        <v>2.5724604966139957</v>
      </c>
      <c r="O83">
        <v>2.5724604966139957</v>
      </c>
      <c r="P83">
        <f t="shared" si="115"/>
        <v>2.5724604966139957</v>
      </c>
      <c r="X83" t="s">
        <v>21</v>
      </c>
      <c r="Z83" s="4">
        <v>5.2720828778112572E-2</v>
      </c>
      <c r="AB83" s="4">
        <v>0.10894418881518031</v>
      </c>
    </row>
    <row r="84" spans="4:28" x14ac:dyDescent="0.25">
      <c r="D84"/>
      <c r="I84" s="2">
        <v>45093</v>
      </c>
      <c r="J84">
        <v>26</v>
      </c>
      <c r="K84">
        <v>2.2923702031602713</v>
      </c>
      <c r="L84">
        <v>2.2923702031602713</v>
      </c>
      <c r="M84">
        <v>2.2923702031602713</v>
      </c>
      <c r="N84">
        <v>2.2923702031602713</v>
      </c>
      <c r="O84">
        <v>2.2923702031602713</v>
      </c>
      <c r="P84">
        <f t="shared" si="115"/>
        <v>2.2923702031602713</v>
      </c>
      <c r="X84" t="s">
        <v>22</v>
      </c>
      <c r="Z84" s="4">
        <v>0.23954683825780007</v>
      </c>
      <c r="AB84" s="4">
        <v>0.55127611498986218</v>
      </c>
    </row>
    <row r="85" spans="4:28" x14ac:dyDescent="0.25">
      <c r="D85"/>
      <c r="I85" s="2">
        <v>45094</v>
      </c>
      <c r="J85">
        <v>27</v>
      </c>
      <c r="K85">
        <v>2.7671331828442436</v>
      </c>
      <c r="L85">
        <v>2.7671331828442436</v>
      </c>
      <c r="M85">
        <v>2.7671331828442436</v>
      </c>
      <c r="N85">
        <v>2.7671331828442436</v>
      </c>
      <c r="O85">
        <v>2.7671331828442436</v>
      </c>
      <c r="P85">
        <f t="shared" si="115"/>
        <v>2.7671331828442436</v>
      </c>
      <c r="X85" t="s">
        <v>23</v>
      </c>
      <c r="Z85" s="4">
        <v>1.2429337903987416</v>
      </c>
      <c r="AB85" s="4">
        <v>3.0076456488546115</v>
      </c>
    </row>
    <row r="86" spans="4:28" x14ac:dyDescent="0.25">
      <c r="D86"/>
      <c r="I86" s="2">
        <v>45095</v>
      </c>
      <c r="J86">
        <v>28</v>
      </c>
      <c r="K86">
        <v>2.4055981941309259</v>
      </c>
      <c r="L86">
        <v>2.4055981941309259</v>
      </c>
      <c r="M86">
        <v>2.4055981941309259</v>
      </c>
      <c r="N86">
        <v>2.4055981941309259</v>
      </c>
      <c r="O86">
        <v>2.4055981941309259</v>
      </c>
      <c r="P86">
        <f t="shared" si="115"/>
        <v>2.4055981941309259</v>
      </c>
      <c r="X86" t="s">
        <v>24</v>
      </c>
      <c r="Z86" s="4">
        <v>0.73351698727979364</v>
      </c>
      <c r="AB86" s="4">
        <v>1.7518911088498599</v>
      </c>
    </row>
    <row r="87" spans="4:28" x14ac:dyDescent="0.25">
      <c r="D87"/>
      <c r="H87" t="s">
        <v>46</v>
      </c>
      <c r="I87" s="2">
        <v>45096</v>
      </c>
      <c r="J87">
        <v>29</v>
      </c>
      <c r="K87">
        <v>1.8056884875846504</v>
      </c>
      <c r="L87">
        <v>1.8056884875846504</v>
      </c>
      <c r="M87">
        <v>1.8056884875846504</v>
      </c>
      <c r="N87">
        <v>1.8056884875846504</v>
      </c>
      <c r="O87">
        <v>1.8056884875846504</v>
      </c>
      <c r="P87">
        <f t="shared" si="115"/>
        <v>1.8056884875846504</v>
      </c>
      <c r="X87" t="s">
        <v>25</v>
      </c>
      <c r="Z87" s="4">
        <v>1.1646172054806696</v>
      </c>
      <c r="AB87" s="4">
        <v>2.7673901107441394</v>
      </c>
    </row>
    <row r="88" spans="4:28" x14ac:dyDescent="0.25">
      <c r="D88"/>
      <c r="I88" s="2">
        <v>45097</v>
      </c>
      <c r="J88">
        <v>30</v>
      </c>
      <c r="K88">
        <v>2.4373814898419868</v>
      </c>
      <c r="L88">
        <v>2.4373814898419868</v>
      </c>
      <c r="M88">
        <v>2.4373814898419868</v>
      </c>
      <c r="N88">
        <v>2.4373814898419868</v>
      </c>
      <c r="O88">
        <v>2.4373814898419868</v>
      </c>
      <c r="P88">
        <f t="shared" si="115"/>
        <v>2.4373814898419868</v>
      </c>
      <c r="W88" t="s">
        <v>152</v>
      </c>
      <c r="X88" t="s">
        <v>26</v>
      </c>
      <c r="Z88" s="4">
        <v>0.22434665780245031</v>
      </c>
      <c r="AB88" s="4">
        <v>0.60238456182054101</v>
      </c>
    </row>
    <row r="89" spans="4:28" x14ac:dyDescent="0.25">
      <c r="D89"/>
      <c r="I89" s="2">
        <v>45098</v>
      </c>
      <c r="J89">
        <v>31</v>
      </c>
      <c r="K89">
        <v>2.0460496613995494</v>
      </c>
      <c r="L89">
        <v>2.0460496613995494</v>
      </c>
      <c r="M89">
        <v>2.0460496613995494</v>
      </c>
      <c r="N89">
        <v>2.0460496613995494</v>
      </c>
      <c r="O89">
        <v>2.0460496613995494</v>
      </c>
      <c r="P89">
        <f t="shared" si="115"/>
        <v>2.0460496613995494</v>
      </c>
      <c r="Q89">
        <v>45.8</v>
      </c>
      <c r="R89">
        <v>35.6</v>
      </c>
      <c r="S89">
        <v>37.4</v>
      </c>
      <c r="T89">
        <v>43.8</v>
      </c>
      <c r="X89" t="s">
        <v>77</v>
      </c>
      <c r="Z89" s="4">
        <v>0</v>
      </c>
      <c r="AB89" s="4">
        <v>0</v>
      </c>
    </row>
    <row r="90" spans="4:28" x14ac:dyDescent="0.25">
      <c r="D90"/>
      <c r="I90" s="2">
        <v>45099</v>
      </c>
      <c r="J90">
        <v>32</v>
      </c>
      <c r="K90">
        <v>2.1513318284424381</v>
      </c>
      <c r="L90">
        <v>2.1513318284424381</v>
      </c>
      <c r="M90">
        <v>2.1513318284424381</v>
      </c>
      <c r="N90">
        <v>2.1513318284424381</v>
      </c>
      <c r="O90">
        <v>2.1513318284424381</v>
      </c>
      <c r="P90">
        <f t="shared" si="115"/>
        <v>2.1513318284424381</v>
      </c>
      <c r="X90" t="s">
        <v>27</v>
      </c>
      <c r="Z90" s="4">
        <v>11.315973533770949</v>
      </c>
      <c r="AB90" s="4">
        <v>28.345512514693787</v>
      </c>
    </row>
    <row r="91" spans="4:28" x14ac:dyDescent="0.25">
      <c r="D91"/>
      <c r="I91" s="2">
        <v>45100</v>
      </c>
      <c r="J91">
        <v>33</v>
      </c>
      <c r="K91">
        <v>2.0202257336343115</v>
      </c>
      <c r="L91">
        <v>2.0202257336343115</v>
      </c>
      <c r="M91">
        <v>2.0202257336343115</v>
      </c>
      <c r="N91">
        <v>2.0202257336343115</v>
      </c>
      <c r="O91">
        <v>2.0202257336343115</v>
      </c>
      <c r="P91">
        <f t="shared" si="115"/>
        <v>2.0202257336343115</v>
      </c>
      <c r="X91" t="s">
        <v>28</v>
      </c>
      <c r="Z91" s="4">
        <v>150.75203162068263</v>
      </c>
      <c r="AB91" s="4">
        <v>376.23372736925677</v>
      </c>
    </row>
    <row r="92" spans="4:28" x14ac:dyDescent="0.25">
      <c r="D92"/>
      <c r="I92" s="2">
        <v>45101</v>
      </c>
      <c r="J92">
        <v>34</v>
      </c>
      <c r="K92">
        <v>2.1910609480812644</v>
      </c>
      <c r="L92">
        <v>2.1910609480812644</v>
      </c>
      <c r="M92">
        <v>2.1910609480812644</v>
      </c>
      <c r="N92">
        <v>2.1910609480812644</v>
      </c>
      <c r="O92">
        <v>2.1910609480812644</v>
      </c>
      <c r="P92">
        <f t="shared" si="115"/>
        <v>2.1910609480812644</v>
      </c>
      <c r="X92" t="s">
        <v>29</v>
      </c>
      <c r="Z92" s="4">
        <v>101.57766654957601</v>
      </c>
      <c r="AB92" s="4">
        <v>249.90262297498845</v>
      </c>
    </row>
    <row r="93" spans="4:28" x14ac:dyDescent="0.25">
      <c r="D93"/>
      <c r="I93" s="2">
        <v>45102</v>
      </c>
      <c r="J93">
        <v>35</v>
      </c>
      <c r="K93">
        <v>2.5943115124153504</v>
      </c>
      <c r="L93">
        <v>2.5943115124153504</v>
      </c>
      <c r="M93">
        <v>2.5943115124153504</v>
      </c>
      <c r="N93">
        <v>2.5943115124153504</v>
      </c>
      <c r="O93">
        <v>2.5943115124153504</v>
      </c>
      <c r="P93">
        <f t="shared" si="115"/>
        <v>2.5943115124153504</v>
      </c>
      <c r="X93" t="s">
        <v>30</v>
      </c>
      <c r="Z93" s="4">
        <v>73.066821751809954</v>
      </c>
      <c r="AB93" s="4">
        <v>177.67156365990112</v>
      </c>
    </row>
    <row r="94" spans="4:28" x14ac:dyDescent="0.25">
      <c r="D94"/>
      <c r="H94" t="s">
        <v>47</v>
      </c>
      <c r="I94" s="2">
        <v>45103</v>
      </c>
      <c r="J94">
        <v>36</v>
      </c>
      <c r="K94">
        <v>0.5264108352144472</v>
      </c>
      <c r="L94">
        <v>0.66546275395033816</v>
      </c>
      <c r="M94">
        <v>2.552595936794583</v>
      </c>
      <c r="N94">
        <v>1.2216704288939053</v>
      </c>
      <c r="O94">
        <v>2.3638826185101585</v>
      </c>
      <c r="Q94">
        <v>45</v>
      </c>
      <c r="R94">
        <v>37</v>
      </c>
      <c r="S94">
        <v>37.200000000000003</v>
      </c>
      <c r="T94">
        <v>44.3</v>
      </c>
      <c r="X94" t="s">
        <v>31</v>
      </c>
      <c r="Z94" s="4">
        <v>42.814314617081841</v>
      </c>
      <c r="AB94" s="4">
        <v>104.4469803497184</v>
      </c>
    </row>
    <row r="95" spans="4:28" x14ac:dyDescent="0.25">
      <c r="D95"/>
      <c r="I95" s="2">
        <v>45104</v>
      </c>
      <c r="J95">
        <v>37</v>
      </c>
      <c r="K95">
        <v>0.49661399548532692</v>
      </c>
      <c r="L95">
        <v>0.40722347629796901</v>
      </c>
      <c r="M95">
        <v>0.88397291196388239</v>
      </c>
      <c r="N95">
        <v>0.88397291196388328</v>
      </c>
      <c r="O95">
        <v>1.3309255079006772</v>
      </c>
      <c r="X95" t="s">
        <v>32</v>
      </c>
      <c r="Z95" s="4">
        <v>46.154457800349576</v>
      </c>
      <c r="AB95" s="4">
        <v>113.46696474981863</v>
      </c>
    </row>
    <row r="96" spans="4:28" x14ac:dyDescent="0.25">
      <c r="D96"/>
      <c r="I96" s="2">
        <v>45105</v>
      </c>
      <c r="J96">
        <v>38</v>
      </c>
      <c r="K96">
        <v>1.8970654627539505</v>
      </c>
      <c r="L96">
        <v>2.0063205417607226</v>
      </c>
      <c r="M96">
        <v>1.3507900677200906</v>
      </c>
      <c r="N96">
        <v>2.0758465011286682</v>
      </c>
      <c r="O96">
        <v>1.8474040632054172</v>
      </c>
      <c r="Q96">
        <v>42</v>
      </c>
      <c r="R96">
        <v>33.799999999999997</v>
      </c>
      <c r="S96">
        <v>35.799999999999997</v>
      </c>
      <c r="T96">
        <v>40</v>
      </c>
    </row>
    <row r="97" spans="4:20" x14ac:dyDescent="0.25">
      <c r="D97"/>
      <c r="I97" s="2">
        <v>45106</v>
      </c>
      <c r="J97">
        <v>39</v>
      </c>
      <c r="K97">
        <v>0.87404063205417559</v>
      </c>
      <c r="L97">
        <v>0.63566591422121954</v>
      </c>
      <c r="M97">
        <v>2.6320541760722347</v>
      </c>
      <c r="N97">
        <v>1.4997742663656892</v>
      </c>
      <c r="O97">
        <v>1.9069977426636571</v>
      </c>
    </row>
    <row r="98" spans="4:20" x14ac:dyDescent="0.25">
      <c r="D98"/>
      <c r="I98" s="2">
        <v>45107</v>
      </c>
      <c r="J98">
        <v>40</v>
      </c>
      <c r="K98">
        <v>1.9169300225733636</v>
      </c>
      <c r="L98">
        <v>2.2943566591422124</v>
      </c>
      <c r="M98">
        <v>2.1851015801354401</v>
      </c>
      <c r="N98">
        <v>1.0925507900677203</v>
      </c>
      <c r="O98">
        <v>1.5196388261851015</v>
      </c>
      <c r="Q98">
        <v>43.3</v>
      </c>
      <c r="R98">
        <v>36</v>
      </c>
      <c r="S98">
        <v>36.6</v>
      </c>
      <c r="T98">
        <v>39.799999999999997</v>
      </c>
    </row>
    <row r="99" spans="4:20" x14ac:dyDescent="0.25">
      <c r="D99"/>
      <c r="I99" s="2">
        <v>45108</v>
      </c>
      <c r="J99">
        <v>41</v>
      </c>
      <c r="K99">
        <v>1.4997742663656892</v>
      </c>
      <c r="L99">
        <v>0.74492099322799099</v>
      </c>
      <c r="M99">
        <v>2.2744920993227993</v>
      </c>
      <c r="N99">
        <v>0.95349887133182853</v>
      </c>
      <c r="O99">
        <v>2.3638826185101585</v>
      </c>
    </row>
    <row r="100" spans="4:20" x14ac:dyDescent="0.25">
      <c r="D100"/>
      <c r="I100" s="2">
        <v>45109</v>
      </c>
      <c r="J100">
        <v>42</v>
      </c>
      <c r="K100">
        <v>2.2744920993227993</v>
      </c>
      <c r="L100">
        <v>3.8437923250564343</v>
      </c>
      <c r="M100">
        <v>2.1155756207674945</v>
      </c>
      <c r="N100">
        <v>1.9665914221218967</v>
      </c>
      <c r="O100">
        <v>1.340857787810384</v>
      </c>
    </row>
    <row r="101" spans="4:20" x14ac:dyDescent="0.25">
      <c r="D101"/>
      <c r="H101" t="s">
        <v>48</v>
      </c>
      <c r="I101" s="2">
        <v>45110</v>
      </c>
      <c r="J101">
        <v>43</v>
      </c>
      <c r="K101">
        <v>3.3551241534988718</v>
      </c>
      <c r="L101">
        <v>3.3551241534988718</v>
      </c>
      <c r="M101">
        <v>3.3551241534988718</v>
      </c>
      <c r="N101">
        <v>3.3551241534988718</v>
      </c>
      <c r="O101">
        <v>3.3551241534988718</v>
      </c>
      <c r="P101">
        <f t="shared" ref="P101:P114" si="116">AVERAGE(L101:O101)</f>
        <v>3.3551241534988718</v>
      </c>
      <c r="Q101">
        <v>47</v>
      </c>
      <c r="R101">
        <v>32.799999999999997</v>
      </c>
      <c r="S101">
        <v>37.6</v>
      </c>
      <c r="T101">
        <v>41.2</v>
      </c>
    </row>
    <row r="102" spans="4:20" x14ac:dyDescent="0.25">
      <c r="D102"/>
      <c r="I102" s="2">
        <v>45111</v>
      </c>
      <c r="J102">
        <v>44</v>
      </c>
      <c r="K102">
        <v>3.3511512415349891</v>
      </c>
      <c r="L102">
        <v>3.3511512415349891</v>
      </c>
      <c r="M102">
        <v>3.3511512415349891</v>
      </c>
      <c r="N102">
        <v>3.3511512415349891</v>
      </c>
      <c r="O102">
        <v>3.3511512415349891</v>
      </c>
      <c r="P102">
        <f t="shared" si="116"/>
        <v>3.3511512415349891</v>
      </c>
    </row>
    <row r="103" spans="4:20" x14ac:dyDescent="0.25">
      <c r="D103"/>
      <c r="I103" s="2">
        <v>45112</v>
      </c>
      <c r="J103">
        <v>45</v>
      </c>
      <c r="K103">
        <v>1.9447404063205418</v>
      </c>
      <c r="L103">
        <v>1.9447404063205418</v>
      </c>
      <c r="M103">
        <v>1.9447404063205418</v>
      </c>
      <c r="N103">
        <v>1.9447404063205418</v>
      </c>
      <c r="O103">
        <v>1.9447404063205418</v>
      </c>
      <c r="P103">
        <f t="shared" si="116"/>
        <v>1.9447404063205418</v>
      </c>
      <c r="Q103">
        <v>45.2</v>
      </c>
      <c r="R103">
        <v>33.6</v>
      </c>
      <c r="S103">
        <v>37.200000000000003</v>
      </c>
      <c r="T103">
        <v>40.200000000000003</v>
      </c>
    </row>
    <row r="104" spans="4:20" x14ac:dyDescent="0.25">
      <c r="D104"/>
      <c r="I104" s="2">
        <v>45113</v>
      </c>
      <c r="J104">
        <v>46</v>
      </c>
      <c r="K104">
        <v>2.022212189616253</v>
      </c>
      <c r="L104">
        <v>2.022212189616253</v>
      </c>
      <c r="M104">
        <v>2.022212189616253</v>
      </c>
      <c r="N104">
        <v>2.022212189616253</v>
      </c>
      <c r="O104">
        <v>2.022212189616253</v>
      </c>
      <c r="P104">
        <f t="shared" si="116"/>
        <v>2.022212189616253</v>
      </c>
    </row>
    <row r="105" spans="4:20" x14ac:dyDescent="0.25">
      <c r="D105"/>
      <c r="I105" s="2">
        <v>45114</v>
      </c>
      <c r="J105">
        <v>47</v>
      </c>
      <c r="K105">
        <v>2.0957110609480814</v>
      </c>
      <c r="L105">
        <v>2.0957110609480814</v>
      </c>
      <c r="M105">
        <v>2.0957110609480814</v>
      </c>
      <c r="N105">
        <v>2.0957110609480814</v>
      </c>
      <c r="O105">
        <v>2.0957110609480814</v>
      </c>
      <c r="P105">
        <f t="shared" si="116"/>
        <v>2.0957110609480814</v>
      </c>
      <c r="Q105">
        <v>47</v>
      </c>
      <c r="R105">
        <v>35.6</v>
      </c>
      <c r="S105">
        <v>39.200000000000003</v>
      </c>
      <c r="T105">
        <v>42.4</v>
      </c>
    </row>
    <row r="106" spans="4:20" x14ac:dyDescent="0.25">
      <c r="D106"/>
      <c r="I106" s="2">
        <v>45115</v>
      </c>
      <c r="J106">
        <v>48</v>
      </c>
      <c r="K106">
        <v>2.0341309255079008</v>
      </c>
      <c r="L106">
        <v>2.0341309255079008</v>
      </c>
      <c r="M106">
        <v>2.0341309255079008</v>
      </c>
      <c r="N106">
        <v>2.0341309255079008</v>
      </c>
      <c r="O106">
        <v>2.0341309255079008</v>
      </c>
      <c r="P106">
        <f t="shared" si="116"/>
        <v>2.0341309255079008</v>
      </c>
    </row>
    <row r="107" spans="4:20" x14ac:dyDescent="0.25">
      <c r="D107"/>
      <c r="I107" s="2">
        <v>45116</v>
      </c>
      <c r="J107">
        <v>49</v>
      </c>
      <c r="K107">
        <v>2.5406772009029344</v>
      </c>
      <c r="L107">
        <v>2.5406772009029344</v>
      </c>
      <c r="M107">
        <v>2.5406772009029344</v>
      </c>
      <c r="N107">
        <v>2.5406772009029344</v>
      </c>
      <c r="O107">
        <v>2.5406772009029344</v>
      </c>
      <c r="P107">
        <f t="shared" si="116"/>
        <v>2.5406772009029344</v>
      </c>
    </row>
    <row r="108" spans="4:20" x14ac:dyDescent="0.25">
      <c r="D108"/>
      <c r="H108" t="s">
        <v>49</v>
      </c>
      <c r="I108" s="2">
        <v>45117</v>
      </c>
      <c r="J108">
        <v>50</v>
      </c>
      <c r="K108">
        <v>1.8613092550790067</v>
      </c>
      <c r="L108">
        <v>1.8613092550790067</v>
      </c>
      <c r="M108">
        <v>1.8613092550790067</v>
      </c>
      <c r="N108">
        <v>1.8613092550790067</v>
      </c>
      <c r="O108">
        <v>1.8613092550790067</v>
      </c>
      <c r="P108">
        <f t="shared" si="116"/>
        <v>1.8613092550790067</v>
      </c>
    </row>
    <row r="109" spans="4:20" x14ac:dyDescent="0.25">
      <c r="D109"/>
      <c r="I109" s="2">
        <v>45118</v>
      </c>
      <c r="J109">
        <v>51</v>
      </c>
      <c r="K109">
        <v>1.4223024830699775</v>
      </c>
      <c r="L109">
        <v>1.4223024830699775</v>
      </c>
      <c r="M109">
        <v>1.4223024830699775</v>
      </c>
      <c r="N109">
        <v>1.4223024830699775</v>
      </c>
      <c r="O109">
        <v>1.4223024830699775</v>
      </c>
      <c r="P109">
        <f t="shared" si="116"/>
        <v>1.4223024830699775</v>
      </c>
    </row>
    <row r="110" spans="4:20" x14ac:dyDescent="0.25">
      <c r="D110"/>
      <c r="I110" s="2">
        <v>45119</v>
      </c>
      <c r="J110">
        <v>52</v>
      </c>
      <c r="K110">
        <v>1.1004966139954855</v>
      </c>
      <c r="L110">
        <v>1.1004966139954855</v>
      </c>
      <c r="M110">
        <v>1.1004966139954855</v>
      </c>
      <c r="N110">
        <v>1.1004966139954855</v>
      </c>
      <c r="O110">
        <v>1.1004966139954855</v>
      </c>
      <c r="P110">
        <f t="shared" si="116"/>
        <v>1.1004966139954855</v>
      </c>
      <c r="Q110">
        <v>46.6</v>
      </c>
      <c r="R110">
        <v>36</v>
      </c>
      <c r="S110">
        <v>38.6</v>
      </c>
      <c r="T110">
        <v>41.4</v>
      </c>
    </row>
    <row r="111" spans="4:20" x14ac:dyDescent="0.25">
      <c r="D111"/>
      <c r="I111" s="2">
        <v>45120</v>
      </c>
      <c r="J111">
        <v>53</v>
      </c>
      <c r="K111">
        <v>2.5406772009029344</v>
      </c>
      <c r="L111">
        <v>2.5406772009029344</v>
      </c>
      <c r="M111">
        <v>2.5406772009029344</v>
      </c>
      <c r="N111">
        <v>2.5406772009029344</v>
      </c>
      <c r="O111">
        <v>2.5406772009029344</v>
      </c>
      <c r="P111">
        <f t="shared" si="116"/>
        <v>2.5406772009029344</v>
      </c>
    </row>
    <row r="112" spans="4:20" x14ac:dyDescent="0.25">
      <c r="D112"/>
      <c r="I112" s="2">
        <v>45121</v>
      </c>
      <c r="J112">
        <v>54</v>
      </c>
      <c r="K112">
        <v>2.0341309255079008</v>
      </c>
      <c r="L112">
        <v>2.0341309255079008</v>
      </c>
      <c r="M112">
        <v>2.0341309255079008</v>
      </c>
      <c r="N112">
        <v>2.0341309255079008</v>
      </c>
      <c r="O112">
        <v>2.0341309255079008</v>
      </c>
      <c r="P112">
        <f t="shared" si="116"/>
        <v>2.0341309255079008</v>
      </c>
    </row>
    <row r="113" spans="4:20" x14ac:dyDescent="0.25">
      <c r="D113"/>
      <c r="I113" s="2">
        <v>45122</v>
      </c>
      <c r="J113">
        <v>55</v>
      </c>
      <c r="K113">
        <v>2.2228442437923253</v>
      </c>
      <c r="L113">
        <v>2.2228442437923253</v>
      </c>
      <c r="M113">
        <v>2.2228442437923253</v>
      </c>
      <c r="N113">
        <v>2.2228442437923253</v>
      </c>
      <c r="O113">
        <v>2.2228442437923253</v>
      </c>
      <c r="P113">
        <f t="shared" si="116"/>
        <v>2.2228442437923253</v>
      </c>
    </row>
    <row r="114" spans="4:20" x14ac:dyDescent="0.25">
      <c r="D114"/>
      <c r="I114" s="2">
        <v>45123</v>
      </c>
      <c r="J114">
        <v>56</v>
      </c>
      <c r="K114">
        <v>1.5414898419864562</v>
      </c>
      <c r="L114">
        <v>1.5414898419864562</v>
      </c>
      <c r="M114">
        <v>1.5414898419864562</v>
      </c>
      <c r="N114">
        <v>1.5414898419864562</v>
      </c>
      <c r="O114">
        <v>1.5414898419864562</v>
      </c>
      <c r="P114">
        <f t="shared" si="116"/>
        <v>1.5414898419864562</v>
      </c>
    </row>
    <row r="115" spans="4:20" x14ac:dyDescent="0.25">
      <c r="D115"/>
      <c r="H115" t="s">
        <v>50</v>
      </c>
      <c r="I115" s="2">
        <v>45124</v>
      </c>
      <c r="J115">
        <v>57</v>
      </c>
      <c r="K115">
        <v>0.93363431151241583</v>
      </c>
      <c r="L115">
        <v>2.0758465011286686</v>
      </c>
      <c r="M115">
        <v>1.9963882618510158</v>
      </c>
      <c r="N115">
        <v>2.1652370203160278</v>
      </c>
      <c r="O115">
        <v>2.0460496613995489</v>
      </c>
      <c r="Q115">
        <v>45</v>
      </c>
      <c r="R115">
        <v>36.799999999999997</v>
      </c>
      <c r="S115">
        <v>38</v>
      </c>
      <c r="T115">
        <v>40.799999999999997</v>
      </c>
    </row>
    <row r="116" spans="4:20" x14ac:dyDescent="0.25">
      <c r="D116"/>
      <c r="I116" s="2">
        <v>45125</v>
      </c>
      <c r="J116">
        <v>58</v>
      </c>
      <c r="K116">
        <v>0.65553047404063225</v>
      </c>
      <c r="L116">
        <v>1.8970654627539512</v>
      </c>
      <c r="M116">
        <v>3.0492099322799096</v>
      </c>
      <c r="N116">
        <v>1.6388261851015806</v>
      </c>
      <c r="O116">
        <v>1.807674943566592</v>
      </c>
    </row>
    <row r="117" spans="4:20" x14ac:dyDescent="0.25">
      <c r="D117"/>
      <c r="I117" s="2">
        <v>45126</v>
      </c>
      <c r="J117">
        <v>59</v>
      </c>
      <c r="K117">
        <v>1.8871331828442441</v>
      </c>
      <c r="L117">
        <v>3.863656884875847</v>
      </c>
      <c r="M117">
        <v>1.9864559819413095</v>
      </c>
      <c r="N117">
        <v>2.234762979683973</v>
      </c>
      <c r="O117">
        <v>1.8970654627539507</v>
      </c>
      <c r="Q117">
        <v>49.4</v>
      </c>
      <c r="R117">
        <v>38.4</v>
      </c>
      <c r="S117">
        <v>38.200000000000003</v>
      </c>
      <c r="T117">
        <v>41.2</v>
      </c>
    </row>
    <row r="118" spans="4:20" x14ac:dyDescent="0.25">
      <c r="D118"/>
      <c r="I118" s="2">
        <v>45127</v>
      </c>
      <c r="J118">
        <v>60</v>
      </c>
      <c r="K118">
        <v>2.2049661399548532</v>
      </c>
      <c r="L118">
        <v>3.7544018058690738</v>
      </c>
      <c r="M118">
        <v>2.0559819413092555</v>
      </c>
      <c r="N118">
        <v>0.40722347629796812</v>
      </c>
      <c r="O118">
        <v>2.1652370203160274</v>
      </c>
    </row>
    <row r="119" spans="4:20" x14ac:dyDescent="0.25">
      <c r="D119"/>
      <c r="I119" s="2">
        <v>45128</v>
      </c>
      <c r="J119">
        <v>61</v>
      </c>
      <c r="K119">
        <v>2.2049661399548532</v>
      </c>
      <c r="L119">
        <v>2.304288939051919</v>
      </c>
      <c r="M119">
        <v>2.1851015801354405</v>
      </c>
      <c r="N119">
        <v>2.0063205417607231</v>
      </c>
      <c r="O119">
        <v>2.2248306997742664</v>
      </c>
      <c r="Q119">
        <v>50.6</v>
      </c>
      <c r="R119">
        <v>37.200000000000003</v>
      </c>
      <c r="S119">
        <v>37</v>
      </c>
      <c r="T119">
        <v>40</v>
      </c>
    </row>
    <row r="120" spans="4:20" x14ac:dyDescent="0.25">
      <c r="D120"/>
      <c r="I120" s="2">
        <v>45129</v>
      </c>
      <c r="J120">
        <v>62</v>
      </c>
      <c r="K120">
        <v>1.7480812641083523</v>
      </c>
      <c r="L120">
        <v>3.863656884875847</v>
      </c>
      <c r="M120">
        <v>1.9566591422121897</v>
      </c>
      <c r="N120">
        <v>1.9467268623024836</v>
      </c>
      <c r="O120">
        <v>2.2844243792325063</v>
      </c>
    </row>
    <row r="121" spans="4:20" x14ac:dyDescent="0.25">
      <c r="D121"/>
      <c r="I121" s="2">
        <v>45130</v>
      </c>
      <c r="J121">
        <v>63</v>
      </c>
      <c r="K121">
        <v>2.0758465011286682</v>
      </c>
      <c r="L121">
        <v>3.1683972911963885</v>
      </c>
      <c r="M121">
        <v>3.3372460496613994</v>
      </c>
      <c r="N121">
        <v>1.9765237020316031</v>
      </c>
      <c r="O121">
        <v>2.1553047404063213</v>
      </c>
    </row>
    <row r="122" spans="4:20" x14ac:dyDescent="0.25">
      <c r="D122"/>
      <c r="H122" t="s">
        <v>51</v>
      </c>
      <c r="I122" s="2">
        <v>45131</v>
      </c>
      <c r="J122">
        <v>64</v>
      </c>
      <c r="K122">
        <v>2.6062302483069977</v>
      </c>
      <c r="L122">
        <v>2.6062302483069977</v>
      </c>
      <c r="M122">
        <v>2.6062302483069977</v>
      </c>
      <c r="N122">
        <v>2.6062302483069977</v>
      </c>
      <c r="O122">
        <v>2.6062302483069977</v>
      </c>
      <c r="P122">
        <f t="shared" ref="P122:P185" si="117">AVERAGE(L122:O122)</f>
        <v>2.6062302483069977</v>
      </c>
      <c r="Q122">
        <v>48.4</v>
      </c>
      <c r="R122">
        <v>37.799999999999997</v>
      </c>
      <c r="S122">
        <v>39.4</v>
      </c>
      <c r="T122">
        <v>42.6</v>
      </c>
    </row>
    <row r="123" spans="4:20" x14ac:dyDescent="0.25">
      <c r="D123"/>
      <c r="I123" s="2">
        <v>45132</v>
      </c>
      <c r="J123">
        <v>65</v>
      </c>
      <c r="K123">
        <v>2.1076297968397291</v>
      </c>
      <c r="L123">
        <v>2.1076297968397291</v>
      </c>
      <c r="M123">
        <v>2.1076297968397291</v>
      </c>
      <c r="N123">
        <v>2.1076297968397291</v>
      </c>
      <c r="O123">
        <v>2.1076297968397291</v>
      </c>
      <c r="P123">
        <f t="shared" si="117"/>
        <v>2.1076297968397291</v>
      </c>
    </row>
    <row r="124" spans="4:20" x14ac:dyDescent="0.25">
      <c r="D124"/>
      <c r="I124" s="2">
        <v>45133</v>
      </c>
      <c r="J124">
        <v>66</v>
      </c>
      <c r="K124">
        <v>2.022212189616253</v>
      </c>
      <c r="L124">
        <v>2.022212189616253</v>
      </c>
      <c r="M124">
        <v>2.022212189616253</v>
      </c>
      <c r="N124">
        <v>2.022212189616253</v>
      </c>
      <c r="O124">
        <v>2.022212189616253</v>
      </c>
      <c r="P124">
        <f t="shared" si="117"/>
        <v>2.022212189616253</v>
      </c>
      <c r="Q124">
        <v>48.8</v>
      </c>
      <c r="R124">
        <v>36.799999999999997</v>
      </c>
      <c r="S124">
        <v>37.4</v>
      </c>
      <c r="T124">
        <v>42.2</v>
      </c>
    </row>
    <row r="125" spans="4:20" x14ac:dyDescent="0.25">
      <c r="D125"/>
      <c r="I125" s="2">
        <v>45134</v>
      </c>
      <c r="J125">
        <v>67</v>
      </c>
      <c r="K125">
        <v>2.1553047404063213</v>
      </c>
      <c r="L125">
        <v>2.1553047404063213</v>
      </c>
      <c r="M125">
        <v>2.1553047404063213</v>
      </c>
      <c r="N125">
        <v>2.1553047404063213</v>
      </c>
      <c r="O125">
        <v>2.1553047404063213</v>
      </c>
      <c r="P125">
        <f t="shared" si="117"/>
        <v>2.1553047404063213</v>
      </c>
    </row>
    <row r="126" spans="4:20" x14ac:dyDescent="0.25">
      <c r="D126"/>
      <c r="I126" s="2">
        <v>45135</v>
      </c>
      <c r="J126">
        <v>68</v>
      </c>
      <c r="K126">
        <v>2.3678555304740412</v>
      </c>
      <c r="L126">
        <v>2.3678555304740412</v>
      </c>
      <c r="M126">
        <v>2.3678555304740412</v>
      </c>
      <c r="N126">
        <v>2.3678555304740412</v>
      </c>
      <c r="O126">
        <v>2.3678555304740412</v>
      </c>
      <c r="P126">
        <f t="shared" si="117"/>
        <v>2.3678555304740412</v>
      </c>
      <c r="Q126">
        <v>48.8</v>
      </c>
      <c r="R126">
        <v>37.6</v>
      </c>
      <c r="S126">
        <v>39.200000000000003</v>
      </c>
      <c r="T126">
        <v>43.2</v>
      </c>
    </row>
    <row r="127" spans="4:20" x14ac:dyDescent="0.25">
      <c r="D127"/>
      <c r="I127" s="2">
        <v>45136</v>
      </c>
      <c r="J127">
        <v>69</v>
      </c>
      <c r="K127">
        <v>2.3996388261851012</v>
      </c>
      <c r="L127">
        <v>2.3996388261851012</v>
      </c>
      <c r="M127">
        <v>2.3996388261851012</v>
      </c>
      <c r="N127">
        <v>2.3996388261851012</v>
      </c>
      <c r="O127">
        <v>2.3996388261851012</v>
      </c>
      <c r="P127">
        <f t="shared" si="117"/>
        <v>2.3996388261851012</v>
      </c>
    </row>
    <row r="128" spans="4:20" x14ac:dyDescent="0.25">
      <c r="D128"/>
      <c r="I128" s="2">
        <v>45137</v>
      </c>
      <c r="J128">
        <v>70</v>
      </c>
      <c r="K128">
        <v>1.9387810383747179</v>
      </c>
      <c r="L128">
        <v>1.9387810383747179</v>
      </c>
      <c r="M128">
        <v>1.9387810383747179</v>
      </c>
      <c r="N128">
        <v>1.9387810383747179</v>
      </c>
      <c r="O128">
        <v>1.9387810383747179</v>
      </c>
      <c r="P128">
        <f t="shared" si="117"/>
        <v>1.9387810383747179</v>
      </c>
    </row>
    <row r="129" spans="4:20" x14ac:dyDescent="0.25">
      <c r="D129"/>
      <c r="H129" t="s">
        <v>52</v>
      </c>
      <c r="I129" s="2">
        <v>45138</v>
      </c>
      <c r="J129">
        <v>71</v>
      </c>
      <c r="K129">
        <v>2.0361173814898423</v>
      </c>
      <c r="L129">
        <v>2.0361173814898423</v>
      </c>
      <c r="M129">
        <v>2.0361173814898423</v>
      </c>
      <c r="N129">
        <v>2.0361173814898423</v>
      </c>
      <c r="O129">
        <v>2.0361173814898423</v>
      </c>
      <c r="P129">
        <f t="shared" si="117"/>
        <v>2.0361173814898423</v>
      </c>
    </row>
    <row r="130" spans="4:20" x14ac:dyDescent="0.25">
      <c r="D130"/>
      <c r="I130" s="2">
        <v>45139</v>
      </c>
      <c r="J130">
        <v>72</v>
      </c>
      <c r="K130">
        <v>1.8732279909706548</v>
      </c>
      <c r="L130">
        <v>1.8732279909706548</v>
      </c>
      <c r="M130">
        <v>1.8732279909706548</v>
      </c>
      <c r="N130">
        <v>1.8732279909706548</v>
      </c>
      <c r="O130">
        <v>1.8732279909706548</v>
      </c>
      <c r="P130">
        <f t="shared" si="117"/>
        <v>1.8732279909706548</v>
      </c>
    </row>
    <row r="131" spans="4:20" x14ac:dyDescent="0.25">
      <c r="D131"/>
      <c r="I131" s="2">
        <v>45140</v>
      </c>
      <c r="J131">
        <v>73</v>
      </c>
      <c r="K131">
        <v>2.2208577878103841</v>
      </c>
      <c r="L131">
        <v>2.2208577878103841</v>
      </c>
      <c r="M131">
        <v>2.2208577878103841</v>
      </c>
      <c r="N131">
        <v>2.2208577878103841</v>
      </c>
      <c r="O131">
        <v>2.2208577878103841</v>
      </c>
      <c r="P131">
        <f t="shared" si="117"/>
        <v>2.2208577878103841</v>
      </c>
      <c r="Q131">
        <v>47.4</v>
      </c>
      <c r="R131">
        <v>35.799999999999997</v>
      </c>
      <c r="S131">
        <v>38.4</v>
      </c>
      <c r="T131">
        <v>41</v>
      </c>
    </row>
    <row r="132" spans="4:20" x14ac:dyDescent="0.25">
      <c r="D132"/>
      <c r="I132" s="2">
        <v>45141</v>
      </c>
      <c r="J132">
        <v>74</v>
      </c>
      <c r="K132">
        <v>1.9427539503386009</v>
      </c>
      <c r="L132">
        <v>1.9427539503386009</v>
      </c>
      <c r="M132">
        <v>1.9427539503386009</v>
      </c>
      <c r="N132">
        <v>1.9427539503386009</v>
      </c>
      <c r="O132">
        <v>1.9427539503386009</v>
      </c>
      <c r="P132">
        <f t="shared" si="117"/>
        <v>1.9427539503386009</v>
      </c>
    </row>
    <row r="133" spans="4:20" x14ac:dyDescent="0.25">
      <c r="D133"/>
      <c r="I133" s="2">
        <v>45142</v>
      </c>
      <c r="J133">
        <v>75</v>
      </c>
      <c r="K133">
        <v>1.8672686230248305</v>
      </c>
      <c r="L133">
        <v>1.8672686230248305</v>
      </c>
      <c r="M133">
        <v>1.8672686230248305</v>
      </c>
      <c r="N133">
        <v>1.8672686230248305</v>
      </c>
      <c r="O133">
        <v>1.8672686230248305</v>
      </c>
      <c r="P133">
        <f t="shared" si="117"/>
        <v>1.8672686230248305</v>
      </c>
    </row>
    <row r="134" spans="4:20" x14ac:dyDescent="0.25">
      <c r="D134"/>
      <c r="I134" s="2">
        <v>45143</v>
      </c>
      <c r="J134">
        <v>76</v>
      </c>
      <c r="K134">
        <v>1.9665914221218965</v>
      </c>
      <c r="L134">
        <v>1.9665914221218965</v>
      </c>
      <c r="M134">
        <v>1.9665914221218965</v>
      </c>
      <c r="N134">
        <v>1.9665914221218965</v>
      </c>
      <c r="O134">
        <v>1.9665914221218965</v>
      </c>
      <c r="P134">
        <f t="shared" si="117"/>
        <v>1.9665914221218965</v>
      </c>
    </row>
    <row r="135" spans="4:20" x14ac:dyDescent="0.25">
      <c r="D135"/>
      <c r="I135" s="2">
        <v>45144</v>
      </c>
      <c r="J135">
        <v>77</v>
      </c>
      <c r="K135">
        <v>2.1413995485327315</v>
      </c>
      <c r="L135">
        <v>2.1413995485327315</v>
      </c>
      <c r="M135">
        <v>2.1413995485327315</v>
      </c>
      <c r="N135">
        <v>2.1413995485327315</v>
      </c>
      <c r="O135">
        <v>2.1413995485327315</v>
      </c>
      <c r="P135">
        <f t="shared" si="117"/>
        <v>2.1413995485327315</v>
      </c>
    </row>
    <row r="136" spans="4:20" x14ac:dyDescent="0.25">
      <c r="D136"/>
      <c r="H136" t="s">
        <v>53</v>
      </c>
      <c r="I136" s="2">
        <v>45145</v>
      </c>
      <c r="J136">
        <v>78</v>
      </c>
      <c r="K136">
        <v>2.1970203160270882</v>
      </c>
      <c r="L136">
        <v>2.1970203160270882</v>
      </c>
      <c r="M136">
        <v>2.1970203160270882</v>
      </c>
      <c r="N136">
        <v>2.1970203160270882</v>
      </c>
      <c r="O136">
        <v>2.1970203160270882</v>
      </c>
      <c r="P136">
        <f t="shared" si="117"/>
        <v>2.1970203160270882</v>
      </c>
    </row>
    <row r="137" spans="4:20" x14ac:dyDescent="0.25">
      <c r="D137"/>
      <c r="I137" s="2">
        <v>45146</v>
      </c>
      <c r="J137">
        <v>79</v>
      </c>
      <c r="K137">
        <v>2.4135440180586909</v>
      </c>
      <c r="L137">
        <v>2.4135440180586909</v>
      </c>
      <c r="M137">
        <v>2.4135440180586909</v>
      </c>
      <c r="N137">
        <v>2.4135440180586909</v>
      </c>
      <c r="O137">
        <v>2.4135440180586909</v>
      </c>
      <c r="P137">
        <f t="shared" si="117"/>
        <v>2.4135440180586909</v>
      </c>
    </row>
    <row r="138" spans="4:20" x14ac:dyDescent="0.25">
      <c r="D138"/>
      <c r="I138" s="2">
        <v>45147</v>
      </c>
      <c r="J138">
        <v>80</v>
      </c>
      <c r="K138">
        <v>1.8791873589164787</v>
      </c>
      <c r="L138">
        <v>1.8791873589164787</v>
      </c>
      <c r="M138">
        <v>1.8791873589164787</v>
      </c>
      <c r="N138">
        <v>1.8791873589164787</v>
      </c>
      <c r="O138">
        <v>1.8791873589164787</v>
      </c>
      <c r="P138">
        <f t="shared" si="117"/>
        <v>1.8791873589164787</v>
      </c>
      <c r="Q138">
        <v>49.4</v>
      </c>
      <c r="R138">
        <v>37</v>
      </c>
      <c r="S138">
        <v>39.200000000000003</v>
      </c>
      <c r="T138">
        <v>43</v>
      </c>
    </row>
    <row r="139" spans="4:20" x14ac:dyDescent="0.25">
      <c r="D139"/>
      <c r="I139" s="2">
        <v>45148</v>
      </c>
      <c r="J139">
        <v>81</v>
      </c>
      <c r="K139">
        <v>1.9983747178329572</v>
      </c>
      <c r="L139">
        <v>1.9983747178329572</v>
      </c>
      <c r="M139">
        <v>1.9983747178329572</v>
      </c>
      <c r="N139">
        <v>1.9983747178329572</v>
      </c>
      <c r="O139">
        <v>1.9983747178329572</v>
      </c>
      <c r="P139">
        <f t="shared" si="117"/>
        <v>1.9983747178329572</v>
      </c>
    </row>
    <row r="140" spans="4:20" x14ac:dyDescent="0.25">
      <c r="D140"/>
      <c r="I140" s="2">
        <v>45149</v>
      </c>
      <c r="J140">
        <v>82</v>
      </c>
      <c r="K140">
        <v>2.3042889390519194</v>
      </c>
      <c r="L140">
        <v>2.3042889390519194</v>
      </c>
      <c r="M140">
        <v>2.3042889390519194</v>
      </c>
      <c r="N140">
        <v>2.3042889390519194</v>
      </c>
      <c r="O140">
        <v>2.3042889390519194</v>
      </c>
      <c r="P140">
        <f t="shared" si="117"/>
        <v>2.3042889390519194</v>
      </c>
    </row>
    <row r="141" spans="4:20" x14ac:dyDescent="0.25">
      <c r="D141"/>
      <c r="I141" s="2">
        <v>45150</v>
      </c>
      <c r="J141">
        <v>83</v>
      </c>
      <c r="K141">
        <v>2.4473137697516933</v>
      </c>
      <c r="L141">
        <v>2.4473137697516933</v>
      </c>
      <c r="M141">
        <v>2.4473137697516933</v>
      </c>
      <c r="N141">
        <v>2.4473137697516933</v>
      </c>
      <c r="O141">
        <v>2.4473137697516933</v>
      </c>
      <c r="P141">
        <f t="shared" si="117"/>
        <v>2.4473137697516933</v>
      </c>
    </row>
    <row r="142" spans="4:20" x14ac:dyDescent="0.25">
      <c r="D142"/>
      <c r="I142" s="2">
        <v>45151</v>
      </c>
      <c r="J142">
        <v>84</v>
      </c>
      <c r="K142">
        <v>2.2685327313769754</v>
      </c>
      <c r="L142">
        <v>2.2685327313769754</v>
      </c>
      <c r="M142">
        <v>2.2685327313769754</v>
      </c>
      <c r="N142">
        <v>2.2685327313769754</v>
      </c>
      <c r="O142">
        <v>2.2685327313769754</v>
      </c>
      <c r="P142">
        <f t="shared" si="117"/>
        <v>2.2685327313769754</v>
      </c>
    </row>
    <row r="143" spans="4:20" x14ac:dyDescent="0.25">
      <c r="D143"/>
      <c r="H143" t="s">
        <v>54</v>
      </c>
      <c r="I143" s="2">
        <v>45152</v>
      </c>
      <c r="J143">
        <v>85</v>
      </c>
      <c r="K143">
        <v>1.8632957110609483</v>
      </c>
      <c r="L143">
        <v>1.8632957110609483</v>
      </c>
      <c r="M143">
        <v>1.8632957110609483</v>
      </c>
      <c r="N143">
        <v>1.8632957110609483</v>
      </c>
      <c r="O143">
        <v>1.8632957110609483</v>
      </c>
      <c r="P143">
        <f t="shared" si="117"/>
        <v>1.8632957110609483</v>
      </c>
    </row>
    <row r="144" spans="4:20" x14ac:dyDescent="0.25">
      <c r="D144"/>
      <c r="I144" s="2">
        <v>45153</v>
      </c>
      <c r="J144">
        <v>86</v>
      </c>
      <c r="K144">
        <v>2.218871331828443</v>
      </c>
      <c r="L144">
        <v>2.218871331828443</v>
      </c>
      <c r="M144">
        <v>2.218871331828443</v>
      </c>
      <c r="N144">
        <v>2.218871331828443</v>
      </c>
      <c r="O144">
        <v>2.218871331828443</v>
      </c>
      <c r="P144">
        <f t="shared" si="117"/>
        <v>2.218871331828443</v>
      </c>
    </row>
    <row r="145" spans="4:20" x14ac:dyDescent="0.25">
      <c r="D145"/>
      <c r="I145" s="2">
        <v>45154</v>
      </c>
      <c r="J145">
        <v>87</v>
      </c>
      <c r="K145">
        <v>2.4830699774266369</v>
      </c>
      <c r="L145">
        <v>2.4830699774266369</v>
      </c>
      <c r="M145">
        <v>2.4830699774266369</v>
      </c>
      <c r="N145">
        <v>2.4830699774266369</v>
      </c>
      <c r="O145">
        <v>2.4830699774266369</v>
      </c>
      <c r="P145">
        <f t="shared" si="117"/>
        <v>2.4830699774266369</v>
      </c>
      <c r="Q145">
        <v>52</v>
      </c>
      <c r="R145">
        <v>37.6</v>
      </c>
      <c r="S145">
        <v>40</v>
      </c>
      <c r="T145">
        <v>42.6</v>
      </c>
    </row>
    <row r="146" spans="4:20" x14ac:dyDescent="0.25">
      <c r="D146"/>
      <c r="I146" s="2">
        <v>45155</v>
      </c>
      <c r="J146">
        <v>88</v>
      </c>
      <c r="K146">
        <v>2.1870880361173817</v>
      </c>
      <c r="L146">
        <v>2.1870880361173817</v>
      </c>
      <c r="M146">
        <v>2.1870880361173817</v>
      </c>
      <c r="N146">
        <v>2.1870880361173817</v>
      </c>
      <c r="O146">
        <v>2.1870880361173817</v>
      </c>
      <c r="P146">
        <f t="shared" si="117"/>
        <v>2.1870880361173817</v>
      </c>
    </row>
    <row r="147" spans="4:20" x14ac:dyDescent="0.25">
      <c r="D147"/>
      <c r="I147" s="2">
        <v>45156</v>
      </c>
      <c r="J147">
        <v>89</v>
      </c>
      <c r="K147">
        <v>2.312234762979684</v>
      </c>
      <c r="L147">
        <v>2.312234762979684</v>
      </c>
      <c r="M147">
        <v>2.312234762979684</v>
      </c>
      <c r="N147">
        <v>2.312234762979684</v>
      </c>
      <c r="O147">
        <v>2.312234762979684</v>
      </c>
      <c r="P147">
        <f t="shared" si="117"/>
        <v>2.312234762979684</v>
      </c>
    </row>
    <row r="148" spans="4:20" x14ac:dyDescent="0.25">
      <c r="D148"/>
      <c r="I148" s="2">
        <v>45157</v>
      </c>
      <c r="J148">
        <v>90</v>
      </c>
      <c r="K148">
        <v>2.4473137697516929</v>
      </c>
      <c r="L148">
        <v>2.4473137697516929</v>
      </c>
      <c r="M148">
        <v>2.4473137697516929</v>
      </c>
      <c r="N148">
        <v>2.4473137697516929</v>
      </c>
      <c r="O148">
        <v>2.4473137697516929</v>
      </c>
      <c r="P148">
        <f t="shared" si="117"/>
        <v>2.4473137697516929</v>
      </c>
    </row>
    <row r="149" spans="4:20" x14ac:dyDescent="0.25">
      <c r="D149"/>
      <c r="I149" s="2">
        <v>45158</v>
      </c>
      <c r="J149">
        <v>91</v>
      </c>
      <c r="K149">
        <v>2.1413995485327315</v>
      </c>
      <c r="L149">
        <v>2.1413995485327315</v>
      </c>
      <c r="M149">
        <v>2.1413995485327315</v>
      </c>
      <c r="N149">
        <v>2.1413995485327315</v>
      </c>
      <c r="O149">
        <v>2.1413995485327315</v>
      </c>
      <c r="P149">
        <f t="shared" si="117"/>
        <v>2.1413995485327315</v>
      </c>
    </row>
    <row r="150" spans="4:20" x14ac:dyDescent="0.25">
      <c r="D150"/>
      <c r="H150" t="s">
        <v>55</v>
      </c>
      <c r="I150" s="2">
        <v>45159</v>
      </c>
      <c r="J150">
        <v>92</v>
      </c>
      <c r="K150">
        <v>1.8195936794582395</v>
      </c>
      <c r="L150">
        <v>1.8195936794582395</v>
      </c>
      <c r="M150">
        <v>1.8195936794582395</v>
      </c>
      <c r="N150">
        <v>1.8195936794582395</v>
      </c>
      <c r="O150">
        <v>1.8195936794582395</v>
      </c>
      <c r="P150">
        <f t="shared" si="117"/>
        <v>1.8195936794582395</v>
      </c>
    </row>
    <row r="151" spans="4:20" x14ac:dyDescent="0.25">
      <c r="D151"/>
      <c r="I151" s="2">
        <v>45160</v>
      </c>
      <c r="J151">
        <v>93</v>
      </c>
      <c r="K151">
        <v>2.8326862302483078</v>
      </c>
      <c r="L151">
        <v>2.8326862302483078</v>
      </c>
      <c r="M151">
        <v>2.8326862302483078</v>
      </c>
      <c r="N151">
        <v>2.8326862302483078</v>
      </c>
      <c r="O151">
        <v>2.8326862302483078</v>
      </c>
      <c r="P151">
        <f t="shared" si="117"/>
        <v>2.8326862302483078</v>
      </c>
    </row>
    <row r="152" spans="4:20" x14ac:dyDescent="0.25">
      <c r="D152"/>
      <c r="I152" s="2">
        <v>45161</v>
      </c>
      <c r="J152">
        <v>94</v>
      </c>
      <c r="K152">
        <v>2.3023024830699774</v>
      </c>
      <c r="L152">
        <v>2.3023024830699774</v>
      </c>
      <c r="M152">
        <v>2.3023024830699774</v>
      </c>
      <c r="N152">
        <v>2.3023024830699774</v>
      </c>
      <c r="O152">
        <v>2.3023024830699774</v>
      </c>
      <c r="P152">
        <f t="shared" si="117"/>
        <v>2.3023024830699774</v>
      </c>
      <c r="Q152">
        <v>51.2</v>
      </c>
      <c r="R152">
        <v>38.299999999999997</v>
      </c>
      <c r="S152">
        <v>39.200000000000003</v>
      </c>
      <c r="T152">
        <v>44</v>
      </c>
    </row>
    <row r="153" spans="4:20" x14ac:dyDescent="0.25">
      <c r="D153"/>
      <c r="I153" s="2">
        <v>45162</v>
      </c>
      <c r="J153">
        <v>95</v>
      </c>
      <c r="K153">
        <v>2.1652370203160278</v>
      </c>
      <c r="L153">
        <v>2.1652370203160278</v>
      </c>
      <c r="M153">
        <v>2.1652370203160278</v>
      </c>
      <c r="N153">
        <v>2.1652370203160278</v>
      </c>
      <c r="O153">
        <v>2.1652370203160278</v>
      </c>
      <c r="P153">
        <f t="shared" si="117"/>
        <v>2.1652370203160278</v>
      </c>
    </row>
    <row r="154" spans="4:20" x14ac:dyDescent="0.25">
      <c r="D154"/>
      <c r="I154" s="2">
        <v>45163</v>
      </c>
      <c r="J154">
        <v>96</v>
      </c>
      <c r="K154">
        <v>1.7719187358916482</v>
      </c>
      <c r="L154">
        <v>1.7719187358916482</v>
      </c>
      <c r="M154">
        <v>1.7719187358916482</v>
      </c>
      <c r="N154">
        <v>1.7719187358916482</v>
      </c>
      <c r="O154">
        <v>1.7719187358916482</v>
      </c>
      <c r="P154">
        <f t="shared" si="117"/>
        <v>1.7719187358916482</v>
      </c>
    </row>
    <row r="155" spans="4:20" x14ac:dyDescent="0.25">
      <c r="D155"/>
      <c r="I155" s="2">
        <v>45164</v>
      </c>
      <c r="J155">
        <v>97</v>
      </c>
      <c r="K155">
        <v>2.1354401805869072</v>
      </c>
      <c r="L155">
        <v>2.1354401805869072</v>
      </c>
      <c r="M155">
        <v>2.1354401805869072</v>
      </c>
      <c r="N155">
        <v>2.1354401805869072</v>
      </c>
      <c r="O155">
        <v>2.1354401805869072</v>
      </c>
      <c r="P155">
        <f t="shared" si="117"/>
        <v>2.1354401805869072</v>
      </c>
    </row>
    <row r="156" spans="4:20" x14ac:dyDescent="0.25">
      <c r="D156"/>
      <c r="I156" s="2">
        <v>45165</v>
      </c>
      <c r="J156">
        <v>98</v>
      </c>
      <c r="K156">
        <v>1.6606772009029345</v>
      </c>
      <c r="L156">
        <v>1.6606772009029345</v>
      </c>
      <c r="M156">
        <v>1.6606772009029345</v>
      </c>
      <c r="N156">
        <v>1.6606772009029345</v>
      </c>
      <c r="O156">
        <v>1.6606772009029345</v>
      </c>
      <c r="P156">
        <f t="shared" si="117"/>
        <v>1.6606772009029345</v>
      </c>
    </row>
    <row r="157" spans="4:20" x14ac:dyDescent="0.25">
      <c r="D157"/>
      <c r="H157" t="s">
        <v>56</v>
      </c>
      <c r="I157" s="2">
        <v>45166</v>
      </c>
      <c r="J157">
        <v>99</v>
      </c>
      <c r="K157">
        <v>1.9705643340857795</v>
      </c>
      <c r="L157">
        <v>1.9705643340857795</v>
      </c>
      <c r="M157">
        <v>1.9705643340857795</v>
      </c>
      <c r="N157">
        <v>1.9705643340857795</v>
      </c>
      <c r="O157">
        <v>1.9705643340857795</v>
      </c>
      <c r="P157">
        <f t="shared" si="117"/>
        <v>1.9705643340857795</v>
      </c>
    </row>
    <row r="158" spans="4:20" x14ac:dyDescent="0.25">
      <c r="D158"/>
      <c r="I158" s="2">
        <v>45167</v>
      </c>
      <c r="J158">
        <v>100</v>
      </c>
      <c r="K158">
        <v>1.8056884875846506</v>
      </c>
      <c r="L158">
        <v>1.8056884875846506</v>
      </c>
      <c r="M158">
        <v>1.8056884875846506</v>
      </c>
      <c r="N158">
        <v>1.8056884875846506</v>
      </c>
      <c r="O158">
        <v>1.8056884875846506</v>
      </c>
      <c r="P158">
        <f t="shared" si="117"/>
        <v>1.8056884875846506</v>
      </c>
    </row>
    <row r="159" spans="4:20" x14ac:dyDescent="0.25">
      <c r="D159"/>
      <c r="I159" s="2">
        <v>45168</v>
      </c>
      <c r="J159">
        <v>101</v>
      </c>
      <c r="K159">
        <v>2.304288939051919</v>
      </c>
      <c r="L159">
        <v>2.304288939051919</v>
      </c>
      <c r="M159">
        <v>2.304288939051919</v>
      </c>
      <c r="N159">
        <v>2.304288939051919</v>
      </c>
      <c r="O159">
        <v>2.304288939051919</v>
      </c>
      <c r="P159">
        <f t="shared" si="117"/>
        <v>2.304288939051919</v>
      </c>
      <c r="Q159">
        <v>52.6</v>
      </c>
      <c r="R159">
        <v>38.799999999999997</v>
      </c>
      <c r="S159">
        <v>40.6</v>
      </c>
      <c r="T159">
        <v>45</v>
      </c>
    </row>
    <row r="160" spans="4:20" x14ac:dyDescent="0.25">
      <c r="D160"/>
      <c r="I160" s="2">
        <v>45169</v>
      </c>
      <c r="J160">
        <v>102</v>
      </c>
      <c r="K160">
        <v>2.2903837471783297</v>
      </c>
      <c r="L160">
        <v>2.2903837471783297</v>
      </c>
      <c r="M160">
        <v>2.2903837471783297</v>
      </c>
      <c r="N160">
        <v>2.2903837471783297</v>
      </c>
      <c r="O160">
        <v>2.2903837471783297</v>
      </c>
      <c r="P160">
        <f t="shared" si="117"/>
        <v>2.2903837471783297</v>
      </c>
    </row>
    <row r="161" spans="4:20" x14ac:dyDescent="0.25">
      <c r="D161"/>
      <c r="I161" s="2">
        <v>45170</v>
      </c>
      <c r="J161">
        <v>103</v>
      </c>
      <c r="K161">
        <v>1.515665914221219</v>
      </c>
      <c r="L161">
        <v>1.515665914221219</v>
      </c>
      <c r="M161">
        <v>1.515665914221219</v>
      </c>
      <c r="N161">
        <v>1.515665914221219</v>
      </c>
      <c r="O161">
        <v>1.515665914221219</v>
      </c>
      <c r="P161">
        <f t="shared" si="117"/>
        <v>1.515665914221219</v>
      </c>
    </row>
    <row r="162" spans="4:20" x14ac:dyDescent="0.25">
      <c r="D162"/>
      <c r="I162" s="2">
        <v>45171</v>
      </c>
      <c r="J162">
        <v>104</v>
      </c>
      <c r="K162">
        <v>1.7441083521444696</v>
      </c>
      <c r="L162">
        <v>1.7441083521444696</v>
      </c>
      <c r="M162">
        <v>1.7441083521444696</v>
      </c>
      <c r="N162">
        <v>1.7441083521444696</v>
      </c>
      <c r="O162">
        <v>1.7441083521444696</v>
      </c>
      <c r="P162">
        <f t="shared" si="117"/>
        <v>1.7441083521444696</v>
      </c>
    </row>
    <row r="163" spans="4:20" x14ac:dyDescent="0.25">
      <c r="D163"/>
      <c r="I163" s="2">
        <v>45172</v>
      </c>
      <c r="J163">
        <v>105</v>
      </c>
      <c r="K163">
        <v>1.1124153498871334</v>
      </c>
      <c r="L163">
        <v>1.1124153498871334</v>
      </c>
      <c r="M163">
        <v>1.1124153498871334</v>
      </c>
      <c r="N163">
        <v>1.1124153498871334</v>
      </c>
      <c r="O163">
        <v>1.1124153498871334</v>
      </c>
      <c r="P163">
        <f t="shared" si="117"/>
        <v>1.1124153498871334</v>
      </c>
    </row>
    <row r="164" spans="4:20" x14ac:dyDescent="0.25">
      <c r="D164"/>
      <c r="H164" t="s">
        <v>57</v>
      </c>
      <c r="I164" s="2">
        <v>45173</v>
      </c>
      <c r="J164">
        <v>106</v>
      </c>
      <c r="K164">
        <v>1.8871331828442439</v>
      </c>
      <c r="L164">
        <v>1.8871331828442439</v>
      </c>
      <c r="M164">
        <v>1.8871331828442439</v>
      </c>
      <c r="N164">
        <v>1.8871331828442439</v>
      </c>
      <c r="O164">
        <v>1.8871331828442439</v>
      </c>
      <c r="P164">
        <f t="shared" si="117"/>
        <v>1.8871331828442439</v>
      </c>
    </row>
    <row r="165" spans="4:20" x14ac:dyDescent="0.25">
      <c r="D165"/>
      <c r="I165" s="2">
        <v>45174</v>
      </c>
      <c r="J165">
        <v>107</v>
      </c>
      <c r="K165">
        <v>2.5684875846501134</v>
      </c>
      <c r="L165">
        <v>2.5684875846501134</v>
      </c>
      <c r="M165">
        <v>2.5684875846501134</v>
      </c>
      <c r="N165">
        <v>2.5684875846501134</v>
      </c>
      <c r="O165">
        <v>2.5684875846501134</v>
      </c>
      <c r="P165">
        <f t="shared" si="117"/>
        <v>2.5684875846501134</v>
      </c>
    </row>
    <row r="166" spans="4:20" x14ac:dyDescent="0.25">
      <c r="D166"/>
      <c r="I166" s="2">
        <v>45175</v>
      </c>
      <c r="J166">
        <v>108</v>
      </c>
      <c r="K166">
        <v>2.3440180586907453</v>
      </c>
      <c r="L166">
        <v>2.3440180586907453</v>
      </c>
      <c r="M166">
        <v>2.3440180586907453</v>
      </c>
      <c r="N166">
        <v>2.3440180586907453</v>
      </c>
      <c r="O166">
        <v>2.3440180586907453</v>
      </c>
      <c r="P166">
        <f t="shared" si="117"/>
        <v>2.3440180586907453</v>
      </c>
      <c r="Q166">
        <v>53.6</v>
      </c>
      <c r="R166">
        <v>39.4</v>
      </c>
      <c r="S166">
        <v>40.6</v>
      </c>
      <c r="T166">
        <v>44.8</v>
      </c>
    </row>
    <row r="167" spans="4:20" x14ac:dyDescent="0.25">
      <c r="D167"/>
      <c r="I167" s="2">
        <v>45176</v>
      </c>
      <c r="J167">
        <v>109</v>
      </c>
      <c r="K167">
        <v>1.4679909706546277</v>
      </c>
      <c r="L167">
        <v>1.4679909706546277</v>
      </c>
      <c r="M167">
        <v>1.4679909706546277</v>
      </c>
      <c r="N167">
        <v>1.4679909706546277</v>
      </c>
      <c r="O167">
        <v>1.4679909706546277</v>
      </c>
      <c r="P167">
        <f t="shared" si="117"/>
        <v>1.4679909706546277</v>
      </c>
    </row>
    <row r="168" spans="4:20" x14ac:dyDescent="0.25">
      <c r="D168"/>
      <c r="I168" s="2">
        <v>45177</v>
      </c>
      <c r="J168">
        <v>110</v>
      </c>
      <c r="K168">
        <v>1.5355304740406321</v>
      </c>
      <c r="L168">
        <v>1.5355304740406321</v>
      </c>
      <c r="M168">
        <v>1.5355304740406321</v>
      </c>
      <c r="N168">
        <v>1.5355304740406321</v>
      </c>
      <c r="O168">
        <v>1.5355304740406321</v>
      </c>
      <c r="P168">
        <f t="shared" si="117"/>
        <v>1.5355304740406321</v>
      </c>
    </row>
    <row r="169" spans="4:20" x14ac:dyDescent="0.25">
      <c r="D169"/>
      <c r="I169" s="2">
        <v>45178</v>
      </c>
      <c r="J169">
        <v>111</v>
      </c>
      <c r="K169">
        <v>1.5990970654627539</v>
      </c>
      <c r="L169">
        <v>1.5990970654627539</v>
      </c>
      <c r="M169">
        <v>1.5990970654627539</v>
      </c>
      <c r="N169">
        <v>1.5990970654627539</v>
      </c>
      <c r="O169">
        <v>1.5990970654627539</v>
      </c>
      <c r="P169">
        <f t="shared" si="117"/>
        <v>1.5990970654627539</v>
      </c>
    </row>
    <row r="170" spans="4:20" x14ac:dyDescent="0.25">
      <c r="D170"/>
      <c r="I170" s="2">
        <v>45179</v>
      </c>
      <c r="J170">
        <v>112</v>
      </c>
      <c r="K170">
        <v>1.4282618510158014</v>
      </c>
      <c r="L170">
        <v>1.4282618510158014</v>
      </c>
      <c r="M170">
        <v>1.4282618510158014</v>
      </c>
      <c r="N170">
        <v>1.4282618510158014</v>
      </c>
      <c r="O170">
        <v>1.4282618510158014</v>
      </c>
      <c r="P170">
        <f t="shared" si="117"/>
        <v>1.4282618510158014</v>
      </c>
    </row>
    <row r="171" spans="4:20" x14ac:dyDescent="0.25">
      <c r="D171"/>
      <c r="H171" t="s">
        <v>58</v>
      </c>
      <c r="I171" s="2">
        <v>45180</v>
      </c>
      <c r="J171">
        <v>113</v>
      </c>
      <c r="K171">
        <v>1.5116930022573367</v>
      </c>
      <c r="L171">
        <v>1.5116930022573367</v>
      </c>
      <c r="M171">
        <v>1.5116930022573367</v>
      </c>
      <c r="N171">
        <v>1.5116930022573367</v>
      </c>
      <c r="O171">
        <v>1.5116930022573367</v>
      </c>
      <c r="P171">
        <f t="shared" si="117"/>
        <v>1.5116930022573367</v>
      </c>
    </row>
    <row r="172" spans="4:20" x14ac:dyDescent="0.25">
      <c r="D172"/>
      <c r="I172" s="2">
        <v>45181</v>
      </c>
      <c r="J172">
        <v>114</v>
      </c>
      <c r="K172">
        <v>1.4679909706546277</v>
      </c>
      <c r="L172">
        <v>1.4679909706546277</v>
      </c>
      <c r="M172">
        <v>1.4679909706546277</v>
      </c>
      <c r="N172">
        <v>1.4679909706546277</v>
      </c>
      <c r="O172">
        <v>1.4679909706546277</v>
      </c>
      <c r="P172">
        <f t="shared" si="117"/>
        <v>1.4679909706546277</v>
      </c>
    </row>
    <row r="173" spans="4:20" x14ac:dyDescent="0.25">
      <c r="D173"/>
      <c r="I173" s="2">
        <v>45182</v>
      </c>
      <c r="J173">
        <v>115</v>
      </c>
      <c r="K173">
        <v>1.5911512415349889</v>
      </c>
      <c r="L173">
        <v>1.5911512415349889</v>
      </c>
      <c r="M173">
        <v>1.5911512415349889</v>
      </c>
      <c r="N173">
        <v>1.5911512415349889</v>
      </c>
      <c r="O173">
        <v>1.5911512415349889</v>
      </c>
      <c r="P173">
        <f t="shared" si="117"/>
        <v>1.5911512415349889</v>
      </c>
      <c r="Q173">
        <v>53.2</v>
      </c>
      <c r="R173">
        <v>40</v>
      </c>
      <c r="S173">
        <v>40.6</v>
      </c>
      <c r="T173">
        <v>45.6</v>
      </c>
    </row>
    <row r="174" spans="4:20" x14ac:dyDescent="0.25">
      <c r="D174"/>
      <c r="I174" s="2">
        <v>45183</v>
      </c>
      <c r="J174">
        <v>116</v>
      </c>
      <c r="K174">
        <v>1.6805417607223478</v>
      </c>
      <c r="L174">
        <v>1.6805417607223478</v>
      </c>
      <c r="M174">
        <v>1.6805417607223478</v>
      </c>
      <c r="N174">
        <v>1.6805417607223478</v>
      </c>
      <c r="O174">
        <v>1.6805417607223478</v>
      </c>
      <c r="P174">
        <f t="shared" si="117"/>
        <v>1.6805417607223478</v>
      </c>
    </row>
    <row r="175" spans="4:20" x14ac:dyDescent="0.25">
      <c r="D175"/>
      <c r="I175" s="2">
        <v>45184</v>
      </c>
      <c r="J175">
        <v>117</v>
      </c>
      <c r="K175">
        <v>1.0130925507900679</v>
      </c>
      <c r="L175">
        <v>1.0130925507900679</v>
      </c>
      <c r="M175">
        <v>1.0130925507900679</v>
      </c>
      <c r="N175">
        <v>1.0130925507900679</v>
      </c>
      <c r="O175">
        <v>1.0130925507900679</v>
      </c>
      <c r="P175">
        <f t="shared" si="117"/>
        <v>1.0130925507900679</v>
      </c>
    </row>
    <row r="176" spans="4:20" x14ac:dyDescent="0.25">
      <c r="D176"/>
      <c r="I176" s="2">
        <v>45185</v>
      </c>
      <c r="J176">
        <v>118</v>
      </c>
      <c r="K176">
        <v>1.5236117381489844</v>
      </c>
      <c r="L176">
        <v>1.5236117381489844</v>
      </c>
      <c r="M176">
        <v>1.5236117381489844</v>
      </c>
      <c r="N176">
        <v>1.5236117381489844</v>
      </c>
      <c r="O176">
        <v>1.5236117381489844</v>
      </c>
      <c r="P176">
        <f t="shared" si="117"/>
        <v>1.5236117381489844</v>
      </c>
    </row>
    <row r="177" spans="4:20" x14ac:dyDescent="0.25">
      <c r="D177"/>
      <c r="I177" s="2">
        <v>45186</v>
      </c>
      <c r="J177">
        <v>119</v>
      </c>
      <c r="K177">
        <v>1.6467720090293458</v>
      </c>
      <c r="L177">
        <v>1.6467720090293458</v>
      </c>
      <c r="M177">
        <v>1.6467720090293458</v>
      </c>
      <c r="N177">
        <v>1.6467720090293458</v>
      </c>
      <c r="O177">
        <v>1.6467720090293458</v>
      </c>
      <c r="P177">
        <f t="shared" si="117"/>
        <v>1.6467720090293458</v>
      </c>
    </row>
    <row r="178" spans="4:20" x14ac:dyDescent="0.25">
      <c r="D178"/>
      <c r="H178" t="s">
        <v>59</v>
      </c>
      <c r="I178" s="2">
        <v>45187</v>
      </c>
      <c r="J178">
        <v>120</v>
      </c>
      <c r="K178">
        <v>1.3825733634311514</v>
      </c>
      <c r="L178">
        <v>1.3825733634311514</v>
      </c>
      <c r="M178">
        <v>1.3825733634311514</v>
      </c>
      <c r="N178">
        <v>1.3825733634311514</v>
      </c>
      <c r="O178">
        <v>1.3825733634311514</v>
      </c>
      <c r="P178">
        <f t="shared" si="117"/>
        <v>1.3825733634311514</v>
      </c>
    </row>
    <row r="179" spans="4:20" x14ac:dyDescent="0.25">
      <c r="D179"/>
      <c r="I179" s="2">
        <v>45188</v>
      </c>
      <c r="J179">
        <v>121</v>
      </c>
      <c r="K179">
        <v>1.2157110609480815</v>
      </c>
      <c r="L179">
        <v>1.2157110609480815</v>
      </c>
      <c r="M179">
        <v>1.2157110609480815</v>
      </c>
      <c r="N179">
        <v>1.2157110609480815</v>
      </c>
      <c r="O179">
        <v>1.2157110609480815</v>
      </c>
      <c r="P179">
        <f t="shared" si="117"/>
        <v>1.2157110609480815</v>
      </c>
    </row>
    <row r="180" spans="4:20" x14ac:dyDescent="0.25">
      <c r="D180"/>
      <c r="I180" s="2">
        <v>45189</v>
      </c>
      <c r="J180">
        <v>122</v>
      </c>
      <c r="K180">
        <v>1.3070880361173818</v>
      </c>
      <c r="L180">
        <v>1.3070880361173818</v>
      </c>
      <c r="M180">
        <v>1.3070880361173818</v>
      </c>
      <c r="N180">
        <v>1.3070880361173818</v>
      </c>
      <c r="O180">
        <v>1.3070880361173818</v>
      </c>
      <c r="P180">
        <f t="shared" si="117"/>
        <v>1.3070880361173818</v>
      </c>
      <c r="Q180">
        <v>52.6</v>
      </c>
      <c r="R180">
        <v>39</v>
      </c>
      <c r="S180">
        <v>40.200000000000003</v>
      </c>
      <c r="T180">
        <v>45.2</v>
      </c>
    </row>
    <row r="181" spans="4:20" x14ac:dyDescent="0.25">
      <c r="D181"/>
      <c r="I181" s="2">
        <v>45190</v>
      </c>
      <c r="J181">
        <v>123</v>
      </c>
      <c r="K181">
        <v>1.3885327313769753</v>
      </c>
      <c r="L181">
        <v>1.3885327313769753</v>
      </c>
      <c r="M181">
        <v>1.3885327313769753</v>
      </c>
      <c r="N181">
        <v>1.3885327313769753</v>
      </c>
      <c r="O181">
        <v>1.3885327313769753</v>
      </c>
      <c r="P181">
        <f t="shared" si="117"/>
        <v>1.3885327313769753</v>
      </c>
    </row>
    <row r="182" spans="4:20" x14ac:dyDescent="0.25">
      <c r="D182"/>
      <c r="I182" s="2">
        <v>45191</v>
      </c>
      <c r="J182">
        <v>124</v>
      </c>
      <c r="K182">
        <v>1.4421670428893907</v>
      </c>
      <c r="L182">
        <v>1.4421670428893907</v>
      </c>
      <c r="M182">
        <v>1.4421670428893907</v>
      </c>
      <c r="N182">
        <v>1.4421670428893907</v>
      </c>
      <c r="O182">
        <v>1.4421670428893907</v>
      </c>
      <c r="P182">
        <f t="shared" si="117"/>
        <v>1.4421670428893907</v>
      </c>
    </row>
    <row r="183" spans="4:20" x14ac:dyDescent="0.25">
      <c r="D183"/>
      <c r="I183" s="2">
        <v>45192</v>
      </c>
      <c r="J183">
        <v>125</v>
      </c>
      <c r="K183">
        <v>1.4858690744920995</v>
      </c>
      <c r="L183">
        <v>1.4858690744920995</v>
      </c>
      <c r="M183">
        <v>1.4858690744920995</v>
      </c>
      <c r="N183">
        <v>1.4858690744920995</v>
      </c>
      <c r="O183">
        <v>1.4858690744920995</v>
      </c>
      <c r="P183">
        <f t="shared" si="117"/>
        <v>1.4858690744920995</v>
      </c>
    </row>
    <row r="184" spans="4:20" x14ac:dyDescent="0.25">
      <c r="D184"/>
      <c r="I184" s="2">
        <v>45193</v>
      </c>
      <c r="J184">
        <v>126</v>
      </c>
      <c r="K184">
        <v>1.3766139954853276</v>
      </c>
      <c r="L184">
        <v>1.3766139954853276</v>
      </c>
      <c r="M184">
        <v>1.3766139954853276</v>
      </c>
      <c r="N184">
        <v>1.3766139954853276</v>
      </c>
      <c r="O184">
        <v>1.3766139954853276</v>
      </c>
      <c r="P184">
        <f t="shared" si="117"/>
        <v>1.3766139954853276</v>
      </c>
    </row>
    <row r="185" spans="4:20" x14ac:dyDescent="0.25">
      <c r="D185"/>
      <c r="H185" t="s">
        <v>60</v>
      </c>
      <c r="I185" s="2">
        <v>45194</v>
      </c>
      <c r="J185">
        <v>127</v>
      </c>
      <c r="K185">
        <v>1.2753047404063205</v>
      </c>
      <c r="L185">
        <v>1.2753047404063205</v>
      </c>
      <c r="M185">
        <v>1.2753047404063205</v>
      </c>
      <c r="N185">
        <v>1.2753047404063205</v>
      </c>
      <c r="O185">
        <v>1.2753047404063205</v>
      </c>
      <c r="P185">
        <f t="shared" si="117"/>
        <v>1.2753047404063205</v>
      </c>
    </row>
    <row r="186" spans="4:20" x14ac:dyDescent="0.25">
      <c r="D186"/>
      <c r="I186" s="2">
        <v>45195</v>
      </c>
      <c r="J186">
        <v>128</v>
      </c>
      <c r="K186">
        <v>1.6865011286681715</v>
      </c>
      <c r="L186">
        <v>1.6865011286681715</v>
      </c>
      <c r="M186">
        <v>1.6865011286681715</v>
      </c>
      <c r="N186">
        <v>1.6865011286681715</v>
      </c>
      <c r="O186">
        <v>1.6865011286681715</v>
      </c>
      <c r="P186">
        <f t="shared" ref="P186:P198" si="118">AVERAGE(L186:O186)</f>
        <v>1.6865011286681715</v>
      </c>
    </row>
    <row r="187" spans="4:20" x14ac:dyDescent="0.25">
      <c r="D187"/>
      <c r="I187" s="2">
        <v>45196</v>
      </c>
      <c r="J187">
        <v>129</v>
      </c>
      <c r="K187">
        <v>1.4143566591422123</v>
      </c>
      <c r="L187">
        <v>1.4143566591422123</v>
      </c>
      <c r="M187">
        <v>1.4143566591422123</v>
      </c>
      <c r="N187">
        <v>1.4143566591422123</v>
      </c>
      <c r="O187">
        <v>1.4143566591422123</v>
      </c>
      <c r="P187">
        <f t="shared" si="118"/>
        <v>1.4143566591422123</v>
      </c>
      <c r="Q187">
        <v>53</v>
      </c>
      <c r="R187">
        <v>38.6</v>
      </c>
      <c r="S187">
        <v>40.799999999999997</v>
      </c>
      <c r="T187">
        <v>43.6</v>
      </c>
    </row>
    <row r="188" spans="4:20" x14ac:dyDescent="0.25">
      <c r="D188"/>
      <c r="I188" s="2">
        <v>45197</v>
      </c>
      <c r="J188">
        <v>130</v>
      </c>
      <c r="K188">
        <v>1.2395485327313771</v>
      </c>
      <c r="L188">
        <v>1.2395485327313771</v>
      </c>
      <c r="M188">
        <v>1.2395485327313771</v>
      </c>
      <c r="N188">
        <v>1.2395485327313771</v>
      </c>
      <c r="O188">
        <v>1.2395485327313771</v>
      </c>
      <c r="P188">
        <f t="shared" si="118"/>
        <v>1.2395485327313771</v>
      </c>
    </row>
    <row r="189" spans="4:20" x14ac:dyDescent="0.25">
      <c r="D189"/>
      <c r="I189" s="2">
        <v>45198</v>
      </c>
      <c r="J189">
        <v>131</v>
      </c>
      <c r="K189">
        <v>1.066726862302483</v>
      </c>
      <c r="L189">
        <v>1.066726862302483</v>
      </c>
      <c r="M189">
        <v>1.066726862302483</v>
      </c>
      <c r="N189">
        <v>1.066726862302483</v>
      </c>
      <c r="O189">
        <v>1.066726862302483</v>
      </c>
      <c r="P189">
        <f t="shared" si="118"/>
        <v>1.066726862302483</v>
      </c>
    </row>
    <row r="190" spans="4:20" x14ac:dyDescent="0.25">
      <c r="D190"/>
      <c r="I190" s="2">
        <v>45199</v>
      </c>
      <c r="J190">
        <v>132</v>
      </c>
      <c r="K190">
        <v>1.2554401805869075</v>
      </c>
      <c r="L190">
        <v>1.2554401805869075</v>
      </c>
      <c r="M190">
        <v>1.2554401805869075</v>
      </c>
      <c r="N190">
        <v>1.2554401805869075</v>
      </c>
      <c r="O190">
        <v>1.2554401805869075</v>
      </c>
      <c r="P190">
        <f t="shared" si="118"/>
        <v>1.2554401805869075</v>
      </c>
    </row>
    <row r="191" spans="4:20" x14ac:dyDescent="0.25">
      <c r="D191"/>
      <c r="I191" s="2">
        <v>45200</v>
      </c>
      <c r="J191">
        <v>133</v>
      </c>
      <c r="K191">
        <v>1.3488036117381492</v>
      </c>
      <c r="L191">
        <v>1.3488036117381492</v>
      </c>
      <c r="M191">
        <v>1.3488036117381492</v>
      </c>
      <c r="N191">
        <v>1.3488036117381492</v>
      </c>
      <c r="O191">
        <v>1.3488036117381492</v>
      </c>
      <c r="P191">
        <f t="shared" si="118"/>
        <v>1.3488036117381492</v>
      </c>
    </row>
    <row r="192" spans="4:20" x14ac:dyDescent="0.25">
      <c r="D192"/>
      <c r="H192" t="s">
        <v>61</v>
      </c>
      <c r="I192" s="2">
        <v>45201</v>
      </c>
      <c r="J192">
        <v>134</v>
      </c>
      <c r="K192">
        <v>0.69128668171557572</v>
      </c>
      <c r="L192">
        <v>0.69128668171557572</v>
      </c>
      <c r="M192">
        <v>0.69128668171557572</v>
      </c>
      <c r="N192">
        <v>0.69128668171557572</v>
      </c>
      <c r="O192">
        <v>0.69128668171557572</v>
      </c>
      <c r="P192">
        <f t="shared" si="118"/>
        <v>0.69128668171557572</v>
      </c>
    </row>
    <row r="193" spans="4:20" x14ac:dyDescent="0.25">
      <c r="D193"/>
      <c r="I193" s="2">
        <v>45202</v>
      </c>
      <c r="J193">
        <v>135</v>
      </c>
      <c r="K193">
        <v>1.0150790067720092</v>
      </c>
      <c r="L193">
        <v>1.0150790067720092</v>
      </c>
      <c r="M193">
        <v>1.0150790067720092</v>
      </c>
      <c r="N193">
        <v>1.0150790067720092</v>
      </c>
      <c r="O193">
        <v>1.0150790067720092</v>
      </c>
      <c r="P193">
        <f t="shared" si="118"/>
        <v>1.0150790067720092</v>
      </c>
    </row>
    <row r="194" spans="4:20" x14ac:dyDescent="0.25">
      <c r="D194"/>
      <c r="I194" s="2">
        <v>45203</v>
      </c>
      <c r="J194">
        <v>136</v>
      </c>
      <c r="K194">
        <v>1.1362528216704291</v>
      </c>
      <c r="L194">
        <v>1.1362528216704291</v>
      </c>
      <c r="M194">
        <v>1.1362528216704291</v>
      </c>
      <c r="N194">
        <v>1.1362528216704291</v>
      </c>
      <c r="O194">
        <v>1.1362528216704291</v>
      </c>
      <c r="P194">
        <f t="shared" si="118"/>
        <v>1.1362528216704291</v>
      </c>
      <c r="Q194">
        <v>53.2</v>
      </c>
      <c r="R194">
        <v>38.799999999999997</v>
      </c>
      <c r="S194">
        <v>39.6</v>
      </c>
      <c r="T194">
        <v>43.6</v>
      </c>
    </row>
    <row r="195" spans="4:20" x14ac:dyDescent="0.25">
      <c r="D195"/>
      <c r="I195" s="2">
        <v>45204</v>
      </c>
      <c r="J195">
        <v>137</v>
      </c>
      <c r="K195">
        <v>1.2435214446952596</v>
      </c>
      <c r="L195">
        <v>1.2435214446952596</v>
      </c>
      <c r="M195">
        <v>1.2435214446952596</v>
      </c>
      <c r="N195">
        <v>1.2435214446952596</v>
      </c>
      <c r="O195">
        <v>1.2435214446952596</v>
      </c>
      <c r="P195">
        <f t="shared" si="118"/>
        <v>1.2435214446952596</v>
      </c>
    </row>
    <row r="196" spans="4:20" x14ac:dyDescent="0.25">
      <c r="D196"/>
      <c r="I196" s="2">
        <v>45205</v>
      </c>
      <c r="J196">
        <v>138</v>
      </c>
      <c r="K196">
        <v>1.1839277652370204</v>
      </c>
      <c r="L196">
        <v>1.1839277652370204</v>
      </c>
      <c r="M196">
        <v>1.1839277652370204</v>
      </c>
      <c r="N196">
        <v>1.1839277652370204</v>
      </c>
      <c r="O196">
        <v>1.1839277652370204</v>
      </c>
      <c r="P196">
        <f t="shared" si="118"/>
        <v>1.1839277652370204</v>
      </c>
    </row>
    <row r="197" spans="4:20" x14ac:dyDescent="0.25">
      <c r="D197"/>
      <c r="I197" s="2">
        <v>45206</v>
      </c>
      <c r="J197">
        <v>139</v>
      </c>
      <c r="K197">
        <v>1.2673589164785555</v>
      </c>
      <c r="L197">
        <v>1.2673589164785555</v>
      </c>
      <c r="M197">
        <v>1.2673589164785555</v>
      </c>
      <c r="N197">
        <v>1.2673589164785555</v>
      </c>
      <c r="O197">
        <v>1.2673589164785555</v>
      </c>
      <c r="P197">
        <f t="shared" si="118"/>
        <v>1.2673589164785555</v>
      </c>
    </row>
    <row r="198" spans="4:20" x14ac:dyDescent="0.25">
      <c r="D198"/>
      <c r="I198" s="2">
        <v>45207</v>
      </c>
      <c r="J198">
        <v>140</v>
      </c>
      <c r="K198">
        <v>1.225643340857788</v>
      </c>
      <c r="L198">
        <v>1.225643340857788</v>
      </c>
      <c r="M198">
        <v>1.225643340857788</v>
      </c>
      <c r="N198">
        <v>1.225643340857788</v>
      </c>
      <c r="O198">
        <v>1.225643340857788</v>
      </c>
      <c r="P198">
        <f t="shared" si="118"/>
        <v>1.225643340857788</v>
      </c>
      <c r="Q198">
        <v>52.8</v>
      </c>
      <c r="R198">
        <v>38.200000000000003</v>
      </c>
      <c r="S198">
        <v>39.200000000000003</v>
      </c>
      <c r="T198">
        <v>43.6</v>
      </c>
    </row>
  </sheetData>
  <mergeCells count="1">
    <mergeCell ref="C47:D47"/>
  </mergeCells>
  <phoneticPr fontId="4" type="noConversion"/>
  <pageMargins left="0.7" right="0.7" top="0.78740157499999996" bottom="0.78740157499999996"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469F49-E06A-43A0-8C8A-D9D9C1918CF0}">
  <dimension ref="A1:BA215"/>
  <sheetViews>
    <sheetView zoomScale="85" zoomScaleNormal="85" workbookViewId="0">
      <pane xSplit="3" ySplit="2" topLeftCell="D18" activePane="bottomRight" state="frozen"/>
      <selection pane="topRight" activeCell="D1" sqref="D1"/>
      <selection pane="bottomLeft" activeCell="A3" sqref="A3"/>
      <selection pane="bottomRight" activeCell="D41" sqref="D41"/>
    </sheetView>
  </sheetViews>
  <sheetFormatPr baseColWidth="10" defaultRowHeight="15" x14ac:dyDescent="0.25"/>
  <cols>
    <col min="2" max="2" width="11.5703125" bestFit="1" customWidth="1"/>
    <col min="4" max="4" width="14.7109375" bestFit="1" customWidth="1"/>
    <col min="5" max="5" width="14.42578125" bestFit="1" customWidth="1"/>
    <col min="6" max="7" width="13.7109375" bestFit="1" customWidth="1"/>
    <col min="8" max="14" width="14.42578125" bestFit="1" customWidth="1"/>
    <col min="15" max="16" width="13.7109375" bestFit="1" customWidth="1"/>
    <col min="17" max="18" width="14.42578125" bestFit="1" customWidth="1"/>
    <col min="19" max="21" width="15.7109375" bestFit="1" customWidth="1"/>
    <col min="22" max="22" width="14.7109375" bestFit="1" customWidth="1"/>
    <col min="23" max="24" width="14.42578125" bestFit="1" customWidth="1"/>
    <col min="25" max="26" width="13.7109375" bestFit="1" customWidth="1"/>
    <col min="27" max="27" width="15.42578125" bestFit="1" customWidth="1"/>
    <col min="28" max="33" width="14.42578125" bestFit="1" customWidth="1"/>
    <col min="34" max="35" width="13.7109375" bestFit="1" customWidth="1"/>
    <col min="36" max="36" width="15.7109375" bestFit="1" customWidth="1"/>
    <col min="37" max="37" width="17" bestFit="1" customWidth="1"/>
    <col min="38" max="38" width="15.7109375" bestFit="1" customWidth="1"/>
    <col min="39" max="40" width="14.7109375" bestFit="1" customWidth="1"/>
    <col min="41" max="41" width="14.42578125" bestFit="1" customWidth="1"/>
    <col min="42" max="44" width="17" style="32" bestFit="1" customWidth="1"/>
    <col min="45" max="45" width="12" bestFit="1" customWidth="1"/>
    <col min="47" max="47" width="12" bestFit="1" customWidth="1"/>
  </cols>
  <sheetData>
    <row r="1" spans="1:48" x14ac:dyDescent="0.25">
      <c r="D1" t="s">
        <v>0</v>
      </c>
      <c r="Y1" t="s">
        <v>17</v>
      </c>
    </row>
    <row r="2" spans="1:48" x14ac:dyDescent="0.25">
      <c r="A2" t="s">
        <v>85</v>
      </c>
      <c r="D2" t="s">
        <v>78</v>
      </c>
      <c r="E2" t="s">
        <v>79</v>
      </c>
      <c r="F2" t="s">
        <v>80</v>
      </c>
      <c r="G2" t="s">
        <v>1</v>
      </c>
      <c r="H2" t="s">
        <v>2</v>
      </c>
      <c r="I2" t="s">
        <v>3</v>
      </c>
      <c r="J2" t="s">
        <v>4</v>
      </c>
      <c r="K2" t="s">
        <v>5</v>
      </c>
      <c r="L2" t="s">
        <v>6</v>
      </c>
      <c r="M2" t="s">
        <v>7</v>
      </c>
      <c r="N2" t="s">
        <v>8</v>
      </c>
      <c r="O2" t="s">
        <v>81</v>
      </c>
      <c r="P2" t="s">
        <v>82</v>
      </c>
      <c r="Q2" t="s">
        <v>9</v>
      </c>
      <c r="R2" t="s">
        <v>10</v>
      </c>
      <c r="S2" t="s">
        <v>11</v>
      </c>
      <c r="T2" t="s">
        <v>12</v>
      </c>
      <c r="U2" t="s">
        <v>13</v>
      </c>
      <c r="V2" t="s">
        <v>14</v>
      </c>
      <c r="W2" t="s">
        <v>15</v>
      </c>
      <c r="X2" t="s">
        <v>16</v>
      </c>
      <c r="Y2" t="s">
        <v>76</v>
      </c>
      <c r="Z2" t="s">
        <v>18</v>
      </c>
      <c r="AA2" t="s">
        <v>19</v>
      </c>
      <c r="AB2" t="s">
        <v>20</v>
      </c>
      <c r="AC2" t="s">
        <v>21</v>
      </c>
      <c r="AD2" t="s">
        <v>22</v>
      </c>
      <c r="AE2" t="s">
        <v>23</v>
      </c>
      <c r="AF2" t="s">
        <v>24</v>
      </c>
      <c r="AG2" t="s">
        <v>25</v>
      </c>
      <c r="AH2" t="s">
        <v>26</v>
      </c>
      <c r="AI2" t="s">
        <v>77</v>
      </c>
      <c r="AJ2" t="s">
        <v>27</v>
      </c>
      <c r="AK2" t="s">
        <v>28</v>
      </c>
      <c r="AL2" t="s">
        <v>29</v>
      </c>
      <c r="AM2" t="s">
        <v>30</v>
      </c>
      <c r="AN2" t="s">
        <v>31</v>
      </c>
      <c r="AO2" t="s">
        <v>32</v>
      </c>
      <c r="AP2" s="32" t="s">
        <v>86</v>
      </c>
      <c r="AQ2" s="32" t="s">
        <v>94</v>
      </c>
      <c r="AR2" s="32" t="s">
        <v>95</v>
      </c>
      <c r="AS2" s="65" t="s">
        <v>193</v>
      </c>
      <c r="AT2" s="65" t="s">
        <v>194</v>
      </c>
      <c r="AU2" s="65" t="s">
        <v>195</v>
      </c>
      <c r="AV2" s="65" t="s">
        <v>196</v>
      </c>
    </row>
    <row r="3" spans="1:48" x14ac:dyDescent="0.25">
      <c r="A3">
        <v>1</v>
      </c>
      <c r="B3" s="2">
        <v>45068</v>
      </c>
      <c r="C3" t="s">
        <v>36</v>
      </c>
      <c r="D3" s="79" t="s">
        <v>265</v>
      </c>
      <c r="E3" s="79" t="s">
        <v>265</v>
      </c>
      <c r="F3" s="79" t="s">
        <v>265</v>
      </c>
      <c r="G3" s="79" t="s">
        <v>265</v>
      </c>
      <c r="H3" s="79" t="s">
        <v>265</v>
      </c>
      <c r="I3" s="79" t="s">
        <v>265</v>
      </c>
      <c r="J3" s="79" t="s">
        <v>265</v>
      </c>
      <c r="K3" s="79" t="s">
        <v>265</v>
      </c>
      <c r="L3" s="79" t="s">
        <v>265</v>
      </c>
      <c r="M3" s="79" t="s">
        <v>265</v>
      </c>
      <c r="N3" s="79" t="s">
        <v>265</v>
      </c>
      <c r="O3" s="79" t="s">
        <v>265</v>
      </c>
      <c r="P3" s="79" t="s">
        <v>265</v>
      </c>
      <c r="Q3" s="79" t="s">
        <v>265</v>
      </c>
      <c r="R3" s="79" t="s">
        <v>265</v>
      </c>
      <c r="S3" s="79" t="s">
        <v>265</v>
      </c>
      <c r="T3" s="79" t="s">
        <v>265</v>
      </c>
      <c r="U3" s="79" t="s">
        <v>265</v>
      </c>
      <c r="V3" s="79" t="s">
        <v>265</v>
      </c>
      <c r="W3" s="79" t="s">
        <v>266</v>
      </c>
      <c r="X3" s="79" t="s">
        <v>266</v>
      </c>
      <c r="Y3" s="79" t="s">
        <v>266</v>
      </c>
      <c r="Z3" s="79" t="s">
        <v>266</v>
      </c>
      <c r="AA3" s="79">
        <v>5.292122140140798E-5</v>
      </c>
      <c r="AB3" s="79" t="s">
        <v>266</v>
      </c>
      <c r="AC3" s="79" t="s">
        <v>266</v>
      </c>
      <c r="AD3" s="79" t="s">
        <v>266</v>
      </c>
      <c r="AE3" s="79" t="s">
        <v>266</v>
      </c>
      <c r="AF3" s="79" t="s">
        <v>266</v>
      </c>
      <c r="AG3" s="79" t="s">
        <v>266</v>
      </c>
      <c r="AH3" s="79" t="s">
        <v>266</v>
      </c>
      <c r="AI3" s="79" t="s">
        <v>266</v>
      </c>
      <c r="AJ3" s="79" t="s">
        <v>266</v>
      </c>
      <c r="AK3" s="79" t="s">
        <v>266</v>
      </c>
      <c r="AL3" s="79" t="s">
        <v>266</v>
      </c>
      <c r="AM3" s="79" t="s">
        <v>266</v>
      </c>
      <c r="AN3" s="79" t="s">
        <v>266</v>
      </c>
      <c r="AO3" s="80" t="s">
        <v>266</v>
      </c>
      <c r="AP3" s="66">
        <f>SUM(D3:AO3)</f>
        <v>5.292122140140798E-5</v>
      </c>
      <c r="AQ3" s="61">
        <f t="shared" ref="AQ3:AQ46" si="0">SUM(D3:X3)</f>
        <v>0</v>
      </c>
      <c r="AR3" s="61">
        <f>SUM(Y3:AO3)</f>
        <v>5.292122140140798E-5</v>
      </c>
      <c r="AS3" s="4">
        <f t="shared" ref="AS3:AS46" si="1">SUM(D3:N3)</f>
        <v>0</v>
      </c>
      <c r="AT3" s="4">
        <f t="shared" ref="AT3:AT46" si="2">SUM(O3:X3)</f>
        <v>0</v>
      </c>
      <c r="AU3" s="4">
        <f t="shared" ref="AU3:AU46" si="3">SUM(Y3:AG3)</f>
        <v>5.292122140140798E-5</v>
      </c>
      <c r="AV3" s="4">
        <f>SUM(AH3:AO3)</f>
        <v>0</v>
      </c>
    </row>
    <row r="4" spans="1:48" x14ac:dyDescent="0.25">
      <c r="B4" s="2"/>
      <c r="C4" t="s">
        <v>39</v>
      </c>
      <c r="D4" s="81">
        <v>6.9893975387003504E-3</v>
      </c>
      <c r="E4" s="81" t="s">
        <v>265</v>
      </c>
      <c r="F4" s="81" t="s">
        <v>265</v>
      </c>
      <c r="G4" s="81" t="s">
        <v>265</v>
      </c>
      <c r="H4" s="81" t="s">
        <v>265</v>
      </c>
      <c r="I4" s="81">
        <v>2.33779026822488E-3</v>
      </c>
      <c r="J4" s="81">
        <v>1.1790775702605201E-2</v>
      </c>
      <c r="K4" s="81" t="s">
        <v>265</v>
      </c>
      <c r="L4" s="81" t="s">
        <v>265</v>
      </c>
      <c r="M4" s="81" t="s">
        <v>265</v>
      </c>
      <c r="N4" s="81" t="s">
        <v>265</v>
      </c>
      <c r="O4" s="81" t="s">
        <v>265</v>
      </c>
      <c r="P4" s="81" t="s">
        <v>265</v>
      </c>
      <c r="Q4" s="81" t="s">
        <v>265</v>
      </c>
      <c r="R4" s="81" t="s">
        <v>265</v>
      </c>
      <c r="S4" s="81" t="s">
        <v>265</v>
      </c>
      <c r="T4" s="81" t="s">
        <v>265</v>
      </c>
      <c r="U4" s="81" t="s">
        <v>265</v>
      </c>
      <c r="V4" s="81" t="s">
        <v>265</v>
      </c>
      <c r="W4" s="81" t="s">
        <v>265</v>
      </c>
      <c r="X4" s="81" t="s">
        <v>265</v>
      </c>
      <c r="Y4" s="81"/>
      <c r="Z4" s="81"/>
      <c r="AA4" s="81" t="s">
        <v>265</v>
      </c>
      <c r="AB4" s="81" t="s">
        <v>265</v>
      </c>
      <c r="AC4" s="81" t="s">
        <v>265</v>
      </c>
      <c r="AD4" s="81" t="s">
        <v>265</v>
      </c>
      <c r="AE4" s="81" t="s">
        <v>265</v>
      </c>
      <c r="AF4" s="81" t="s">
        <v>265</v>
      </c>
      <c r="AG4" s="81" t="s">
        <v>265</v>
      </c>
      <c r="AH4" s="81"/>
      <c r="AI4" s="81"/>
      <c r="AJ4" s="81" t="s">
        <v>265</v>
      </c>
      <c r="AK4" s="81" t="s">
        <v>265</v>
      </c>
      <c r="AL4" s="81" t="s">
        <v>265</v>
      </c>
      <c r="AM4" s="81" t="s">
        <v>265</v>
      </c>
      <c r="AN4" s="81" t="s">
        <v>265</v>
      </c>
      <c r="AO4" s="82" t="s">
        <v>265</v>
      </c>
      <c r="AP4" s="66">
        <f t="shared" ref="AP4:AP42" si="4">SUM(D4:AO4)</f>
        <v>2.1117963509530432E-2</v>
      </c>
      <c r="AQ4" s="61">
        <f t="shared" si="0"/>
        <v>2.1117963509530432E-2</v>
      </c>
      <c r="AR4" s="61">
        <f t="shared" ref="AR4:AR42" si="5">SUM(Y4:AO4)</f>
        <v>0</v>
      </c>
      <c r="AS4" s="4">
        <f t="shared" si="1"/>
        <v>2.1117963509530432E-2</v>
      </c>
      <c r="AT4" s="4">
        <f t="shared" si="2"/>
        <v>0</v>
      </c>
      <c r="AU4" s="4">
        <f t="shared" si="3"/>
        <v>0</v>
      </c>
      <c r="AV4" s="4">
        <f t="shared" ref="AV4:AV46" si="6">SUM(AH4:AO4)</f>
        <v>0</v>
      </c>
    </row>
    <row r="5" spans="1:48" x14ac:dyDescent="0.25">
      <c r="B5" s="2"/>
      <c r="C5" t="s">
        <v>40</v>
      </c>
      <c r="D5" s="81">
        <v>7.1586165996728795E-3</v>
      </c>
      <c r="E5" s="81" t="s">
        <v>265</v>
      </c>
      <c r="F5" s="81" t="s">
        <v>265</v>
      </c>
      <c r="G5" s="81" t="s">
        <v>265</v>
      </c>
      <c r="H5" s="81" t="s">
        <v>265</v>
      </c>
      <c r="I5" s="81">
        <v>1.67825382247219E-3</v>
      </c>
      <c r="J5" s="81">
        <v>1.38040981363727E-2</v>
      </c>
      <c r="K5" s="81" t="s">
        <v>265</v>
      </c>
      <c r="L5" s="81" t="s">
        <v>265</v>
      </c>
      <c r="M5" s="81" t="s">
        <v>265</v>
      </c>
      <c r="N5" s="81" t="s">
        <v>265</v>
      </c>
      <c r="O5" s="81" t="s">
        <v>265</v>
      </c>
      <c r="P5" s="81" t="s">
        <v>265</v>
      </c>
      <c r="Q5" s="81" t="s">
        <v>265</v>
      </c>
      <c r="R5" s="81" t="s">
        <v>265</v>
      </c>
      <c r="S5" s="81" t="s">
        <v>265</v>
      </c>
      <c r="T5" s="81" t="s">
        <v>265</v>
      </c>
      <c r="U5" s="81" t="s">
        <v>265</v>
      </c>
      <c r="V5" s="81" t="s">
        <v>265</v>
      </c>
      <c r="W5" s="81" t="s">
        <v>265</v>
      </c>
      <c r="X5" s="81" t="s">
        <v>265</v>
      </c>
      <c r="Y5" s="81"/>
      <c r="Z5" s="81"/>
      <c r="AA5" s="81" t="s">
        <v>265</v>
      </c>
      <c r="AB5" s="81" t="s">
        <v>265</v>
      </c>
      <c r="AC5" s="81" t="s">
        <v>265</v>
      </c>
      <c r="AD5" s="81" t="s">
        <v>265</v>
      </c>
      <c r="AE5" s="81" t="s">
        <v>265</v>
      </c>
      <c r="AF5" s="81" t="s">
        <v>265</v>
      </c>
      <c r="AG5" s="81" t="s">
        <v>265</v>
      </c>
      <c r="AH5" s="81"/>
      <c r="AI5" s="81"/>
      <c r="AJ5" s="81" t="s">
        <v>265</v>
      </c>
      <c r="AK5" s="81" t="s">
        <v>265</v>
      </c>
      <c r="AL5" s="81" t="s">
        <v>265</v>
      </c>
      <c r="AM5" s="81" t="s">
        <v>265</v>
      </c>
      <c r="AN5" s="81" t="s">
        <v>265</v>
      </c>
      <c r="AO5" s="82" t="s">
        <v>265</v>
      </c>
      <c r="AP5" s="66">
        <f t="shared" si="4"/>
        <v>2.2640968558517771E-2</v>
      </c>
      <c r="AQ5" s="61">
        <f t="shared" si="0"/>
        <v>2.2640968558517771E-2</v>
      </c>
      <c r="AR5" s="61">
        <f t="shared" si="5"/>
        <v>0</v>
      </c>
      <c r="AS5" s="4">
        <f t="shared" si="1"/>
        <v>2.2640968558517771E-2</v>
      </c>
      <c r="AT5" s="4">
        <f t="shared" si="2"/>
        <v>0</v>
      </c>
      <c r="AU5" s="4">
        <f t="shared" si="3"/>
        <v>0</v>
      </c>
      <c r="AV5" s="4">
        <f t="shared" si="6"/>
        <v>0</v>
      </c>
    </row>
    <row r="6" spans="1:48" x14ac:dyDescent="0.25">
      <c r="B6" s="2"/>
      <c r="C6" t="s">
        <v>41</v>
      </c>
      <c r="D6" s="83">
        <v>6.5415614056163899E-3</v>
      </c>
      <c r="E6" s="83" t="s">
        <v>265</v>
      </c>
      <c r="F6" s="83" t="s">
        <v>265</v>
      </c>
      <c r="G6" s="83" t="s">
        <v>265</v>
      </c>
      <c r="H6" s="83">
        <v>1.01335748380402E-3</v>
      </c>
      <c r="I6" s="83" t="s">
        <v>265</v>
      </c>
      <c r="J6" s="83">
        <v>1.25119338315338E-2</v>
      </c>
      <c r="K6" s="83">
        <v>2.58914829109826E-3</v>
      </c>
      <c r="L6" s="83" t="s">
        <v>265</v>
      </c>
      <c r="M6" s="83" t="s">
        <v>265</v>
      </c>
      <c r="N6" s="83" t="s">
        <v>265</v>
      </c>
      <c r="O6" s="83" t="s">
        <v>265</v>
      </c>
      <c r="P6" s="83" t="s">
        <v>265</v>
      </c>
      <c r="Q6" s="83" t="s">
        <v>265</v>
      </c>
      <c r="R6" s="83" t="s">
        <v>265</v>
      </c>
      <c r="S6" s="83" t="s">
        <v>265</v>
      </c>
      <c r="T6" s="83" t="s">
        <v>265</v>
      </c>
      <c r="U6" s="83" t="s">
        <v>265</v>
      </c>
      <c r="V6" s="83" t="s">
        <v>265</v>
      </c>
      <c r="W6" s="83" t="s">
        <v>265</v>
      </c>
      <c r="X6" s="83" t="s">
        <v>265</v>
      </c>
      <c r="Y6" s="83"/>
      <c r="Z6" s="83"/>
      <c r="AA6" s="83" t="s">
        <v>265</v>
      </c>
      <c r="AB6" s="83" t="s">
        <v>265</v>
      </c>
      <c r="AC6" s="83" t="s">
        <v>265</v>
      </c>
      <c r="AD6" s="83" t="s">
        <v>265</v>
      </c>
      <c r="AE6" s="83" t="s">
        <v>265</v>
      </c>
      <c r="AF6" s="83" t="s">
        <v>265</v>
      </c>
      <c r="AG6" s="83" t="s">
        <v>265</v>
      </c>
      <c r="AH6" s="83"/>
      <c r="AI6" s="83"/>
      <c r="AJ6" s="83" t="s">
        <v>265</v>
      </c>
      <c r="AK6" s="83" t="s">
        <v>265</v>
      </c>
      <c r="AL6" s="83" t="s">
        <v>265</v>
      </c>
      <c r="AM6" s="83" t="s">
        <v>265</v>
      </c>
      <c r="AN6" s="83" t="s">
        <v>265</v>
      </c>
      <c r="AO6" s="84" t="s">
        <v>265</v>
      </c>
      <c r="AP6" s="66">
        <f t="shared" si="4"/>
        <v>2.2656001012052469E-2</v>
      </c>
      <c r="AQ6" s="61">
        <f t="shared" si="0"/>
        <v>2.2656001012052469E-2</v>
      </c>
      <c r="AR6" s="61">
        <f t="shared" si="5"/>
        <v>0</v>
      </c>
      <c r="AS6" s="4">
        <f t="shared" si="1"/>
        <v>2.2656001012052469E-2</v>
      </c>
      <c r="AT6" s="4">
        <f t="shared" si="2"/>
        <v>0</v>
      </c>
      <c r="AU6" s="4">
        <f t="shared" si="3"/>
        <v>0</v>
      </c>
      <c r="AV6" s="4">
        <f t="shared" si="6"/>
        <v>0</v>
      </c>
    </row>
    <row r="7" spans="1:48" x14ac:dyDescent="0.25">
      <c r="A7">
        <v>5</v>
      </c>
      <c r="B7" s="2">
        <v>45072</v>
      </c>
      <c r="C7" t="s">
        <v>36</v>
      </c>
      <c r="D7" s="79">
        <v>9.8164066612928494E-2</v>
      </c>
      <c r="E7" s="79" t="s">
        <v>265</v>
      </c>
      <c r="F7" s="79" t="s">
        <v>265</v>
      </c>
      <c r="G7" s="79" t="s">
        <v>265</v>
      </c>
      <c r="H7" s="79">
        <v>4.4426549334355414E-3</v>
      </c>
      <c r="I7" s="79" t="s">
        <v>265</v>
      </c>
      <c r="J7" s="79" t="s">
        <v>265</v>
      </c>
      <c r="K7" s="79" t="s">
        <v>265</v>
      </c>
      <c r="L7" s="79" t="s">
        <v>265</v>
      </c>
      <c r="M7" s="79" t="s">
        <v>265</v>
      </c>
      <c r="N7" s="79" t="s">
        <v>265</v>
      </c>
      <c r="O7" s="79" t="s">
        <v>265</v>
      </c>
      <c r="P7" s="79" t="s">
        <v>265</v>
      </c>
      <c r="Q7" s="79" t="s">
        <v>265</v>
      </c>
      <c r="R7" s="79" t="s">
        <v>265</v>
      </c>
      <c r="S7" s="79">
        <v>5.3580058831647799E-2</v>
      </c>
      <c r="T7" s="79">
        <v>3.8691960747259301E-2</v>
      </c>
      <c r="U7" s="79">
        <v>3.6018150539357897E-2</v>
      </c>
      <c r="V7" s="79" t="s">
        <v>265</v>
      </c>
      <c r="W7" s="79">
        <v>1.2965405021472E-3</v>
      </c>
      <c r="X7" s="79" t="s">
        <v>266</v>
      </c>
      <c r="Y7" s="79" t="s">
        <v>266</v>
      </c>
      <c r="Z7" s="79" t="s">
        <v>266</v>
      </c>
      <c r="AA7" s="79">
        <v>4.3670303934443644E-4</v>
      </c>
      <c r="AB7" s="79" t="s">
        <v>266</v>
      </c>
      <c r="AC7" s="79" t="s">
        <v>266</v>
      </c>
      <c r="AD7" s="79" t="s">
        <v>266</v>
      </c>
      <c r="AE7" s="79">
        <v>2.8082242722292073E-3</v>
      </c>
      <c r="AF7" s="79">
        <v>2.5424562337542854E-4</v>
      </c>
      <c r="AG7" s="79">
        <v>2.5311993405342993E-4</v>
      </c>
      <c r="AH7" s="79" t="s">
        <v>266</v>
      </c>
      <c r="AI7" s="79" t="s">
        <v>266</v>
      </c>
      <c r="AJ7" s="79">
        <v>7.5652293876605353E-2</v>
      </c>
      <c r="AK7" s="79">
        <v>5.4933853295788447E-2</v>
      </c>
      <c r="AL7" s="79">
        <v>1.7359270346077812E-2</v>
      </c>
      <c r="AM7" s="79">
        <v>9.3604569100482291E-3</v>
      </c>
      <c r="AN7" s="79">
        <v>3.235156124643855E-3</v>
      </c>
      <c r="AO7" s="80" t="s">
        <v>266</v>
      </c>
      <c r="AP7" s="66">
        <f t="shared" si="4"/>
        <v>0.39648675558894242</v>
      </c>
      <c r="AQ7" s="61">
        <f t="shared" si="0"/>
        <v>0.23219343216677624</v>
      </c>
      <c r="AR7" s="61">
        <f t="shared" si="5"/>
        <v>0.16429332342216621</v>
      </c>
      <c r="AS7" s="4">
        <f t="shared" si="1"/>
        <v>0.10260672154636404</v>
      </c>
      <c r="AT7" s="4">
        <f t="shared" si="2"/>
        <v>0.12958671062041219</v>
      </c>
      <c r="AU7" s="4">
        <f t="shared" si="3"/>
        <v>3.7522928690025023E-3</v>
      </c>
      <c r="AV7" s="4">
        <f t="shared" si="6"/>
        <v>0.16054103055316371</v>
      </c>
    </row>
    <row r="8" spans="1:48" x14ac:dyDescent="0.25">
      <c r="C8" t="s">
        <v>39</v>
      </c>
      <c r="D8" s="81">
        <v>2.24605963039477</v>
      </c>
      <c r="E8" s="81">
        <v>3.3345659651197401E-2</v>
      </c>
      <c r="F8" s="81" t="s">
        <v>265</v>
      </c>
      <c r="G8" s="81" t="s">
        <v>265</v>
      </c>
      <c r="H8" s="81">
        <v>0.209595663169868</v>
      </c>
      <c r="I8" s="81">
        <v>8.4797716901868301E-3</v>
      </c>
      <c r="J8" s="81">
        <v>3.3389069317713203E-2</v>
      </c>
      <c r="K8" s="81">
        <v>9.360817310340809E-3</v>
      </c>
      <c r="L8" s="81">
        <v>7.89648505321092E-3</v>
      </c>
      <c r="M8" s="81" t="s">
        <v>265</v>
      </c>
      <c r="N8" s="81" t="s">
        <v>265</v>
      </c>
      <c r="O8" s="81" t="s">
        <v>265</v>
      </c>
      <c r="P8" s="81" t="s">
        <v>265</v>
      </c>
      <c r="Q8" s="81" t="s">
        <v>265</v>
      </c>
      <c r="R8" s="81" t="s">
        <v>265</v>
      </c>
      <c r="S8" s="81">
        <v>1.87660381699656</v>
      </c>
      <c r="T8" s="81">
        <v>1.0537722752310799</v>
      </c>
      <c r="U8" s="81">
        <v>0.61761008805601503</v>
      </c>
      <c r="V8" s="81">
        <v>7.0429298677974997E-2</v>
      </c>
      <c r="W8" s="81">
        <v>2.0764918452111397E-2</v>
      </c>
      <c r="X8" s="81" t="s">
        <v>265</v>
      </c>
      <c r="Y8" s="81"/>
      <c r="Z8" s="81"/>
      <c r="AA8" s="81">
        <v>1.9610061907035702E-2</v>
      </c>
      <c r="AB8" s="81">
        <v>1.64689399004667E-3</v>
      </c>
      <c r="AC8" s="81" t="s">
        <v>265</v>
      </c>
      <c r="AD8" s="81" t="s">
        <v>265</v>
      </c>
      <c r="AE8" s="81" t="s">
        <v>265</v>
      </c>
      <c r="AF8" s="81">
        <v>6.8514143292240648E-3</v>
      </c>
      <c r="AG8" s="81">
        <v>7.2705515071929752E-3</v>
      </c>
      <c r="AH8" s="81"/>
      <c r="AI8" s="81"/>
      <c r="AJ8" s="81">
        <v>0.29225129548985251</v>
      </c>
      <c r="AK8" s="81">
        <v>1.9363650390547249</v>
      </c>
      <c r="AL8" s="81">
        <v>0.42756712867803598</v>
      </c>
      <c r="AM8" s="81">
        <v>0.44154062465152655</v>
      </c>
      <c r="AN8" s="81">
        <v>0.12534287001228395</v>
      </c>
      <c r="AO8" s="82">
        <v>5.0288467165350605E-2</v>
      </c>
      <c r="AP8" s="66">
        <f t="shared" si="4"/>
        <v>9.496041840786301</v>
      </c>
      <c r="AQ8" s="61">
        <f t="shared" si="0"/>
        <v>6.1873074940010282</v>
      </c>
      <c r="AR8" s="61">
        <f t="shared" si="5"/>
        <v>3.3087343467852737</v>
      </c>
      <c r="AS8" s="4">
        <f t="shared" si="1"/>
        <v>2.5481270965872871</v>
      </c>
      <c r="AT8" s="4">
        <f t="shared" si="2"/>
        <v>3.6391803974137411</v>
      </c>
      <c r="AU8" s="4">
        <f t="shared" si="3"/>
        <v>3.5378921733499408E-2</v>
      </c>
      <c r="AV8" s="4">
        <f t="shared" si="6"/>
        <v>3.2733554250517747</v>
      </c>
    </row>
    <row r="9" spans="1:48" x14ac:dyDescent="0.25">
      <c r="C9" t="s">
        <v>40</v>
      </c>
      <c r="D9" s="81">
        <v>0.78960623360809801</v>
      </c>
      <c r="E9" s="81">
        <v>1.3818630109277599E-2</v>
      </c>
      <c r="F9" s="81" t="s">
        <v>265</v>
      </c>
      <c r="G9" s="81" t="s">
        <v>265</v>
      </c>
      <c r="H9" s="81">
        <v>4.0133144250146899E-2</v>
      </c>
      <c r="I9" s="81">
        <v>2.6023062165192001E-3</v>
      </c>
      <c r="J9" s="81">
        <v>2.1062998773426902E-2</v>
      </c>
      <c r="K9" s="81">
        <v>5.5475062293487403E-3</v>
      </c>
      <c r="L9" s="81" t="s">
        <v>265</v>
      </c>
      <c r="M9" s="81" t="s">
        <v>265</v>
      </c>
      <c r="N9" s="81" t="s">
        <v>265</v>
      </c>
      <c r="O9" s="81" t="s">
        <v>265</v>
      </c>
      <c r="P9" s="81" t="s">
        <v>265</v>
      </c>
      <c r="Q9" s="81" t="s">
        <v>265</v>
      </c>
      <c r="R9" s="81" t="s">
        <v>265</v>
      </c>
      <c r="S9" s="81">
        <v>0.50523927403996205</v>
      </c>
      <c r="T9" s="81">
        <v>0.36539778023237396</v>
      </c>
      <c r="U9" s="81">
        <v>0.32328649307469198</v>
      </c>
      <c r="V9" s="81">
        <v>2.68430125780139E-2</v>
      </c>
      <c r="W9" s="81">
        <v>1.18975483383991E-2</v>
      </c>
      <c r="X9" s="81" t="s">
        <v>265</v>
      </c>
      <c r="Y9" s="81"/>
      <c r="Z9" s="81"/>
      <c r="AA9" s="81">
        <v>3.84639919889388E-3</v>
      </c>
      <c r="AB9" s="81" t="s">
        <v>265</v>
      </c>
      <c r="AC9" s="81" t="s">
        <v>265</v>
      </c>
      <c r="AD9" s="81" t="s">
        <v>265</v>
      </c>
      <c r="AE9" s="81" t="s">
        <v>265</v>
      </c>
      <c r="AF9" s="81" t="s">
        <v>265</v>
      </c>
      <c r="AG9" s="81" t="s">
        <v>265</v>
      </c>
      <c r="AH9" s="81"/>
      <c r="AI9" s="81"/>
      <c r="AJ9" s="81">
        <v>9.6911218567987956E-2</v>
      </c>
      <c r="AK9" s="81">
        <v>0.51672229362191902</v>
      </c>
      <c r="AL9" s="81">
        <v>0.17091438572765072</v>
      </c>
      <c r="AM9" s="81">
        <v>0.13218645795696118</v>
      </c>
      <c r="AN9" s="81">
        <v>4.1003157029536594E-2</v>
      </c>
      <c r="AO9" s="82">
        <v>2.2455549144666177E-2</v>
      </c>
      <c r="AP9" s="66">
        <f t="shared" si="4"/>
        <v>3.0894743886978731</v>
      </c>
      <c r="AQ9" s="61">
        <f t="shared" si="0"/>
        <v>2.1054349274502582</v>
      </c>
      <c r="AR9" s="61">
        <f t="shared" si="5"/>
        <v>0.98403946124761554</v>
      </c>
      <c r="AS9" s="4">
        <f t="shared" si="1"/>
        <v>0.87277081918681743</v>
      </c>
      <c r="AT9" s="4">
        <f t="shared" si="2"/>
        <v>1.2326641082634411</v>
      </c>
      <c r="AU9" s="4">
        <f t="shared" si="3"/>
        <v>3.84639919889388E-3</v>
      </c>
      <c r="AV9" s="4">
        <f t="shared" si="6"/>
        <v>0.9801930620487217</v>
      </c>
    </row>
    <row r="10" spans="1:48" x14ac:dyDescent="0.25">
      <c r="C10" t="s">
        <v>41</v>
      </c>
      <c r="D10" s="83">
        <v>0.279018390056684</v>
      </c>
      <c r="E10" s="83">
        <v>6.5073364540553106E-3</v>
      </c>
      <c r="F10" s="83" t="s">
        <v>265</v>
      </c>
      <c r="G10" s="83" t="s">
        <v>265</v>
      </c>
      <c r="H10" s="83">
        <v>3.0518497895284297E-2</v>
      </c>
      <c r="I10" s="83">
        <v>2.8251625857980398E-3</v>
      </c>
      <c r="J10" s="83">
        <v>2.64028903773092E-2</v>
      </c>
      <c r="K10" s="83">
        <v>7.4585079263439708E-3</v>
      </c>
      <c r="L10" s="83" t="s">
        <v>265</v>
      </c>
      <c r="M10" s="83" t="s">
        <v>265</v>
      </c>
      <c r="N10" s="83" t="s">
        <v>265</v>
      </c>
      <c r="O10" s="83" t="s">
        <v>265</v>
      </c>
      <c r="P10" s="83" t="s">
        <v>265</v>
      </c>
      <c r="Q10" s="83" t="s">
        <v>265</v>
      </c>
      <c r="R10" s="83" t="s">
        <v>265</v>
      </c>
      <c r="S10" s="83">
        <v>0.63925431093827101</v>
      </c>
      <c r="T10" s="83">
        <v>0.43831271544360501</v>
      </c>
      <c r="U10" s="83">
        <v>0.344819352976798</v>
      </c>
      <c r="V10" s="83">
        <v>2.9631016779758098E-2</v>
      </c>
      <c r="W10" s="83">
        <v>1.2468631218282299E-2</v>
      </c>
      <c r="X10" s="83" t="s">
        <v>265</v>
      </c>
      <c r="Y10" s="83"/>
      <c r="Z10" s="83"/>
      <c r="AA10" s="83">
        <v>2.769374528613595E-3</v>
      </c>
      <c r="AB10" s="83" t="s">
        <v>265</v>
      </c>
      <c r="AC10" s="83" t="s">
        <v>265</v>
      </c>
      <c r="AD10" s="83" t="s">
        <v>265</v>
      </c>
      <c r="AE10" s="83" t="s">
        <v>265</v>
      </c>
      <c r="AF10" s="83">
        <v>2.9476215648256447E-3</v>
      </c>
      <c r="AG10" s="83">
        <v>3.4423885011957045E-3</v>
      </c>
      <c r="AH10" s="83"/>
      <c r="AI10" s="83"/>
      <c r="AJ10" s="83">
        <v>0.1020955943800058</v>
      </c>
      <c r="AK10" s="83">
        <v>0.7176094132707479</v>
      </c>
      <c r="AL10" s="83">
        <v>0.21949159979208849</v>
      </c>
      <c r="AM10" s="83">
        <v>0.17289452509140305</v>
      </c>
      <c r="AN10" s="83">
        <v>4.9447564206956299E-2</v>
      </c>
      <c r="AO10" s="84">
        <v>2.9113419824988634E-2</v>
      </c>
      <c r="AP10" s="66">
        <f t="shared" si="4"/>
        <v>3.1170283138130146</v>
      </c>
      <c r="AQ10" s="61">
        <f t="shared" si="0"/>
        <v>1.817216812652189</v>
      </c>
      <c r="AR10" s="61">
        <f t="shared" si="5"/>
        <v>1.2998115011608253</v>
      </c>
      <c r="AS10" s="4">
        <f t="shared" si="1"/>
        <v>0.3527307852954748</v>
      </c>
      <c r="AT10" s="4">
        <f t="shared" si="2"/>
        <v>1.4644860273567142</v>
      </c>
      <c r="AU10" s="4">
        <f t="shared" si="3"/>
        <v>9.1593845946349433E-3</v>
      </c>
      <c r="AV10" s="4">
        <f t="shared" si="6"/>
        <v>1.2906521165661904</v>
      </c>
    </row>
    <row r="11" spans="1:48" x14ac:dyDescent="0.25">
      <c r="A11">
        <v>17</v>
      </c>
      <c r="B11" s="2">
        <v>45084</v>
      </c>
      <c r="C11" t="s">
        <v>36</v>
      </c>
      <c r="D11" s="79">
        <v>1.19641911251205</v>
      </c>
      <c r="E11" s="79">
        <v>3.4012276422417602E-2</v>
      </c>
      <c r="F11" s="79" t="s">
        <v>265</v>
      </c>
      <c r="G11" s="79" t="s">
        <v>265</v>
      </c>
      <c r="H11" s="79">
        <v>5.0477336705412809E-2</v>
      </c>
      <c r="I11" s="79">
        <v>4.6489465087705788E-3</v>
      </c>
      <c r="J11" s="79">
        <v>3.2914773966452947E-2</v>
      </c>
      <c r="K11" s="79">
        <v>1.6954041349351301E-2</v>
      </c>
      <c r="L11" s="79">
        <v>1.49716133301933E-2</v>
      </c>
      <c r="M11" s="79">
        <v>4.3512974013214462E-3</v>
      </c>
      <c r="N11" s="79" t="s">
        <v>265</v>
      </c>
      <c r="O11" s="79" t="s">
        <v>265</v>
      </c>
      <c r="P11" s="79" t="s">
        <v>265</v>
      </c>
      <c r="Q11" s="79">
        <v>6.5557913200847704E-3</v>
      </c>
      <c r="R11" s="79">
        <v>5.6641672377653702E-3</v>
      </c>
      <c r="S11" s="79">
        <v>4.6243772558082901</v>
      </c>
      <c r="T11" s="79">
        <v>2.9057804620535901</v>
      </c>
      <c r="U11" s="79">
        <v>2.0641866359766401</v>
      </c>
      <c r="V11" s="79">
        <v>0.102152144349442</v>
      </c>
      <c r="W11" s="79">
        <v>8.5388713982052E-2</v>
      </c>
      <c r="X11" s="79">
        <v>1.14400408441735E-2</v>
      </c>
      <c r="Y11" s="79" t="s">
        <v>266</v>
      </c>
      <c r="Z11" s="79" t="s">
        <v>266</v>
      </c>
      <c r="AA11" s="79">
        <v>4.8111453669411712E-3</v>
      </c>
      <c r="AB11" s="79">
        <v>5.5744863885341352E-4</v>
      </c>
      <c r="AC11" s="79">
        <v>2.8382231967330998E-3</v>
      </c>
      <c r="AD11" s="79">
        <v>7.6697844121633206E-3</v>
      </c>
      <c r="AE11" s="79">
        <v>2.1140420501981765E-2</v>
      </c>
      <c r="AF11" s="79">
        <v>1.0455106475929874E-2</v>
      </c>
      <c r="AG11" s="79">
        <v>8.5536131385797205E-3</v>
      </c>
      <c r="AH11" s="79" t="s">
        <v>266</v>
      </c>
      <c r="AI11" s="79" t="s">
        <v>266</v>
      </c>
      <c r="AJ11" s="79">
        <v>0.5271159560327765</v>
      </c>
      <c r="AK11" s="79">
        <v>5.4549801313517747</v>
      </c>
      <c r="AL11" s="79">
        <v>1.3477171716721805</v>
      </c>
      <c r="AM11" s="79">
        <v>0.58912211765783962</v>
      </c>
      <c r="AN11" s="79">
        <v>0.15329934076695156</v>
      </c>
      <c r="AO11" s="80">
        <v>7.2365778849155307E-2</v>
      </c>
      <c r="AP11" s="66">
        <f t="shared" si="4"/>
        <v>19.360920847829867</v>
      </c>
      <c r="AQ11" s="61">
        <f t="shared" si="0"/>
        <v>11.160294609768007</v>
      </c>
      <c r="AR11" s="61">
        <f t="shared" si="5"/>
        <v>8.2006262380618615</v>
      </c>
      <c r="AS11" s="4">
        <f t="shared" si="1"/>
        <v>1.3547493981959702</v>
      </c>
      <c r="AT11" s="4">
        <f t="shared" si="2"/>
        <v>9.8055452115720385</v>
      </c>
      <c r="AU11" s="4">
        <f t="shared" si="3"/>
        <v>5.6025741731182355E-2</v>
      </c>
      <c r="AV11" s="4">
        <f t="shared" si="6"/>
        <v>8.1446004963306784</v>
      </c>
    </row>
    <row r="12" spans="1:48" x14ac:dyDescent="0.25">
      <c r="C12" t="s">
        <v>39</v>
      </c>
      <c r="D12" s="81">
        <v>3.67502333566574</v>
      </c>
      <c r="E12" s="81">
        <v>5.2710090590919599E-2</v>
      </c>
      <c r="F12" s="81" t="s">
        <v>265</v>
      </c>
      <c r="G12" s="81" t="s">
        <v>265</v>
      </c>
      <c r="H12" s="81">
        <v>0.22187965780612298</v>
      </c>
      <c r="I12" s="81">
        <v>1.5030022547124601E-2</v>
      </c>
      <c r="J12" s="81">
        <v>7.3795781913673808E-2</v>
      </c>
      <c r="K12" s="81">
        <v>3.49147823591077E-2</v>
      </c>
      <c r="L12" s="81">
        <v>2.9367155782343599E-2</v>
      </c>
      <c r="M12" s="81">
        <v>1.177727502749E-2</v>
      </c>
      <c r="N12" s="81">
        <v>3.71900619133E-3</v>
      </c>
      <c r="O12" s="81" t="s">
        <v>265</v>
      </c>
      <c r="P12" s="81" t="s">
        <v>265</v>
      </c>
      <c r="Q12" s="81">
        <v>1.6660111714123901E-2</v>
      </c>
      <c r="R12" s="81">
        <v>1.1517704350125901E-2</v>
      </c>
      <c r="S12" s="81">
        <v>10.835528744974001</v>
      </c>
      <c r="T12" s="81">
        <v>5.9692562438094399</v>
      </c>
      <c r="U12" s="81">
        <v>3.5304297069530199</v>
      </c>
      <c r="V12" s="81">
        <v>0.37883498507369701</v>
      </c>
      <c r="W12" s="81">
        <v>0.17813655823584698</v>
      </c>
      <c r="X12" s="81">
        <v>2.12743835140164E-2</v>
      </c>
      <c r="Y12" s="81"/>
      <c r="Z12" s="81"/>
      <c r="AA12" s="81">
        <v>2.7330063803399352E-2</v>
      </c>
      <c r="AB12" s="81">
        <v>2.46629679871813E-3</v>
      </c>
      <c r="AC12" s="81" t="s">
        <v>265</v>
      </c>
      <c r="AD12" s="81">
        <v>1.1024792686562189E-2</v>
      </c>
      <c r="AE12" s="81">
        <v>4.4394956552049752E-2</v>
      </c>
      <c r="AF12" s="81">
        <v>3.0188292932294948E-2</v>
      </c>
      <c r="AG12" s="81">
        <v>2.1826027513332701E-2</v>
      </c>
      <c r="AH12" s="81"/>
      <c r="AI12" s="81"/>
      <c r="AJ12" s="81">
        <v>1.5371696030902051</v>
      </c>
      <c r="AK12" s="81">
        <v>15.305735766819165</v>
      </c>
      <c r="AL12" s="81">
        <v>2.9501752224288449</v>
      </c>
      <c r="AM12" s="81">
        <v>1.8463504174720931</v>
      </c>
      <c r="AN12" s="81">
        <v>0.40866443218217702</v>
      </c>
      <c r="AO12" s="82">
        <v>0.18121911757366274</v>
      </c>
      <c r="AP12" s="66">
        <f t="shared" si="4"/>
        <v>47.426400536360632</v>
      </c>
      <c r="AQ12" s="61">
        <f t="shared" si="0"/>
        <v>25.059855546508121</v>
      </c>
      <c r="AR12" s="61">
        <f t="shared" si="5"/>
        <v>22.366544989852503</v>
      </c>
      <c r="AS12" s="4">
        <f t="shared" si="1"/>
        <v>4.1182171078838516</v>
      </c>
      <c r="AT12" s="4">
        <f t="shared" si="2"/>
        <v>20.941638438624267</v>
      </c>
      <c r="AU12" s="4">
        <f t="shared" si="3"/>
        <v>0.13723043028635706</v>
      </c>
      <c r="AV12" s="4">
        <f t="shared" si="6"/>
        <v>22.229314559566145</v>
      </c>
    </row>
    <row r="13" spans="1:48" x14ac:dyDescent="0.25">
      <c r="C13" t="s">
        <v>40</v>
      </c>
      <c r="D13" s="81">
        <v>2.7551055604085501</v>
      </c>
      <c r="E13" s="81">
        <v>3.9803457530830998E-2</v>
      </c>
      <c r="F13" s="81" t="s">
        <v>265</v>
      </c>
      <c r="G13" s="81" t="s">
        <v>265</v>
      </c>
      <c r="H13" s="81">
        <v>0.17811158942407701</v>
      </c>
      <c r="I13" s="81">
        <v>7.2258822105941492E-3</v>
      </c>
      <c r="J13" s="81">
        <v>4.3196445494956201E-2</v>
      </c>
      <c r="K13" s="81">
        <v>1.86194526223438E-2</v>
      </c>
      <c r="L13" s="81">
        <v>1.69262717975509E-2</v>
      </c>
      <c r="M13" s="81">
        <v>5.0055865967406302E-3</v>
      </c>
      <c r="N13" s="81" t="s">
        <v>265</v>
      </c>
      <c r="O13" s="81" t="s">
        <v>265</v>
      </c>
      <c r="P13" s="81" t="s">
        <v>265</v>
      </c>
      <c r="Q13" s="81">
        <v>1.1395948625353799E-2</v>
      </c>
      <c r="R13" s="81">
        <v>6.0242160625142193E-3</v>
      </c>
      <c r="S13" s="81">
        <v>4.5231807834538307</v>
      </c>
      <c r="T13" s="81">
        <v>2.8542492831941599</v>
      </c>
      <c r="U13" s="81">
        <v>1.79539685407369</v>
      </c>
      <c r="V13" s="81">
        <v>0.17329305665351502</v>
      </c>
      <c r="W13" s="81">
        <v>8.3583860428090101E-2</v>
      </c>
      <c r="X13" s="81">
        <v>1.0792537855158199E-2</v>
      </c>
      <c r="Y13" s="81"/>
      <c r="Z13" s="81"/>
      <c r="AA13" s="81">
        <v>2.1480765512347504E-2</v>
      </c>
      <c r="AB13" s="81">
        <v>1.3376403419051231E-3</v>
      </c>
      <c r="AC13" s="81" t="s">
        <v>265</v>
      </c>
      <c r="AD13" s="81">
        <v>5.6344680479036759E-3</v>
      </c>
      <c r="AE13" s="81">
        <v>2.0486206072156985E-2</v>
      </c>
      <c r="AF13" s="81">
        <v>1.0451948290635031E-2</v>
      </c>
      <c r="AG13" s="81">
        <v>8.9858358554183899E-3</v>
      </c>
      <c r="AH13" s="81"/>
      <c r="AI13" s="81"/>
      <c r="AJ13" s="81">
        <v>0.56839127645739351</v>
      </c>
      <c r="AK13" s="81">
        <v>5.5625440524280751</v>
      </c>
      <c r="AL13" s="81">
        <v>1.2518256102986691</v>
      </c>
      <c r="AM13" s="81">
        <v>0.73344088456303003</v>
      </c>
      <c r="AN13" s="81">
        <v>0.15659987917422924</v>
      </c>
      <c r="AO13" s="82">
        <v>7.2378222425363542E-2</v>
      </c>
      <c r="AP13" s="66">
        <f t="shared" si="4"/>
        <v>20.935467575899086</v>
      </c>
      <c r="AQ13" s="61">
        <f t="shared" si="0"/>
        <v>12.521910786431954</v>
      </c>
      <c r="AR13" s="61">
        <f t="shared" si="5"/>
        <v>8.4135567894671279</v>
      </c>
      <c r="AS13" s="4">
        <f t="shared" si="1"/>
        <v>3.0639942460856435</v>
      </c>
      <c r="AT13" s="4">
        <f t="shared" si="2"/>
        <v>9.4579165403463126</v>
      </c>
      <c r="AU13" s="4">
        <f t="shared" si="3"/>
        <v>6.8376864120366712E-2</v>
      </c>
      <c r="AV13" s="4">
        <f t="shared" si="6"/>
        <v>8.3451799253467609</v>
      </c>
    </row>
    <row r="14" spans="1:48" x14ac:dyDescent="0.25">
      <c r="C14" t="s">
        <v>41</v>
      </c>
      <c r="D14" s="83">
        <v>1.6091218272130901</v>
      </c>
      <c r="E14" s="83">
        <v>3.48060411972336E-2</v>
      </c>
      <c r="F14" s="83" t="s">
        <v>265</v>
      </c>
      <c r="G14" s="83" t="s">
        <v>265</v>
      </c>
      <c r="H14" s="83">
        <v>0.11524712207587601</v>
      </c>
      <c r="I14" s="83">
        <v>1.20451467714188E-2</v>
      </c>
      <c r="J14" s="83">
        <v>8.3871477172770201E-2</v>
      </c>
      <c r="K14" s="83">
        <v>4.1619764345093103E-2</v>
      </c>
      <c r="L14" s="83">
        <v>3.4153800334022003E-2</v>
      </c>
      <c r="M14" s="83">
        <v>1.2351631347168199E-2</v>
      </c>
      <c r="N14" s="83">
        <v>4.0851702599383208E-3</v>
      </c>
      <c r="O14" s="83" t="s">
        <v>265</v>
      </c>
      <c r="P14" s="83" t="s">
        <v>265</v>
      </c>
      <c r="Q14" s="83">
        <v>1.20643796393429E-2</v>
      </c>
      <c r="R14" s="83">
        <v>9.1155236529303005E-3</v>
      </c>
      <c r="S14" s="83">
        <v>9.8357407093285687</v>
      </c>
      <c r="T14" s="83">
        <v>7.4230781195522706</v>
      </c>
      <c r="U14" s="83">
        <v>3.6727777893274602</v>
      </c>
      <c r="V14" s="83">
        <v>0.36623319428279599</v>
      </c>
      <c r="W14" s="83">
        <v>0.17022264270950799</v>
      </c>
      <c r="X14" s="83">
        <v>1.68274816537143E-2</v>
      </c>
      <c r="Y14" s="83"/>
      <c r="Z14" s="83"/>
      <c r="AA14" s="83">
        <v>1.2645314073531651E-2</v>
      </c>
      <c r="AB14" s="83">
        <v>1.3444266951945485E-3</v>
      </c>
      <c r="AC14" s="83" t="s">
        <v>265</v>
      </c>
      <c r="AD14" s="83">
        <v>1.3881859657493304E-2</v>
      </c>
      <c r="AE14" s="83">
        <v>5.62097632959392E-2</v>
      </c>
      <c r="AF14" s="83">
        <v>3.011836119085385E-2</v>
      </c>
      <c r="AG14" s="83">
        <v>2.0624772184046E-2</v>
      </c>
      <c r="AH14" s="83"/>
      <c r="AI14" s="83"/>
      <c r="AJ14" s="83">
        <v>1.352204809328623</v>
      </c>
      <c r="AK14" s="83">
        <v>14.213042037467297</v>
      </c>
      <c r="AL14" s="83">
        <v>2.6810979497808405</v>
      </c>
      <c r="AM14" s="83">
        <v>1.608714992248379</v>
      </c>
      <c r="AN14" s="83">
        <v>0.34982015776777198</v>
      </c>
      <c r="AO14" s="84">
        <v>0.1612771691561265</v>
      </c>
      <c r="AP14" s="66">
        <f t="shared" si="4"/>
        <v>43.954343433709305</v>
      </c>
      <c r="AQ14" s="61">
        <f t="shared" si="0"/>
        <v>23.453361820863201</v>
      </c>
      <c r="AR14" s="61">
        <f t="shared" si="5"/>
        <v>20.500981612846097</v>
      </c>
      <c r="AS14" s="4">
        <f t="shared" si="1"/>
        <v>1.9473019807166101</v>
      </c>
      <c r="AT14" s="4">
        <f t="shared" si="2"/>
        <v>21.506059840146591</v>
      </c>
      <c r="AU14" s="4">
        <f t="shared" si="3"/>
        <v>0.13482449709705857</v>
      </c>
      <c r="AV14" s="4">
        <f t="shared" si="6"/>
        <v>20.36615711574904</v>
      </c>
    </row>
    <row r="15" spans="1:48" x14ac:dyDescent="0.25">
      <c r="A15">
        <v>38</v>
      </c>
      <c r="B15" s="2">
        <v>45105</v>
      </c>
      <c r="C15" t="s">
        <v>36</v>
      </c>
      <c r="D15" s="79">
        <v>0.62222069012869197</v>
      </c>
      <c r="E15" s="79">
        <v>2.0120701387558299E-2</v>
      </c>
      <c r="F15" s="79" t="s">
        <v>265</v>
      </c>
      <c r="G15" s="79" t="s">
        <v>265</v>
      </c>
      <c r="H15" s="79">
        <v>1.9847346509452211E-2</v>
      </c>
      <c r="I15" s="79">
        <v>2.0039105419237492E-3</v>
      </c>
      <c r="J15" s="79">
        <v>4.3136119076977154E-2</v>
      </c>
      <c r="K15" s="79">
        <v>2.5778508931931701E-2</v>
      </c>
      <c r="L15" s="79">
        <v>2.45732131973363E-2</v>
      </c>
      <c r="M15" s="79">
        <v>6.9595442551019862E-3</v>
      </c>
      <c r="N15" s="79" t="s">
        <v>265</v>
      </c>
      <c r="O15" s="79" t="s">
        <v>265</v>
      </c>
      <c r="P15" s="79" t="s">
        <v>265</v>
      </c>
      <c r="Q15" s="79">
        <v>1.1095719548076801E-2</v>
      </c>
      <c r="R15" s="79">
        <v>1.2141093173336601E-2</v>
      </c>
      <c r="S15" s="79">
        <v>7.7913358235521804</v>
      </c>
      <c r="T15" s="79">
        <v>5.6650737451774802</v>
      </c>
      <c r="U15" s="79">
        <v>3.5708669461957903</v>
      </c>
      <c r="V15" s="79">
        <v>0.167671178737582</v>
      </c>
      <c r="W15" s="79">
        <v>9.5478274008794703E-2</v>
      </c>
      <c r="X15" s="79">
        <v>1.49404777523991E-2</v>
      </c>
      <c r="Y15" s="79" t="s">
        <v>266</v>
      </c>
      <c r="Z15" s="79" t="s">
        <v>266</v>
      </c>
      <c r="AA15" s="79">
        <v>1.9444675982843908E-3</v>
      </c>
      <c r="AB15" s="79">
        <v>2.6362252126458849E-4</v>
      </c>
      <c r="AC15" s="79">
        <v>3.8529898544175599E-3</v>
      </c>
      <c r="AD15" s="79">
        <v>1.2955858635025266E-2</v>
      </c>
      <c r="AE15" s="79">
        <v>3.0480475490152172E-2</v>
      </c>
      <c r="AF15" s="79">
        <v>9.5318486183135383E-3</v>
      </c>
      <c r="AG15" s="79">
        <v>4.1061283734182847E-3</v>
      </c>
      <c r="AH15" s="79" t="s">
        <v>266</v>
      </c>
      <c r="AI15" s="79" t="s">
        <v>266</v>
      </c>
      <c r="AJ15" s="79">
        <v>1.2012360518197391</v>
      </c>
      <c r="AK15" s="79">
        <v>11.345965384444105</v>
      </c>
      <c r="AL15" s="79">
        <v>2.3280778310498</v>
      </c>
      <c r="AM15" s="79">
        <v>0.4619932546173719</v>
      </c>
      <c r="AN15" s="79">
        <v>6.7287350113926656E-2</v>
      </c>
      <c r="AO15" s="80">
        <v>2.2546122705409146E-2</v>
      </c>
      <c r="AP15" s="66">
        <f t="shared" si="4"/>
        <v>33.583484678015836</v>
      </c>
      <c r="AQ15" s="61">
        <f t="shared" si="0"/>
        <v>18.093243292174613</v>
      </c>
      <c r="AR15" s="61">
        <f t="shared" si="5"/>
        <v>15.490241385841228</v>
      </c>
      <c r="AS15" s="4">
        <f t="shared" si="1"/>
        <v>0.76464003402897329</v>
      </c>
      <c r="AT15" s="4">
        <f t="shared" si="2"/>
        <v>17.328603258145641</v>
      </c>
      <c r="AU15" s="4">
        <f t="shared" si="3"/>
        <v>6.3135391090875792E-2</v>
      </c>
      <c r="AV15" s="4">
        <f t="shared" si="6"/>
        <v>15.427105994750352</v>
      </c>
    </row>
    <row r="16" spans="1:48" x14ac:dyDescent="0.25">
      <c r="C16" t="s">
        <v>39</v>
      </c>
      <c r="D16" s="81">
        <v>0.47456697291351996</v>
      </c>
      <c r="E16" s="81">
        <v>1.0714507365478401E-2</v>
      </c>
      <c r="F16" s="81" t="s">
        <v>265</v>
      </c>
      <c r="G16" s="81" t="s">
        <v>265</v>
      </c>
      <c r="H16" s="81">
        <v>2.6532308742198498E-2</v>
      </c>
      <c r="I16" s="81">
        <v>7.3776302534387895E-3</v>
      </c>
      <c r="J16" s="81">
        <v>0.107156169024134</v>
      </c>
      <c r="K16" s="81">
        <v>5.4210330547925699E-2</v>
      </c>
      <c r="L16" s="81">
        <v>4.00500470331797E-2</v>
      </c>
      <c r="M16" s="81">
        <v>1.5297612110506099E-2</v>
      </c>
      <c r="N16" s="81">
        <v>3.8852212077120298E-3</v>
      </c>
      <c r="O16" s="81" t="s">
        <v>265</v>
      </c>
      <c r="P16" s="81" t="s">
        <v>265</v>
      </c>
      <c r="Q16" s="81">
        <v>2.9408653847937602E-2</v>
      </c>
      <c r="R16" s="81">
        <v>2.2203826120604401E-2</v>
      </c>
      <c r="S16" s="81">
        <v>17.950616136018301</v>
      </c>
      <c r="T16" s="81">
        <v>14.6440039623887</v>
      </c>
      <c r="U16" s="81">
        <v>5.0016911305427003</v>
      </c>
      <c r="V16" s="81">
        <v>0.45625967794779304</v>
      </c>
      <c r="W16" s="81">
        <v>0.19855296137720099</v>
      </c>
      <c r="X16" s="81">
        <v>3.23563367144315E-2</v>
      </c>
      <c r="Y16" s="81"/>
      <c r="Z16" s="81"/>
      <c r="AA16" s="81">
        <v>3.4993840018234202E-3</v>
      </c>
      <c r="AB16" s="81" t="s">
        <v>265</v>
      </c>
      <c r="AC16" s="81">
        <v>1.0119185709119639E-2</v>
      </c>
      <c r="AD16" s="81">
        <v>2.077109261870725E-2</v>
      </c>
      <c r="AE16" s="81">
        <v>7.8280441633385392E-2</v>
      </c>
      <c r="AF16" s="81">
        <v>2.2599241329179898E-2</v>
      </c>
      <c r="AG16" s="81">
        <v>7.25674669640593E-3</v>
      </c>
      <c r="AH16" s="81"/>
      <c r="AI16" s="81"/>
      <c r="AJ16" s="81">
        <v>3.6083164488543149</v>
      </c>
      <c r="AK16" s="81">
        <v>33.651710510482957</v>
      </c>
      <c r="AL16" s="81">
        <v>4.1098330811812147</v>
      </c>
      <c r="AM16" s="81">
        <v>1.0730215300607702</v>
      </c>
      <c r="AN16" s="81">
        <v>0.15222149177864505</v>
      </c>
      <c r="AO16" s="82">
        <v>5.0528676136253253E-2</v>
      </c>
      <c r="AP16" s="66">
        <f t="shared" si="4"/>
        <v>81.863041314638565</v>
      </c>
      <c r="AQ16" s="61">
        <f t="shared" si="0"/>
        <v>39.074883484155762</v>
      </c>
      <c r="AR16" s="61">
        <f t="shared" si="5"/>
        <v>42.788157830482781</v>
      </c>
      <c r="AS16" s="4">
        <f t="shared" si="1"/>
        <v>0.73979079919809321</v>
      </c>
      <c r="AT16" s="4">
        <f t="shared" si="2"/>
        <v>38.335092684957672</v>
      </c>
      <c r="AU16" s="4">
        <f t="shared" si="3"/>
        <v>0.14252609198862154</v>
      </c>
      <c r="AV16" s="4">
        <f t="shared" si="6"/>
        <v>42.64563173849416</v>
      </c>
    </row>
    <row r="17" spans="1:53" x14ac:dyDescent="0.25">
      <c r="C17" t="s">
        <v>40</v>
      </c>
      <c r="D17" s="81">
        <v>0.81752364008779099</v>
      </c>
      <c r="E17" s="81">
        <v>1.8483968979916401E-2</v>
      </c>
      <c r="F17" s="81" t="s">
        <v>265</v>
      </c>
      <c r="G17" s="81" t="s">
        <v>265</v>
      </c>
      <c r="H17" s="81">
        <v>3.3488525233316802E-2</v>
      </c>
      <c r="I17" s="81">
        <v>3.7931325441260201E-3</v>
      </c>
      <c r="J17" s="81">
        <v>4.6570570423550894E-2</v>
      </c>
      <c r="K17" s="81">
        <v>2.2460409862691998E-2</v>
      </c>
      <c r="L17" s="81">
        <v>1.7348980508508301E-2</v>
      </c>
      <c r="M17" s="81">
        <v>5.7448802761218692E-3</v>
      </c>
      <c r="N17" s="81" t="s">
        <v>265</v>
      </c>
      <c r="O17" s="81" t="s">
        <v>265</v>
      </c>
      <c r="P17" s="81" t="s">
        <v>265</v>
      </c>
      <c r="Q17" s="81">
        <v>1.8867048921763198E-2</v>
      </c>
      <c r="R17" s="81">
        <v>1.0689204284392399E-2</v>
      </c>
      <c r="S17" s="81">
        <v>6.4683392317634496</v>
      </c>
      <c r="T17" s="81">
        <v>5.0072221111036095</v>
      </c>
      <c r="U17" s="81">
        <v>2.2505623622516602</v>
      </c>
      <c r="V17" s="81">
        <v>0.19442477662521901</v>
      </c>
      <c r="W17" s="81">
        <v>8.2360791857298193E-2</v>
      </c>
      <c r="X17" s="81">
        <v>1.5973331800111099E-2</v>
      </c>
      <c r="Y17" s="81"/>
      <c r="Z17" s="81"/>
      <c r="AA17" s="81">
        <v>4.9968066699074103E-3</v>
      </c>
      <c r="AB17" s="81" t="s">
        <v>265</v>
      </c>
      <c r="AC17" s="81" t="s">
        <v>265</v>
      </c>
      <c r="AD17" s="81">
        <v>8.5650542022637846E-3</v>
      </c>
      <c r="AE17" s="81">
        <v>2.9762818022795796E-2</v>
      </c>
      <c r="AF17" s="81">
        <v>1.163996512011818E-2</v>
      </c>
      <c r="AG17" s="81">
        <v>3.7563983423557854E-3</v>
      </c>
      <c r="AH17" s="81"/>
      <c r="AI17" s="81"/>
      <c r="AJ17" s="81">
        <v>1.1008016120363979</v>
      </c>
      <c r="AK17" s="81">
        <v>9.5342121756762701</v>
      </c>
      <c r="AL17" s="81">
        <v>1.5028775703246815</v>
      </c>
      <c r="AM17" s="81">
        <v>0.55580561642446102</v>
      </c>
      <c r="AN17" s="81">
        <v>7.8153960323339808E-2</v>
      </c>
      <c r="AO17" s="82">
        <v>2.7501892787467848E-2</v>
      </c>
      <c r="AP17" s="66">
        <f t="shared" si="4"/>
        <v>27.871926836453586</v>
      </c>
      <c r="AQ17" s="61">
        <f t="shared" si="0"/>
        <v>15.013852966523526</v>
      </c>
      <c r="AR17" s="61">
        <f t="shared" si="5"/>
        <v>12.85807386993006</v>
      </c>
      <c r="AS17" s="4">
        <f t="shared" si="1"/>
        <v>0.96541410791602345</v>
      </c>
      <c r="AT17" s="4">
        <f t="shared" si="2"/>
        <v>14.048438858607504</v>
      </c>
      <c r="AU17" s="4">
        <f t="shared" si="3"/>
        <v>5.872104235744096E-2</v>
      </c>
      <c r="AV17" s="4">
        <f t="shared" si="6"/>
        <v>12.799352827572617</v>
      </c>
    </row>
    <row r="18" spans="1:53" x14ac:dyDescent="0.25">
      <c r="C18" t="s">
        <v>41</v>
      </c>
      <c r="D18" s="83">
        <v>0.56360375292007203</v>
      </c>
      <c r="E18" s="83">
        <v>1.40968050056729E-2</v>
      </c>
      <c r="F18" s="83" t="s">
        <v>265</v>
      </c>
      <c r="G18" s="83" t="s">
        <v>265</v>
      </c>
      <c r="H18" s="83">
        <v>2.2925038679851698E-2</v>
      </c>
      <c r="I18" s="83">
        <v>4.7618705283005401E-3</v>
      </c>
      <c r="J18" s="83">
        <v>9.3911152115214197E-2</v>
      </c>
      <c r="K18" s="83">
        <v>4.99200196084294E-2</v>
      </c>
      <c r="L18" s="83">
        <v>3.1663821973688298E-2</v>
      </c>
      <c r="M18" s="83">
        <v>1.20682546284227E-2</v>
      </c>
      <c r="N18" s="83">
        <v>3.1217518201245098E-3</v>
      </c>
      <c r="O18" s="83" t="s">
        <v>265</v>
      </c>
      <c r="P18" s="83" t="s">
        <v>265</v>
      </c>
      <c r="Q18" s="83">
        <v>1.9187682386456299E-2</v>
      </c>
      <c r="R18" s="83">
        <v>1.74804326784944E-2</v>
      </c>
      <c r="S18" s="83">
        <v>14.209710185902601</v>
      </c>
      <c r="T18" s="83">
        <v>11.2446959444881</v>
      </c>
      <c r="U18" s="83">
        <v>3.8405693601750701</v>
      </c>
      <c r="V18" s="83">
        <v>0.37079378889122599</v>
      </c>
      <c r="W18" s="83">
        <v>0.16554012338117</v>
      </c>
      <c r="X18" s="83">
        <v>2.49589603238329E-2</v>
      </c>
      <c r="Y18" s="83"/>
      <c r="Z18" s="83"/>
      <c r="AA18" s="83">
        <v>3.1139371853736854E-3</v>
      </c>
      <c r="AB18" s="83" t="s">
        <v>265</v>
      </c>
      <c r="AC18" s="83" t="s">
        <v>265</v>
      </c>
      <c r="AD18" s="83">
        <v>1.8398940793751897E-2</v>
      </c>
      <c r="AE18" s="83">
        <v>6.0657717322553907E-2</v>
      </c>
      <c r="AF18" s="83">
        <v>2.1205425999709652E-2</v>
      </c>
      <c r="AG18" s="83">
        <v>4.1850793143174197E-3</v>
      </c>
      <c r="AH18" s="83"/>
      <c r="AI18" s="83"/>
      <c r="AJ18" s="83">
        <v>2.5499455529131549</v>
      </c>
      <c r="AK18" s="83">
        <v>22.284176851409452</v>
      </c>
      <c r="AL18" s="83">
        <v>2.8042007651053149</v>
      </c>
      <c r="AM18" s="83">
        <v>0.85592688848670007</v>
      </c>
      <c r="AN18" s="83">
        <v>0.1080090741365741</v>
      </c>
      <c r="AO18" s="84">
        <v>3.4098407660503802E-2</v>
      </c>
      <c r="AP18" s="66">
        <f t="shared" si="4"/>
        <v>59.432927585834129</v>
      </c>
      <c r="AQ18" s="61">
        <f t="shared" si="0"/>
        <v>30.689008945506728</v>
      </c>
      <c r="AR18" s="61">
        <f t="shared" si="5"/>
        <v>28.743918640327408</v>
      </c>
      <c r="AS18" s="4">
        <f t="shared" si="1"/>
        <v>0.79607246727977632</v>
      </c>
      <c r="AT18" s="4">
        <f t="shared" si="2"/>
        <v>29.89293647822695</v>
      </c>
      <c r="AU18" s="4">
        <f t="shared" si="3"/>
        <v>0.10756110061570655</v>
      </c>
      <c r="AV18" s="4">
        <f t="shared" si="6"/>
        <v>28.6363575397117</v>
      </c>
    </row>
    <row r="19" spans="1:53" s="24" customFormat="1" x14ac:dyDescent="0.25">
      <c r="A19" s="24">
        <v>54</v>
      </c>
      <c r="B19" s="23">
        <v>45121</v>
      </c>
      <c r="C19" s="24" t="s">
        <v>36</v>
      </c>
      <c r="D19" s="79">
        <v>1.0619309572376001</v>
      </c>
      <c r="E19" s="79">
        <v>2.5213805424686399E-2</v>
      </c>
      <c r="F19" s="79" t="s">
        <v>265</v>
      </c>
      <c r="G19" s="79" t="s">
        <v>265</v>
      </c>
      <c r="H19" s="79">
        <v>2.8548527844760814E-2</v>
      </c>
      <c r="I19" s="79">
        <v>2.3049986580432392E-3</v>
      </c>
      <c r="J19" s="79">
        <v>5.4652470905084349E-2</v>
      </c>
      <c r="K19" s="79">
        <v>2.7230372760294098E-2</v>
      </c>
      <c r="L19" s="79">
        <v>2.4922846824658999E-2</v>
      </c>
      <c r="M19" s="79">
        <v>9.2405962964164663E-3</v>
      </c>
      <c r="N19" s="79">
        <v>2.87002596735482E-3</v>
      </c>
      <c r="O19" s="79" t="s">
        <v>265</v>
      </c>
      <c r="P19" s="79" t="s">
        <v>265</v>
      </c>
      <c r="Q19" s="79">
        <v>9.3084041860647011E-3</v>
      </c>
      <c r="R19" s="79">
        <v>1.3002768497254E-2</v>
      </c>
      <c r="S19" s="79">
        <v>12.178471095585101</v>
      </c>
      <c r="T19" s="79">
        <v>9.2242609658041896</v>
      </c>
      <c r="U19" s="79">
        <v>3.79519077749109</v>
      </c>
      <c r="V19" s="79">
        <v>0.21737011441599199</v>
      </c>
      <c r="W19" s="79">
        <v>0.147857920300968</v>
      </c>
      <c r="X19" s="79">
        <v>2.2925943642312402E-2</v>
      </c>
      <c r="Y19" s="79" t="s">
        <v>266</v>
      </c>
      <c r="Z19" s="79" t="s">
        <v>266</v>
      </c>
      <c r="AA19" s="79">
        <v>2.7150332767940611E-3</v>
      </c>
      <c r="AB19" s="79">
        <v>2.7104309312193654E-4</v>
      </c>
      <c r="AC19" s="79">
        <v>3.3980153780899755E-3</v>
      </c>
      <c r="AD19" s="79">
        <v>1.4262070259876575E-2</v>
      </c>
      <c r="AE19" s="79">
        <v>3.171293734856525E-2</v>
      </c>
      <c r="AF19" s="79">
        <v>9.637453491599739E-3</v>
      </c>
      <c r="AG19" s="79">
        <v>5.4402578086721054E-3</v>
      </c>
      <c r="AH19" s="79" t="s">
        <v>266</v>
      </c>
      <c r="AI19" s="79" t="s">
        <v>266</v>
      </c>
      <c r="AJ19" s="79">
        <v>1.679655877338335</v>
      </c>
      <c r="AK19" s="79">
        <v>16.490106032230401</v>
      </c>
      <c r="AL19" s="79">
        <v>2.3725220150491402</v>
      </c>
      <c r="AM19" s="79">
        <v>0.45578934583212249</v>
      </c>
      <c r="AN19" s="79">
        <v>9.3171228476581491E-2</v>
      </c>
      <c r="AO19" s="80">
        <v>3.8953399898012053E-2</v>
      </c>
      <c r="AP19" s="66">
        <f t="shared" si="4"/>
        <v>48.042937301323178</v>
      </c>
      <c r="AQ19" s="61">
        <f t="shared" si="0"/>
        <v>26.845302591841872</v>
      </c>
      <c r="AR19" s="61">
        <f t="shared" si="5"/>
        <v>21.19763470948131</v>
      </c>
      <c r="AS19" s="4">
        <f t="shared" si="1"/>
        <v>1.2369146019188992</v>
      </c>
      <c r="AT19" s="4">
        <f t="shared" si="2"/>
        <v>25.608387989922974</v>
      </c>
      <c r="AU19" s="4">
        <f t="shared" si="3"/>
        <v>6.7436810656719637E-2</v>
      </c>
      <c r="AV19" s="4">
        <f t="shared" si="6"/>
        <v>21.130197898824591</v>
      </c>
      <c r="BA19"/>
    </row>
    <row r="20" spans="1:53" s="24" customFormat="1" x14ac:dyDescent="0.25">
      <c r="C20" s="24" t="s">
        <v>39</v>
      </c>
      <c r="D20" s="81">
        <v>1.1686367911011579</v>
      </c>
      <c r="E20" s="81">
        <v>1.8934151612254136E-2</v>
      </c>
      <c r="F20" s="81" t="s">
        <v>265</v>
      </c>
      <c r="G20" s="81" t="s">
        <v>265</v>
      </c>
      <c r="H20" s="81">
        <v>5.7782984025754477E-2</v>
      </c>
      <c r="I20" s="81">
        <v>3.6596696402208442E-3</v>
      </c>
      <c r="J20" s="81">
        <v>7.2559051018973225E-2</v>
      </c>
      <c r="K20" s="81">
        <v>3.29218952878743E-2</v>
      </c>
      <c r="L20" s="81">
        <v>2.4558960948641701E-2</v>
      </c>
      <c r="M20" s="81">
        <v>5.6927500909723901E-3</v>
      </c>
      <c r="N20" s="81">
        <v>2.9847111615760504E-3</v>
      </c>
      <c r="O20" s="81" t="s">
        <v>265</v>
      </c>
      <c r="P20" s="81" t="s">
        <v>265</v>
      </c>
      <c r="Q20" s="81">
        <v>1.86221002781897E-2</v>
      </c>
      <c r="R20" s="81">
        <v>1.7074242584207599E-2</v>
      </c>
      <c r="S20" s="81">
        <v>12.2113401710182</v>
      </c>
      <c r="T20" s="81">
        <v>7.2737674716598306</v>
      </c>
      <c r="U20" s="81">
        <v>4.4679111312556996</v>
      </c>
      <c r="V20" s="81">
        <v>0.24010636623901102</v>
      </c>
      <c r="W20" s="81">
        <v>0.107009556215841</v>
      </c>
      <c r="X20" s="81" t="s">
        <v>265</v>
      </c>
      <c r="Y20" s="81"/>
      <c r="Z20" s="81"/>
      <c r="AA20" s="81">
        <v>6.3635057737545502E-3</v>
      </c>
      <c r="AB20" s="81">
        <v>0</v>
      </c>
      <c r="AC20" s="81" t="s">
        <v>265</v>
      </c>
      <c r="AD20" s="81">
        <v>1.6808987002905389E-2</v>
      </c>
      <c r="AE20" s="81">
        <v>4.8048498183923552E-2</v>
      </c>
      <c r="AF20" s="81">
        <v>1.6925491721549675E-2</v>
      </c>
      <c r="AG20" s="81">
        <v>5.9538345705168003E-3</v>
      </c>
      <c r="AH20" s="81"/>
      <c r="AI20" s="81"/>
      <c r="AJ20" s="81">
        <v>3.0735573316915996</v>
      </c>
      <c r="AK20" s="81">
        <v>23.785474489897851</v>
      </c>
      <c r="AL20" s="81">
        <v>3.83122922248663</v>
      </c>
      <c r="AM20" s="81">
        <v>1.0204273633446599</v>
      </c>
      <c r="AN20" s="81">
        <v>0.21740941691297599</v>
      </c>
      <c r="AO20" s="82">
        <v>8.45009976381568E-2</v>
      </c>
      <c r="AP20" s="66">
        <f t="shared" si="4"/>
        <v>57.830261143362932</v>
      </c>
      <c r="AQ20" s="61">
        <f t="shared" si="0"/>
        <v>25.723562004138405</v>
      </c>
      <c r="AR20" s="61">
        <f t="shared" si="5"/>
        <v>32.106699139224524</v>
      </c>
      <c r="AS20" s="4">
        <f t="shared" si="1"/>
        <v>1.387730964887425</v>
      </c>
      <c r="AT20" s="4">
        <f t="shared" si="2"/>
        <v>24.33583103925098</v>
      </c>
      <c r="AU20" s="4">
        <f t="shared" si="3"/>
        <v>9.4100317252649959E-2</v>
      </c>
      <c r="AV20" s="4">
        <f t="shared" si="6"/>
        <v>32.012598821971871</v>
      </c>
      <c r="BA20"/>
    </row>
    <row r="21" spans="1:53" s="24" customFormat="1" x14ac:dyDescent="0.25">
      <c r="C21" s="24" t="s">
        <v>40</v>
      </c>
      <c r="D21" s="81">
        <v>0.79100742912884503</v>
      </c>
      <c r="E21" s="81">
        <v>1.6431611680696439E-2</v>
      </c>
      <c r="F21" s="81" t="s">
        <v>265</v>
      </c>
      <c r="G21" s="81" t="s">
        <v>265</v>
      </c>
      <c r="H21" s="81">
        <v>3.6048779271888078E-2</v>
      </c>
      <c r="I21" s="81">
        <v>3.4360410834665838E-3</v>
      </c>
      <c r="J21" s="81">
        <v>9.7881261792901728E-2</v>
      </c>
      <c r="K21" s="81">
        <v>4.44819259799447E-2</v>
      </c>
      <c r="L21" s="81">
        <v>2.6888572770725899E-2</v>
      </c>
      <c r="M21" s="81">
        <v>6.3412909842697103E-3</v>
      </c>
      <c r="N21" s="81">
        <v>3.38428878453583E-3</v>
      </c>
      <c r="O21" s="81" t="s">
        <v>265</v>
      </c>
      <c r="P21" s="81" t="s">
        <v>265</v>
      </c>
      <c r="Q21" s="81">
        <v>1.3779695614473599E-2</v>
      </c>
      <c r="R21" s="81">
        <v>1.8896087924118898E-2</v>
      </c>
      <c r="S21" s="81">
        <v>14.746996268781301</v>
      </c>
      <c r="T21" s="81">
        <v>8.7706734849236607</v>
      </c>
      <c r="U21" s="81">
        <v>7.3632789817963502</v>
      </c>
      <c r="V21" s="81">
        <v>0.34496510773367001</v>
      </c>
      <c r="W21" s="81">
        <v>0.120551304480173</v>
      </c>
      <c r="X21" s="81">
        <v>1.9196026540313001E-2</v>
      </c>
      <c r="Y21" s="81"/>
      <c r="Z21" s="81"/>
      <c r="AA21" s="81">
        <v>5.3916440441543548E-3</v>
      </c>
      <c r="AB21" s="81">
        <v>0</v>
      </c>
      <c r="AC21" s="81" t="s">
        <v>265</v>
      </c>
      <c r="AD21" s="81">
        <v>1.188788830452929E-2</v>
      </c>
      <c r="AE21" s="81">
        <v>3.2905107853339902E-2</v>
      </c>
      <c r="AF21" s="81">
        <v>1.0674010282829655E-2</v>
      </c>
      <c r="AG21" s="81">
        <v>3.8033230321297099E-3</v>
      </c>
      <c r="AH21" s="81"/>
      <c r="AI21" s="81"/>
      <c r="AJ21" s="81">
        <v>2.1194320797102799</v>
      </c>
      <c r="AK21" s="81">
        <v>16.62543272970435</v>
      </c>
      <c r="AL21" s="81">
        <v>2.9323626571220904</v>
      </c>
      <c r="AM21" s="81">
        <v>0.61395888059773362</v>
      </c>
      <c r="AN21" s="81">
        <v>0.13169299252933186</v>
      </c>
      <c r="AO21" s="82">
        <v>6.0294424094009598E-2</v>
      </c>
      <c r="AP21" s="66">
        <f t="shared" si="4"/>
        <v>54.972073896546107</v>
      </c>
      <c r="AQ21" s="61">
        <f t="shared" si="0"/>
        <v>32.424238159271333</v>
      </c>
      <c r="AR21" s="61">
        <f t="shared" si="5"/>
        <v>22.547835737274781</v>
      </c>
      <c r="AS21" s="4">
        <f t="shared" si="1"/>
        <v>1.0259012014772741</v>
      </c>
      <c r="AT21" s="4">
        <f t="shared" si="2"/>
        <v>31.398336957794065</v>
      </c>
      <c r="AU21" s="4">
        <f t="shared" si="3"/>
        <v>6.4661973516982912E-2</v>
      </c>
      <c r="AV21" s="4">
        <f t="shared" si="6"/>
        <v>22.483173763757797</v>
      </c>
      <c r="BA21"/>
    </row>
    <row r="22" spans="1:53" s="24" customFormat="1" x14ac:dyDescent="0.25">
      <c r="C22" s="24" t="s">
        <v>41</v>
      </c>
      <c r="D22" s="83">
        <v>0.73354981248234508</v>
      </c>
      <c r="E22" s="83">
        <v>1.7710857508864936E-2</v>
      </c>
      <c r="F22" s="83" t="s">
        <v>265</v>
      </c>
      <c r="G22" s="83" t="s">
        <v>265</v>
      </c>
      <c r="H22" s="83">
        <v>2.3278323846917186E-2</v>
      </c>
      <c r="I22" s="83">
        <v>1.9904698988405236E-3</v>
      </c>
      <c r="J22" s="83">
        <v>5.2268330133902328E-2</v>
      </c>
      <c r="K22" s="83">
        <v>2.58525007599066E-2</v>
      </c>
      <c r="L22" s="83">
        <v>2.1273776649253999E-2</v>
      </c>
      <c r="M22" s="83">
        <v>5.7661339984552903E-3</v>
      </c>
      <c r="N22" s="83">
        <v>3.4164464677102504E-3</v>
      </c>
      <c r="O22" s="83" t="s">
        <v>265</v>
      </c>
      <c r="P22" s="83" t="s">
        <v>265</v>
      </c>
      <c r="Q22" s="83">
        <v>1.0096036658988901E-2</v>
      </c>
      <c r="R22" s="83">
        <v>1.2380236946933699E-2</v>
      </c>
      <c r="S22" s="83">
        <v>9.3219295076075603</v>
      </c>
      <c r="T22" s="83">
        <v>5.9668111903246901</v>
      </c>
      <c r="U22" s="83">
        <v>5.1063755050540705</v>
      </c>
      <c r="V22" s="83">
        <v>0.25473995149161899</v>
      </c>
      <c r="W22" s="83">
        <v>0.11729913113347</v>
      </c>
      <c r="X22" s="83">
        <v>2.2630244202460299E-2</v>
      </c>
      <c r="Y22" s="83"/>
      <c r="Z22" s="83"/>
      <c r="AA22" s="83">
        <v>3.2268491710953306E-3</v>
      </c>
      <c r="AB22" s="83">
        <v>0</v>
      </c>
      <c r="AC22" s="83" t="s">
        <v>265</v>
      </c>
      <c r="AD22" s="83">
        <v>1.6604947909307666E-2</v>
      </c>
      <c r="AE22" s="83">
        <v>4.2978367761761456E-2</v>
      </c>
      <c r="AF22" s="83">
        <v>1.4417047706331381E-2</v>
      </c>
      <c r="AG22" s="83">
        <v>4.0379042680576396E-3</v>
      </c>
      <c r="AH22" s="83"/>
      <c r="AI22" s="83"/>
      <c r="AJ22" s="83">
        <v>2.6612097195616151</v>
      </c>
      <c r="AK22" s="83">
        <v>20.253202493795552</v>
      </c>
      <c r="AL22" s="83">
        <v>2.9393730411851449</v>
      </c>
      <c r="AM22" s="83">
        <v>0.89149686988445753</v>
      </c>
      <c r="AN22" s="83">
        <v>0.15828204462283962</v>
      </c>
      <c r="AO22" s="84">
        <v>6.826880926453055E-2</v>
      </c>
      <c r="AP22" s="66">
        <f t="shared" si="4"/>
        <v>48.750466550296672</v>
      </c>
      <c r="AQ22" s="61">
        <f t="shared" si="0"/>
        <v>21.697368455165989</v>
      </c>
      <c r="AR22" s="61">
        <f t="shared" si="5"/>
        <v>27.053098095130693</v>
      </c>
      <c r="AS22" s="4">
        <f t="shared" si="1"/>
        <v>0.88510665174619618</v>
      </c>
      <c r="AT22" s="4">
        <f t="shared" si="2"/>
        <v>20.812261803419794</v>
      </c>
      <c r="AU22" s="4">
        <f t="shared" si="3"/>
        <v>8.1265116816553476E-2</v>
      </c>
      <c r="AV22" s="4">
        <f t="shared" si="6"/>
        <v>26.97183297831414</v>
      </c>
      <c r="BA22"/>
    </row>
    <row r="23" spans="1:53" x14ac:dyDescent="0.25">
      <c r="A23" s="35">
        <v>57</v>
      </c>
      <c r="B23" s="85">
        <v>45124</v>
      </c>
      <c r="C23" s="35" t="s">
        <v>36</v>
      </c>
      <c r="D23" s="79">
        <v>0.191609480329993</v>
      </c>
      <c r="E23" s="79">
        <v>5.4750192484498096E-3</v>
      </c>
      <c r="F23" s="79" t="s">
        <v>265</v>
      </c>
      <c r="G23" s="79" t="s">
        <v>265</v>
      </c>
      <c r="H23" s="79">
        <v>4.8280235046873517E-3</v>
      </c>
      <c r="I23" s="79">
        <v>1.3729193269155192E-3</v>
      </c>
      <c r="J23" s="79">
        <v>5.9375309489246755E-2</v>
      </c>
      <c r="K23" s="79">
        <v>3.11602479895168E-2</v>
      </c>
      <c r="L23" s="79">
        <v>2.0915846046972799E-2</v>
      </c>
      <c r="M23" s="79">
        <v>6.948940608235506E-3</v>
      </c>
      <c r="N23" s="79" t="s">
        <v>265</v>
      </c>
      <c r="O23" s="79" t="s">
        <v>265</v>
      </c>
      <c r="P23" s="79" t="s">
        <v>265</v>
      </c>
      <c r="Q23" s="79">
        <v>7.3833736709949197E-3</v>
      </c>
      <c r="R23" s="79">
        <v>1.37402336685368E-2</v>
      </c>
      <c r="S23" s="79">
        <v>13.123967032493699</v>
      </c>
      <c r="T23" s="79">
        <v>9.1197662805331294</v>
      </c>
      <c r="U23" s="79">
        <v>3.07895596092464</v>
      </c>
      <c r="V23" s="79">
        <v>0.16138814260926501</v>
      </c>
      <c r="W23" s="79">
        <v>0.11722411297259999</v>
      </c>
      <c r="X23" s="79">
        <v>1.7540271303837698E-2</v>
      </c>
      <c r="Y23" s="79" t="s">
        <v>266</v>
      </c>
      <c r="Z23" s="79" t="s">
        <v>266</v>
      </c>
      <c r="AA23" s="79">
        <v>7.2035827867841351E-4</v>
      </c>
      <c r="AB23" s="79">
        <v>1.0954216237367245E-4</v>
      </c>
      <c r="AC23" s="79">
        <v>3.6656457441379049E-3</v>
      </c>
      <c r="AD23" s="79">
        <v>1.3110013403611899E-2</v>
      </c>
      <c r="AE23" s="79">
        <v>3.2628323477382842E-2</v>
      </c>
      <c r="AF23" s="79">
        <v>8.1874305871640699E-3</v>
      </c>
      <c r="AG23" s="79">
        <v>3.7385731472161549E-3</v>
      </c>
      <c r="AH23" s="79" t="s">
        <v>266</v>
      </c>
      <c r="AI23" s="79" t="s">
        <v>266</v>
      </c>
      <c r="AJ23" s="79">
        <v>1.8231924434099951</v>
      </c>
      <c r="AK23" s="79">
        <v>19.9097810804552</v>
      </c>
      <c r="AL23" s="79">
        <v>2.1808957414782459</v>
      </c>
      <c r="AM23" s="79">
        <v>0.39490856338653807</v>
      </c>
      <c r="AN23" s="79">
        <v>8.1229967157202293E-2</v>
      </c>
      <c r="AO23" s="80">
        <v>2.4992031411712551E-2</v>
      </c>
      <c r="AP23" s="66">
        <f t="shared" si="4"/>
        <v>50.438810908820173</v>
      </c>
      <c r="AQ23" s="61">
        <f t="shared" si="0"/>
        <v>25.961651194720719</v>
      </c>
      <c r="AR23" s="61">
        <f t="shared" si="5"/>
        <v>24.477159714099457</v>
      </c>
      <c r="AS23" s="4">
        <f t="shared" si="1"/>
        <v>0.32168578654401753</v>
      </c>
      <c r="AT23" s="4">
        <f t="shared" si="2"/>
        <v>25.639965408176703</v>
      </c>
      <c r="AU23" s="4">
        <f t="shared" si="3"/>
        <v>6.2159886800564959E-2</v>
      </c>
      <c r="AV23" s="4">
        <f t="shared" si="6"/>
        <v>24.414999827298892</v>
      </c>
    </row>
    <row r="24" spans="1:53" x14ac:dyDescent="0.25">
      <c r="A24" s="35"/>
      <c r="B24" s="35"/>
      <c r="C24" s="35" t="s">
        <v>39</v>
      </c>
      <c r="D24" s="81">
        <v>0.68973237880904303</v>
      </c>
      <c r="E24" s="81">
        <v>1.5414459421945199E-2</v>
      </c>
      <c r="F24" s="81" t="s">
        <v>265</v>
      </c>
      <c r="G24" s="81" t="s">
        <v>265</v>
      </c>
      <c r="H24" s="81">
        <v>3.00340268400104E-2</v>
      </c>
      <c r="I24" s="81">
        <v>4.9915542995211098E-3</v>
      </c>
      <c r="J24" s="81">
        <v>9.3097136993615395E-2</v>
      </c>
      <c r="K24" s="81">
        <v>4.8083620149294799E-2</v>
      </c>
      <c r="L24" s="81">
        <v>3.9158369226801597E-2</v>
      </c>
      <c r="M24" s="81">
        <v>1.4108046349941599E-2</v>
      </c>
      <c r="N24" s="81">
        <v>4.3675021552802996E-3</v>
      </c>
      <c r="O24" s="81" t="s">
        <v>265</v>
      </c>
      <c r="P24" s="81" t="s">
        <v>265</v>
      </c>
      <c r="Q24" s="81">
        <v>1.8373239981052902E-2</v>
      </c>
      <c r="R24" s="81">
        <v>1.9789815939691303E-2</v>
      </c>
      <c r="S24" s="81">
        <v>15.308263091115199</v>
      </c>
      <c r="T24" s="81">
        <v>12.715707396533901</v>
      </c>
      <c r="U24" s="81">
        <v>5.5331546916020695</v>
      </c>
      <c r="V24" s="81">
        <v>0.55423502122565194</v>
      </c>
      <c r="W24" s="81">
        <v>0.24664696213113099</v>
      </c>
      <c r="X24" s="81">
        <v>4.2757357829126E-2</v>
      </c>
      <c r="Y24" s="81"/>
      <c r="Z24" s="81"/>
      <c r="AA24" s="81">
        <v>3.72570804732199E-3</v>
      </c>
      <c r="AB24" s="81" t="s">
        <v>265</v>
      </c>
      <c r="AC24" s="81" t="s">
        <v>265</v>
      </c>
      <c r="AD24" s="81">
        <v>1.85355360499827E-2</v>
      </c>
      <c r="AE24" s="81">
        <v>6.3965205536623992E-2</v>
      </c>
      <c r="AF24" s="81">
        <v>2.1858796372347448E-2</v>
      </c>
      <c r="AG24" s="81">
        <v>9.1619929053933548E-3</v>
      </c>
      <c r="AH24" s="81"/>
      <c r="AI24" s="81"/>
      <c r="AJ24" s="81">
        <v>2.9442522834545</v>
      </c>
      <c r="AK24" s="81">
        <v>27.188591933462348</v>
      </c>
      <c r="AL24" s="81">
        <v>3.8886065348204348</v>
      </c>
      <c r="AM24" s="81">
        <v>1.2810854887995107</v>
      </c>
      <c r="AN24" s="81">
        <v>0.21644478226953898</v>
      </c>
      <c r="AO24" s="82">
        <v>7.1160662144487546E-2</v>
      </c>
      <c r="AP24" s="66">
        <f t="shared" si="4"/>
        <v>71.085303594465756</v>
      </c>
      <c r="AQ24" s="61">
        <f t="shared" si="0"/>
        <v>35.377914670603275</v>
      </c>
      <c r="AR24" s="61">
        <f t="shared" si="5"/>
        <v>35.707388923862489</v>
      </c>
      <c r="AS24" s="4">
        <f t="shared" si="1"/>
        <v>0.93898709424545346</v>
      </c>
      <c r="AT24" s="4">
        <f t="shared" si="2"/>
        <v>34.43892757635782</v>
      </c>
      <c r="AU24" s="4">
        <f t="shared" si="3"/>
        <v>0.11724723891166948</v>
      </c>
      <c r="AV24" s="4">
        <f t="shared" si="6"/>
        <v>35.590141684950822</v>
      </c>
    </row>
    <row r="25" spans="1:53" x14ac:dyDescent="0.25">
      <c r="A25" s="35"/>
      <c r="B25" s="35"/>
      <c r="C25" s="35" t="s">
        <v>40</v>
      </c>
      <c r="D25" s="81">
        <v>0.42947039358863798</v>
      </c>
      <c r="E25" s="81">
        <v>7.0542448656698599E-3</v>
      </c>
      <c r="F25" s="81" t="s">
        <v>265</v>
      </c>
      <c r="G25" s="81" t="s">
        <v>265</v>
      </c>
      <c r="H25" s="81">
        <v>1.5007052692955799E-2</v>
      </c>
      <c r="I25" s="81">
        <v>2.69775103344185E-3</v>
      </c>
      <c r="J25" s="81">
        <v>6.4711043081659897E-2</v>
      </c>
      <c r="K25" s="81">
        <v>2.7504118597854302E-2</v>
      </c>
      <c r="L25" s="81">
        <v>2.3506400259173499E-2</v>
      </c>
      <c r="M25" s="81">
        <v>7.4245700138655703E-3</v>
      </c>
      <c r="N25" s="81">
        <v>2.8705064614474199E-3</v>
      </c>
      <c r="O25" s="81" t="s">
        <v>265</v>
      </c>
      <c r="P25" s="81" t="s">
        <v>265</v>
      </c>
      <c r="Q25" s="81">
        <v>1.2895731141396799E-2</v>
      </c>
      <c r="R25" s="81">
        <v>1.1529417582512001E-2</v>
      </c>
      <c r="S25" s="81">
        <v>10.1008984194719</v>
      </c>
      <c r="T25" s="81">
        <v>7.6726181491103196</v>
      </c>
      <c r="U25" s="81">
        <v>3.7448282765504199</v>
      </c>
      <c r="V25" s="81">
        <v>0.28694246162158205</v>
      </c>
      <c r="W25" s="81">
        <v>0.126709780752263</v>
      </c>
      <c r="X25" s="81">
        <v>2.1558482227100398E-2</v>
      </c>
      <c r="Y25" s="81"/>
      <c r="Z25" s="81"/>
      <c r="AA25" s="81" t="s">
        <v>265</v>
      </c>
      <c r="AB25" s="81" t="s">
        <v>265</v>
      </c>
      <c r="AC25" s="81" t="s">
        <v>265</v>
      </c>
      <c r="AD25" s="81">
        <v>1.0970707498737393E-2</v>
      </c>
      <c r="AE25" s="81">
        <v>2.9470184345915845E-2</v>
      </c>
      <c r="AF25" s="81">
        <v>9.910801450857409E-3</v>
      </c>
      <c r="AG25" s="81">
        <v>5.54031582668074E-3</v>
      </c>
      <c r="AH25" s="81"/>
      <c r="AI25" s="81"/>
      <c r="AJ25" s="81">
        <v>1.65836114027338</v>
      </c>
      <c r="AK25" s="81">
        <v>16.292055578649645</v>
      </c>
      <c r="AL25" s="81">
        <v>2.5323243029888456</v>
      </c>
      <c r="AM25" s="81">
        <v>0.73596285630648461</v>
      </c>
      <c r="AN25" s="81">
        <v>0.13653732913296135</v>
      </c>
      <c r="AO25" s="82">
        <v>4.9065624402986653E-2</v>
      </c>
      <c r="AP25" s="66">
        <f t="shared" si="4"/>
        <v>44.018425639928701</v>
      </c>
      <c r="AQ25" s="61">
        <f t="shared" si="0"/>
        <v>22.558226799052203</v>
      </c>
      <c r="AR25" s="61">
        <f t="shared" si="5"/>
        <v>21.46019884087649</v>
      </c>
      <c r="AS25" s="4">
        <f t="shared" si="1"/>
        <v>0.58024608059470606</v>
      </c>
      <c r="AT25" s="4">
        <f t="shared" si="2"/>
        <v>21.977980718457491</v>
      </c>
      <c r="AU25" s="4">
        <f t="shared" si="3"/>
        <v>5.5892009122191388E-2</v>
      </c>
      <c r="AV25" s="4">
        <f t="shared" si="6"/>
        <v>21.404306831754301</v>
      </c>
    </row>
    <row r="26" spans="1:53" x14ac:dyDescent="0.25">
      <c r="A26" s="35"/>
      <c r="B26" s="35"/>
      <c r="C26" s="35" t="s">
        <v>41</v>
      </c>
      <c r="D26" s="83">
        <v>0.32210511069560199</v>
      </c>
      <c r="E26" s="83">
        <v>6.6743501273200502E-3</v>
      </c>
      <c r="F26" s="83" t="s">
        <v>265</v>
      </c>
      <c r="G26" s="83" t="s">
        <v>265</v>
      </c>
      <c r="H26" s="83">
        <v>1.12463808041988E-2</v>
      </c>
      <c r="I26" s="83">
        <v>3.0336585547517296E-3</v>
      </c>
      <c r="J26" s="83">
        <v>0.122337683612202</v>
      </c>
      <c r="K26" s="83">
        <v>5.5610732630760704E-2</v>
      </c>
      <c r="L26" s="83">
        <v>3.5579949787219102E-2</v>
      </c>
      <c r="M26" s="83">
        <v>1.1383355976669301E-2</v>
      </c>
      <c r="N26" s="83">
        <v>3.1216667510384601E-3</v>
      </c>
      <c r="O26" s="83" t="s">
        <v>265</v>
      </c>
      <c r="P26" s="83" t="s">
        <v>265</v>
      </c>
      <c r="Q26" s="83">
        <v>1.2333846591473E-2</v>
      </c>
      <c r="R26" s="83">
        <v>1.7616738110509601E-2</v>
      </c>
      <c r="S26" s="83">
        <v>17.773688354314501</v>
      </c>
      <c r="T26" s="83">
        <v>13.6145809669993</v>
      </c>
      <c r="U26" s="83">
        <v>3.98937850733267</v>
      </c>
      <c r="V26" s="83">
        <v>0.36028469449916201</v>
      </c>
      <c r="W26" s="83">
        <v>0.164807409900561</v>
      </c>
      <c r="X26" s="83">
        <v>2.4908600108026799E-2</v>
      </c>
      <c r="Y26" s="83"/>
      <c r="Z26" s="83"/>
      <c r="AA26" s="83" t="s">
        <v>265</v>
      </c>
      <c r="AB26" s="83" t="s">
        <v>265</v>
      </c>
      <c r="AC26" s="83" t="s">
        <v>265</v>
      </c>
      <c r="AD26" s="83">
        <v>2.3872895740790802E-2</v>
      </c>
      <c r="AE26" s="83">
        <v>6.0963392010367747E-2</v>
      </c>
      <c r="AF26" s="83">
        <v>2.0305624975952001E-2</v>
      </c>
      <c r="AG26" s="83">
        <v>5.1691841125675354E-3</v>
      </c>
      <c r="AH26" s="83"/>
      <c r="AI26" s="83"/>
      <c r="AJ26" s="83">
        <v>3.1979796473763047</v>
      </c>
      <c r="AK26" s="83">
        <v>29.309853383363198</v>
      </c>
      <c r="AL26" s="83">
        <v>2.7438752843255245</v>
      </c>
      <c r="AM26" s="83">
        <v>0.84985241895705244</v>
      </c>
      <c r="AN26" s="83">
        <v>0.13821241956749036</v>
      </c>
      <c r="AO26" s="84">
        <v>4.6111374534836103E-2</v>
      </c>
      <c r="AP26" s="66">
        <f t="shared" si="4"/>
        <v>72.924887631760058</v>
      </c>
      <c r="AQ26" s="61">
        <f t="shared" si="0"/>
        <v>36.528692006795964</v>
      </c>
      <c r="AR26" s="61">
        <f t="shared" si="5"/>
        <v>36.396195624964079</v>
      </c>
      <c r="AS26" s="4">
        <f t="shared" si="1"/>
        <v>0.57109288893976207</v>
      </c>
      <c r="AT26" s="4">
        <f t="shared" si="2"/>
        <v>35.957599117856205</v>
      </c>
      <c r="AU26" s="4">
        <f t="shared" si="3"/>
        <v>0.11031109683967807</v>
      </c>
      <c r="AV26" s="4">
        <f t="shared" si="6"/>
        <v>36.285884528124413</v>
      </c>
    </row>
    <row r="27" spans="1:53" x14ac:dyDescent="0.25">
      <c r="A27" s="35">
        <v>61</v>
      </c>
      <c r="B27" s="85">
        <v>45128</v>
      </c>
      <c r="C27" s="35" t="s">
        <v>36</v>
      </c>
      <c r="D27" s="79" t="s">
        <v>265</v>
      </c>
      <c r="E27" s="79" t="s">
        <v>265</v>
      </c>
      <c r="F27" s="79" t="s">
        <v>265</v>
      </c>
      <c r="G27" s="79" t="s">
        <v>265</v>
      </c>
      <c r="H27" s="79" t="s">
        <v>265</v>
      </c>
      <c r="I27" s="79" t="s">
        <v>265</v>
      </c>
      <c r="J27" s="79">
        <v>4.5975018505869651E-2</v>
      </c>
      <c r="K27" s="79">
        <v>2.16245846227331E-2</v>
      </c>
      <c r="L27" s="79">
        <v>1.64069896124623E-2</v>
      </c>
      <c r="M27" s="79" t="s">
        <v>265</v>
      </c>
      <c r="N27" s="79" t="s">
        <v>265</v>
      </c>
      <c r="O27" s="79" t="s">
        <v>265</v>
      </c>
      <c r="P27" s="79" t="s">
        <v>265</v>
      </c>
      <c r="Q27" s="79">
        <v>3.4865405581599399E-3</v>
      </c>
      <c r="R27" s="79">
        <v>8.7121600333454601E-3</v>
      </c>
      <c r="S27" s="79">
        <v>7.9336850604161304</v>
      </c>
      <c r="T27" s="79">
        <v>4.6866294787117901</v>
      </c>
      <c r="U27" s="79">
        <v>1.70419675803185</v>
      </c>
      <c r="V27" s="79">
        <v>0.12168541208162099</v>
      </c>
      <c r="W27" s="79">
        <v>6.77959396565848E-2</v>
      </c>
      <c r="X27" s="79">
        <v>1.18088536838999E-2</v>
      </c>
      <c r="Y27" s="79" t="s">
        <v>266</v>
      </c>
      <c r="Z27" s="79" t="s">
        <v>266</v>
      </c>
      <c r="AA27" s="79">
        <v>1.2771371875721849E-4</v>
      </c>
      <c r="AB27" s="79" t="s">
        <v>266</v>
      </c>
      <c r="AC27" s="79">
        <v>2.4755531433027153E-3</v>
      </c>
      <c r="AD27" s="79">
        <v>1.0176367292812415E-2</v>
      </c>
      <c r="AE27" s="79">
        <v>3.0534996219135642E-2</v>
      </c>
      <c r="AF27" s="79">
        <v>3.2359550513144952E-3</v>
      </c>
      <c r="AG27" s="79">
        <v>2.4860203734637801E-3</v>
      </c>
      <c r="AH27" s="79" t="s">
        <v>266</v>
      </c>
      <c r="AI27" s="79" t="s">
        <v>266</v>
      </c>
      <c r="AJ27" s="79">
        <v>1.0538351666258445</v>
      </c>
      <c r="AK27" s="79">
        <v>10.61211932864016</v>
      </c>
      <c r="AL27" s="79">
        <v>1.2892741510676204</v>
      </c>
      <c r="AM27" s="79">
        <v>0.21981174288244795</v>
      </c>
      <c r="AN27" s="79">
        <v>2.7819895881302799E-2</v>
      </c>
      <c r="AO27" s="80">
        <v>7.6793623517929848E-3</v>
      </c>
      <c r="AP27" s="66">
        <f t="shared" si="4"/>
        <v>27.881583049162408</v>
      </c>
      <c r="AQ27" s="61">
        <f t="shared" si="0"/>
        <v>14.622006795914448</v>
      </c>
      <c r="AR27" s="61">
        <f t="shared" si="5"/>
        <v>13.259576253247955</v>
      </c>
      <c r="AS27" s="4">
        <f t="shared" si="1"/>
        <v>8.4006592741065048E-2</v>
      </c>
      <c r="AT27" s="4">
        <f t="shared" si="2"/>
        <v>14.538000203173382</v>
      </c>
      <c r="AU27" s="4">
        <f t="shared" si="3"/>
        <v>4.9036605798786263E-2</v>
      </c>
      <c r="AV27" s="4">
        <f t="shared" si="6"/>
        <v>13.210539647449169</v>
      </c>
    </row>
    <row r="28" spans="1:53" x14ac:dyDescent="0.25">
      <c r="A28" s="35"/>
      <c r="B28" s="35"/>
      <c r="C28" s="35" t="s">
        <v>39</v>
      </c>
      <c r="D28" s="81">
        <v>1.0859730285776401E-2</v>
      </c>
      <c r="E28" s="81" t="s">
        <v>265</v>
      </c>
      <c r="F28" s="81" t="s">
        <v>265</v>
      </c>
      <c r="G28" s="81" t="s">
        <v>265</v>
      </c>
      <c r="H28" s="81">
        <v>2.6515195355113802E-3</v>
      </c>
      <c r="I28" s="81">
        <v>3.6211183527189899E-3</v>
      </c>
      <c r="J28" s="81">
        <v>6.9676128653275896E-2</v>
      </c>
      <c r="K28" s="81">
        <v>3.82098923606249E-2</v>
      </c>
      <c r="L28" s="81">
        <v>2.6949181076347601E-2</v>
      </c>
      <c r="M28" s="81">
        <v>1.01318094645198E-2</v>
      </c>
      <c r="N28" s="81">
        <v>3.29461466420089E-3</v>
      </c>
      <c r="O28" s="81" t="s">
        <v>265</v>
      </c>
      <c r="P28" s="81" t="s">
        <v>265</v>
      </c>
      <c r="Q28" s="81">
        <v>1.1028218196287201E-2</v>
      </c>
      <c r="R28" s="81">
        <v>1.37345436145476E-2</v>
      </c>
      <c r="S28" s="81">
        <v>11.191836639536399</v>
      </c>
      <c r="T28" s="81">
        <v>9.0647681064767198</v>
      </c>
      <c r="U28" s="81">
        <v>3.6040390556858801</v>
      </c>
      <c r="V28" s="81">
        <v>0.29737755128882704</v>
      </c>
      <c r="W28" s="81">
        <v>0.161957310661902</v>
      </c>
      <c r="X28" s="81">
        <v>2.48710807927062E-2</v>
      </c>
      <c r="Y28" s="81"/>
      <c r="Z28" s="81"/>
      <c r="AA28" s="81" t="s">
        <v>265</v>
      </c>
      <c r="AB28" s="81" t="s">
        <v>265</v>
      </c>
      <c r="AC28" s="81" t="s">
        <v>265</v>
      </c>
      <c r="AD28" s="81">
        <v>1.3714112240122801E-2</v>
      </c>
      <c r="AE28" s="81">
        <v>4.2309672619393703E-2</v>
      </c>
      <c r="AF28" s="81">
        <v>1.170114715736352E-2</v>
      </c>
      <c r="AG28" s="81" t="s">
        <v>265</v>
      </c>
      <c r="AH28" s="81"/>
      <c r="AI28" s="81"/>
      <c r="AJ28" s="81">
        <v>1.7231841699515049</v>
      </c>
      <c r="AK28" s="81">
        <v>15.281134002037867</v>
      </c>
      <c r="AL28" s="81">
        <v>1.889375948214445</v>
      </c>
      <c r="AM28" s="81">
        <v>0.4565276526168805</v>
      </c>
      <c r="AN28" s="81">
        <v>5.7540755837430298E-2</v>
      </c>
      <c r="AO28" s="82">
        <v>1.2979008341621046E-2</v>
      </c>
      <c r="AP28" s="66">
        <f t="shared" si="4"/>
        <v>44.023472969662869</v>
      </c>
      <c r="AQ28" s="61">
        <f t="shared" si="0"/>
        <v>24.535006500646244</v>
      </c>
      <c r="AR28" s="61">
        <f t="shared" si="5"/>
        <v>19.488466469016629</v>
      </c>
      <c r="AS28" s="4">
        <f t="shared" si="1"/>
        <v>0.16539399439297589</v>
      </c>
      <c r="AT28" s="4">
        <f t="shared" si="2"/>
        <v>24.369612506253265</v>
      </c>
      <c r="AU28" s="4">
        <f t="shared" si="3"/>
        <v>6.7724932016880027E-2</v>
      </c>
      <c r="AV28" s="4">
        <f t="shared" si="6"/>
        <v>19.420741536999749</v>
      </c>
    </row>
    <row r="29" spans="1:53" x14ac:dyDescent="0.25">
      <c r="A29" s="35"/>
      <c r="B29" s="35"/>
      <c r="C29" s="35" t="s">
        <v>40</v>
      </c>
      <c r="D29" s="81">
        <v>9.5133677631140598E-3</v>
      </c>
      <c r="E29" s="81" t="s">
        <v>265</v>
      </c>
      <c r="F29" s="81" t="s">
        <v>265</v>
      </c>
      <c r="G29" s="81" t="s">
        <v>265</v>
      </c>
      <c r="H29" s="81">
        <v>1.9355260240149E-3</v>
      </c>
      <c r="I29" s="81">
        <v>2.52474404611672E-3</v>
      </c>
      <c r="J29" s="81">
        <v>4.7105444929390602E-2</v>
      </c>
      <c r="K29" s="81">
        <v>2.17988163822024E-2</v>
      </c>
      <c r="L29" s="81">
        <v>1.62668779880514E-2</v>
      </c>
      <c r="M29" s="81">
        <v>5.67138636541585E-3</v>
      </c>
      <c r="N29" s="81" t="s">
        <v>265</v>
      </c>
      <c r="O29" s="81" t="s">
        <v>265</v>
      </c>
      <c r="P29" s="81" t="s">
        <v>265</v>
      </c>
      <c r="Q29" s="81">
        <v>5.9754643161275397E-3</v>
      </c>
      <c r="R29" s="81">
        <v>8.002606638203319E-3</v>
      </c>
      <c r="S29" s="81">
        <v>7.34638398120312</v>
      </c>
      <c r="T29" s="81">
        <v>4.83857959887633</v>
      </c>
      <c r="U29" s="81">
        <v>1.9112769767770998</v>
      </c>
      <c r="V29" s="81">
        <v>0.154295329528676</v>
      </c>
      <c r="W29" s="81">
        <v>7.0184972204941506E-2</v>
      </c>
      <c r="X29" s="81">
        <v>1.3484687541245799E-2</v>
      </c>
      <c r="Y29" s="81"/>
      <c r="Z29" s="81"/>
      <c r="AA29" s="81" t="s">
        <v>265</v>
      </c>
      <c r="AB29" s="81" t="s">
        <v>265</v>
      </c>
      <c r="AC29" s="81" t="s">
        <v>265</v>
      </c>
      <c r="AD29" s="81">
        <v>8.7620541005839214E-3</v>
      </c>
      <c r="AE29" s="81">
        <v>2.2574046419860216E-2</v>
      </c>
      <c r="AF29" s="81">
        <v>6.4122437866597406E-3</v>
      </c>
      <c r="AG29" s="81" t="s">
        <v>265</v>
      </c>
      <c r="AH29" s="81"/>
      <c r="AI29" s="81"/>
      <c r="AJ29" s="81">
        <v>0.95341610203079863</v>
      </c>
      <c r="AK29" s="81">
        <v>7.9153806574561951</v>
      </c>
      <c r="AL29" s="81">
        <v>1.0196944359322275</v>
      </c>
      <c r="AM29" s="81">
        <v>0.23165116512665584</v>
      </c>
      <c r="AN29" s="81">
        <v>2.7184566126550052E-2</v>
      </c>
      <c r="AO29" s="82" t="s">
        <v>265</v>
      </c>
      <c r="AP29" s="66">
        <f t="shared" si="4"/>
        <v>24.638075051563579</v>
      </c>
      <c r="AQ29" s="61">
        <f t="shared" si="0"/>
        <v>14.452999780584049</v>
      </c>
      <c r="AR29" s="61">
        <f t="shared" si="5"/>
        <v>10.185075270979532</v>
      </c>
      <c r="AS29" s="4">
        <f t="shared" si="1"/>
        <v>0.10481616349830593</v>
      </c>
      <c r="AT29" s="4">
        <f t="shared" si="2"/>
        <v>14.348183617085743</v>
      </c>
      <c r="AU29" s="4">
        <f t="shared" si="3"/>
        <v>3.774834430710388E-2</v>
      </c>
      <c r="AV29" s="4">
        <f t="shared" si="6"/>
        <v>10.147326926672427</v>
      </c>
    </row>
    <row r="30" spans="1:53" x14ac:dyDescent="0.25">
      <c r="A30" s="35"/>
      <c r="B30" s="35"/>
      <c r="C30" s="35" t="s">
        <v>41</v>
      </c>
      <c r="D30" s="83">
        <v>8.9569253511838989E-3</v>
      </c>
      <c r="E30" s="83" t="s">
        <v>265</v>
      </c>
      <c r="F30" s="83" t="s">
        <v>265</v>
      </c>
      <c r="G30" s="83" t="s">
        <v>265</v>
      </c>
      <c r="H30" s="83">
        <v>1.6774457027934301E-3</v>
      </c>
      <c r="I30" s="83">
        <v>1.7035833449573501E-3</v>
      </c>
      <c r="J30" s="83">
        <v>9.1003090713101198E-2</v>
      </c>
      <c r="K30" s="83">
        <v>4.0541575175703302E-2</v>
      </c>
      <c r="L30" s="83">
        <v>2.5023743811544399E-2</v>
      </c>
      <c r="M30" s="83">
        <v>7.2839433494401098E-3</v>
      </c>
      <c r="N30" s="83" t="s">
        <v>265</v>
      </c>
      <c r="O30" s="83" t="s">
        <v>265</v>
      </c>
      <c r="P30" s="83" t="s">
        <v>265</v>
      </c>
      <c r="Q30" s="83">
        <v>5.5429119425641606E-3</v>
      </c>
      <c r="R30" s="83">
        <v>1.2414674305087499E-2</v>
      </c>
      <c r="S30" s="83">
        <v>13.704638869157399</v>
      </c>
      <c r="T30" s="83">
        <v>10.0734839679328</v>
      </c>
      <c r="U30" s="83">
        <v>2.3803849538049597</v>
      </c>
      <c r="V30" s="83">
        <v>0.15802487161550802</v>
      </c>
      <c r="W30" s="83">
        <v>7.1795904193045504E-2</v>
      </c>
      <c r="X30" s="83">
        <v>1.3432876879483101E-2</v>
      </c>
      <c r="Y30" s="83"/>
      <c r="Z30" s="83"/>
      <c r="AA30" s="83" t="s">
        <v>265</v>
      </c>
      <c r="AB30" s="83" t="s">
        <v>265</v>
      </c>
      <c r="AC30" s="83" t="s">
        <v>265</v>
      </c>
      <c r="AD30" s="83">
        <v>1.80116830014228E-2</v>
      </c>
      <c r="AE30" s="83">
        <v>4.0926052900627494E-2</v>
      </c>
      <c r="AF30" s="83">
        <v>7.6042614953733953E-3</v>
      </c>
      <c r="AG30" s="83" t="s">
        <v>265</v>
      </c>
      <c r="AH30" s="83"/>
      <c r="AI30" s="83"/>
      <c r="AJ30" s="83">
        <v>2.2680279850904399</v>
      </c>
      <c r="AK30" s="83">
        <v>19.572238609274848</v>
      </c>
      <c r="AL30" s="83">
        <v>1.3708262337325601</v>
      </c>
      <c r="AM30" s="83">
        <v>0.23967456300601991</v>
      </c>
      <c r="AN30" s="83">
        <v>2.421763243523305E-2</v>
      </c>
      <c r="AO30" s="84" t="s">
        <v>265</v>
      </c>
      <c r="AP30" s="66">
        <f t="shared" si="4"/>
        <v>50.1374363582161</v>
      </c>
      <c r="AQ30" s="61">
        <f t="shared" si="0"/>
        <v>26.595909337279576</v>
      </c>
      <c r="AR30" s="61">
        <f t="shared" si="5"/>
        <v>23.541527020936524</v>
      </c>
      <c r="AS30" s="4">
        <f t="shared" si="1"/>
        <v>0.17619030744872369</v>
      </c>
      <c r="AT30" s="4">
        <f t="shared" si="2"/>
        <v>26.419719029830851</v>
      </c>
      <c r="AU30" s="4">
        <f t="shared" si="3"/>
        <v>6.6541997397423683E-2</v>
      </c>
      <c r="AV30" s="4">
        <f t="shared" si="6"/>
        <v>23.474985023539102</v>
      </c>
    </row>
    <row r="31" spans="1:53" x14ac:dyDescent="0.25">
      <c r="A31" s="35">
        <v>73</v>
      </c>
      <c r="B31" s="85">
        <v>45140</v>
      </c>
      <c r="C31" s="35" t="s">
        <v>36</v>
      </c>
      <c r="D31" s="79" t="s">
        <v>265</v>
      </c>
      <c r="E31" s="79" t="s">
        <v>265</v>
      </c>
      <c r="F31" s="79" t="s">
        <v>265</v>
      </c>
      <c r="G31" s="79" t="s">
        <v>265</v>
      </c>
      <c r="H31" s="79" t="s">
        <v>265</v>
      </c>
      <c r="I31" s="79" t="s">
        <v>265</v>
      </c>
      <c r="J31" s="79">
        <v>4.6606885049235151E-2</v>
      </c>
      <c r="K31" s="79">
        <v>2.0695190398836001E-2</v>
      </c>
      <c r="L31" s="79">
        <v>1.2761840533562E-2</v>
      </c>
      <c r="M31" s="79">
        <v>2.7627025658919762E-3</v>
      </c>
      <c r="N31" s="79" t="s">
        <v>265</v>
      </c>
      <c r="O31" s="79" t="s">
        <v>265</v>
      </c>
      <c r="P31" s="79" t="s">
        <v>265</v>
      </c>
      <c r="Q31" s="79" t="s">
        <v>265</v>
      </c>
      <c r="R31" s="79">
        <v>9.05496778973474E-3</v>
      </c>
      <c r="S31" s="79">
        <v>8.3974744149872596</v>
      </c>
      <c r="T31" s="79">
        <v>5.65399682212482</v>
      </c>
      <c r="U31" s="79">
        <v>1.65851417542233</v>
      </c>
      <c r="V31" s="79">
        <v>5.5499389238652101E-2</v>
      </c>
      <c r="W31" s="79">
        <v>3.7092893656351801E-2</v>
      </c>
      <c r="X31" s="79">
        <v>5.3450667576929699E-3</v>
      </c>
      <c r="Y31" s="79" t="s">
        <v>266</v>
      </c>
      <c r="Z31" s="79" t="s">
        <v>266</v>
      </c>
      <c r="AA31" s="79">
        <v>4.0316426740471978E-5</v>
      </c>
      <c r="AB31" s="79" t="s">
        <v>266</v>
      </c>
      <c r="AC31" s="79">
        <v>2.0207142997115102E-3</v>
      </c>
      <c r="AD31" s="79">
        <v>1.0235049802784701E-2</v>
      </c>
      <c r="AE31" s="79">
        <v>2.00852299787018E-2</v>
      </c>
      <c r="AF31" s="79">
        <v>1.5892414200802598E-3</v>
      </c>
      <c r="AG31" s="79">
        <v>2.7472453724883598E-4</v>
      </c>
      <c r="AH31" s="79" t="s">
        <v>266</v>
      </c>
      <c r="AI31" s="79" t="s">
        <v>266</v>
      </c>
      <c r="AJ31" s="79">
        <v>1.171686828231733</v>
      </c>
      <c r="AK31" s="79">
        <v>11.763948746280946</v>
      </c>
      <c r="AL31" s="79">
        <v>0.81455143310895695</v>
      </c>
      <c r="AM31" s="79">
        <v>3.3314905815844349E-2</v>
      </c>
      <c r="AN31" s="79">
        <v>2.82463342115302E-3</v>
      </c>
      <c r="AO31" s="80">
        <v>2.0819916130144752E-3</v>
      </c>
      <c r="AP31" s="66">
        <f t="shared" si="4"/>
        <v>29.722458163461276</v>
      </c>
      <c r="AQ31" s="61">
        <f t="shared" si="0"/>
        <v>15.899804348524366</v>
      </c>
      <c r="AR31" s="61">
        <f t="shared" si="5"/>
        <v>13.822653814936913</v>
      </c>
      <c r="AS31" s="4">
        <f t="shared" si="1"/>
        <v>8.2826618547525127E-2</v>
      </c>
      <c r="AT31" s="4">
        <f t="shared" si="2"/>
        <v>15.816977729976841</v>
      </c>
      <c r="AU31" s="4">
        <f t="shared" si="3"/>
        <v>3.4245276465267573E-2</v>
      </c>
      <c r="AV31" s="4">
        <f t="shared" si="6"/>
        <v>13.788408538471646</v>
      </c>
    </row>
    <row r="32" spans="1:53" x14ac:dyDescent="0.25">
      <c r="A32" s="35"/>
      <c r="B32" s="35"/>
      <c r="C32" s="35" t="s">
        <v>39</v>
      </c>
      <c r="D32" s="81">
        <v>8.4959389958965195E-3</v>
      </c>
      <c r="E32" s="81" t="s">
        <v>265</v>
      </c>
      <c r="F32" s="81" t="s">
        <v>265</v>
      </c>
      <c r="G32" s="81" t="s">
        <v>265</v>
      </c>
      <c r="H32" s="81">
        <v>1.3266456982193699E-3</v>
      </c>
      <c r="I32" s="81">
        <v>1.0786988359892799E-3</v>
      </c>
      <c r="J32" s="81">
        <v>8.8128211407214496E-2</v>
      </c>
      <c r="K32" s="81">
        <v>3.9919350703616095E-2</v>
      </c>
      <c r="L32" s="81">
        <v>2.25663423294197E-2</v>
      </c>
      <c r="M32" s="81">
        <v>5.2747902711915394E-3</v>
      </c>
      <c r="N32" s="81" t="s">
        <v>265</v>
      </c>
      <c r="O32" s="81" t="s">
        <v>265</v>
      </c>
      <c r="P32" s="81" t="s">
        <v>265</v>
      </c>
      <c r="Q32" s="81" t="s">
        <v>265</v>
      </c>
      <c r="R32" s="81">
        <v>1.5520974681841701E-2</v>
      </c>
      <c r="S32" s="81">
        <v>13.078703887668301</v>
      </c>
      <c r="T32" s="81">
        <v>9.4602189412475806</v>
      </c>
      <c r="U32" s="81">
        <v>2.6411137584645599</v>
      </c>
      <c r="V32" s="81">
        <v>0.17838748742716998</v>
      </c>
      <c r="W32" s="81">
        <v>5.4575426166608799E-2</v>
      </c>
      <c r="X32" s="81">
        <v>8.6578799598658693E-3</v>
      </c>
      <c r="Y32" s="81"/>
      <c r="Z32" s="81"/>
      <c r="AA32" s="81" t="s">
        <v>265</v>
      </c>
      <c r="AB32" s="81" t="s">
        <v>265</v>
      </c>
      <c r="AC32" s="81" t="s">
        <v>265</v>
      </c>
      <c r="AD32" s="81">
        <v>1.8980020406677827E-2</v>
      </c>
      <c r="AE32" s="81">
        <v>3.4168803401325831E-2</v>
      </c>
      <c r="AF32" s="81">
        <v>4.9140024029005348E-3</v>
      </c>
      <c r="AG32" s="81" t="s">
        <v>265</v>
      </c>
      <c r="AH32" s="81"/>
      <c r="AI32" s="81"/>
      <c r="AJ32" s="81">
        <v>2.3881332068912449</v>
      </c>
      <c r="AK32" s="81">
        <v>20.158448759353902</v>
      </c>
      <c r="AL32" s="81">
        <v>1.2771242351418706</v>
      </c>
      <c r="AM32" s="81">
        <v>8.1125351492378997E-2</v>
      </c>
      <c r="AN32" s="81" t="s">
        <v>265</v>
      </c>
      <c r="AO32" s="82" t="s">
        <v>265</v>
      </c>
      <c r="AP32" s="66">
        <f t="shared" si="4"/>
        <v>49.566862712947774</v>
      </c>
      <c r="AQ32" s="61">
        <f t="shared" si="0"/>
        <v>25.603968333857473</v>
      </c>
      <c r="AR32" s="61">
        <f t="shared" si="5"/>
        <v>23.962894379090297</v>
      </c>
      <c r="AS32" s="4">
        <f t="shared" si="1"/>
        <v>0.16678997824154701</v>
      </c>
      <c r="AT32" s="4">
        <f t="shared" si="2"/>
        <v>25.437178355615924</v>
      </c>
      <c r="AU32" s="4">
        <f t="shared" si="3"/>
        <v>5.8062826210904195E-2</v>
      </c>
      <c r="AV32" s="4">
        <f t="shared" si="6"/>
        <v>23.904831552879394</v>
      </c>
    </row>
    <row r="33" spans="1:48" x14ac:dyDescent="0.25">
      <c r="A33" s="35"/>
      <c r="B33" s="35"/>
      <c r="C33" s="35" t="s">
        <v>40</v>
      </c>
      <c r="D33" s="81">
        <v>7.7130612072629397E-3</v>
      </c>
      <c r="E33" s="81" t="s">
        <v>265</v>
      </c>
      <c r="F33" s="81" t="s">
        <v>265</v>
      </c>
      <c r="G33" s="81" t="s">
        <v>265</v>
      </c>
      <c r="H33" s="81">
        <v>2.41932109422932E-3</v>
      </c>
      <c r="I33" s="81">
        <v>2.1002750519565597E-3</v>
      </c>
      <c r="J33" s="81">
        <v>6.8830983718829994E-2</v>
      </c>
      <c r="K33" s="81">
        <v>3.1451860435167796E-2</v>
      </c>
      <c r="L33" s="81">
        <v>1.6122531047794299E-2</v>
      </c>
      <c r="M33" s="81">
        <v>4.2434378520402501E-3</v>
      </c>
      <c r="N33" s="81" t="s">
        <v>265</v>
      </c>
      <c r="O33" s="81" t="s">
        <v>265</v>
      </c>
      <c r="P33" s="81" t="s">
        <v>265</v>
      </c>
      <c r="Q33" s="81" t="s">
        <v>265</v>
      </c>
      <c r="R33" s="81">
        <v>8.3993123611177702E-3</v>
      </c>
      <c r="S33" s="81">
        <v>10.4668798676493</v>
      </c>
      <c r="T33" s="81">
        <v>6.8724561851474997</v>
      </c>
      <c r="U33" s="81">
        <v>1.78168998932584</v>
      </c>
      <c r="V33" s="81">
        <v>8.78135577577141E-2</v>
      </c>
      <c r="W33" s="81">
        <v>2.90435153304805E-2</v>
      </c>
      <c r="X33" s="81">
        <v>5.9349920310782199E-3</v>
      </c>
      <c r="Y33" s="81"/>
      <c r="Z33" s="81"/>
      <c r="AA33" s="81" t="s">
        <v>265</v>
      </c>
      <c r="AB33" s="81" t="s">
        <v>265</v>
      </c>
      <c r="AC33" s="81" t="s">
        <v>265</v>
      </c>
      <c r="AD33" s="81">
        <v>1.3336568755428897E-2</v>
      </c>
      <c r="AE33" s="81">
        <v>2.3100763824638954E-2</v>
      </c>
      <c r="AF33" s="81">
        <v>3.6553588331824801E-3</v>
      </c>
      <c r="AG33" s="81" t="s">
        <v>265</v>
      </c>
      <c r="AH33" s="81"/>
      <c r="AI33" s="81"/>
      <c r="AJ33" s="81">
        <v>1.4073035400056957</v>
      </c>
      <c r="AK33" s="81">
        <v>12.586343440270456</v>
      </c>
      <c r="AL33" s="81">
        <v>0.81935146542081749</v>
      </c>
      <c r="AM33" s="81">
        <v>4.3289365852070952E-2</v>
      </c>
      <c r="AN33" s="81" t="s">
        <v>265</v>
      </c>
      <c r="AO33" s="82" t="s">
        <v>265</v>
      </c>
      <c r="AP33" s="66">
        <f t="shared" si="4"/>
        <v>34.281479392972599</v>
      </c>
      <c r="AQ33" s="61">
        <f t="shared" si="0"/>
        <v>19.385098890010315</v>
      </c>
      <c r="AR33" s="61">
        <f t="shared" si="5"/>
        <v>14.896380502962289</v>
      </c>
      <c r="AS33" s="4">
        <f t="shared" si="1"/>
        <v>0.13288147040728115</v>
      </c>
      <c r="AT33" s="4">
        <f t="shared" si="2"/>
        <v>19.252217419603031</v>
      </c>
      <c r="AU33" s="4">
        <f t="shared" si="3"/>
        <v>4.009269141325033E-2</v>
      </c>
      <c r="AV33" s="4">
        <f t="shared" si="6"/>
        <v>14.85628781154904</v>
      </c>
    </row>
    <row r="34" spans="1:48" x14ac:dyDescent="0.25">
      <c r="A34" s="35"/>
      <c r="B34" s="35"/>
      <c r="C34" s="35" t="s">
        <v>41</v>
      </c>
      <c r="D34" s="83">
        <v>8.4833231638802194E-3</v>
      </c>
      <c r="E34" s="83" t="s">
        <v>265</v>
      </c>
      <c r="F34" s="83" t="s">
        <v>265</v>
      </c>
      <c r="G34" s="83" t="s">
        <v>265</v>
      </c>
      <c r="H34" s="83">
        <v>2.4672001328686697E-3</v>
      </c>
      <c r="I34" s="83">
        <v>1.83269009958066E-3</v>
      </c>
      <c r="J34" s="83">
        <v>9.8386977554906913E-2</v>
      </c>
      <c r="K34" s="83">
        <v>3.4805153877288497E-2</v>
      </c>
      <c r="L34" s="83">
        <v>1.6264082775781501E-2</v>
      </c>
      <c r="M34" s="83">
        <v>3.97840578786764E-3</v>
      </c>
      <c r="N34" s="83" t="s">
        <v>265</v>
      </c>
      <c r="O34" s="83" t="s">
        <v>265</v>
      </c>
      <c r="P34" s="83" t="s">
        <v>265</v>
      </c>
      <c r="Q34" s="83" t="s">
        <v>265</v>
      </c>
      <c r="R34" s="83">
        <v>9.31232988685924E-3</v>
      </c>
      <c r="S34" s="83">
        <v>12.7958967618153</v>
      </c>
      <c r="T34" s="83">
        <v>8.3803533705248299</v>
      </c>
      <c r="U34" s="83">
        <v>1.4093297474734099</v>
      </c>
      <c r="V34" s="83">
        <v>8.2461268240187291E-2</v>
      </c>
      <c r="W34" s="83">
        <v>3.0392222700314497E-2</v>
      </c>
      <c r="X34" s="83">
        <v>7.2117459713292795E-3</v>
      </c>
      <c r="Y34" s="83"/>
      <c r="Z34" s="83"/>
      <c r="AA34" s="83" t="s">
        <v>265</v>
      </c>
      <c r="AB34" s="83" t="s">
        <v>265</v>
      </c>
      <c r="AC34" s="83" t="s">
        <v>265</v>
      </c>
      <c r="AD34" s="83">
        <v>1.9690297518087256E-2</v>
      </c>
      <c r="AE34" s="83">
        <v>2.8171901006845943E-2</v>
      </c>
      <c r="AF34" s="83" t="s">
        <v>265</v>
      </c>
      <c r="AG34" s="83" t="s">
        <v>265</v>
      </c>
      <c r="AH34" s="83"/>
      <c r="AI34" s="83"/>
      <c r="AJ34" s="83">
        <v>2.0896429665309353</v>
      </c>
      <c r="AK34" s="83">
        <v>16.322715929944025</v>
      </c>
      <c r="AL34" s="83">
        <v>0.69898739872279247</v>
      </c>
      <c r="AM34" s="83" t="s">
        <v>265</v>
      </c>
      <c r="AN34" s="83" t="s">
        <v>265</v>
      </c>
      <c r="AO34" s="84" t="s">
        <v>265</v>
      </c>
      <c r="AP34" s="66">
        <f t="shared" si="4"/>
        <v>42.040383773727086</v>
      </c>
      <c r="AQ34" s="61">
        <f t="shared" si="0"/>
        <v>22.881175280004406</v>
      </c>
      <c r="AR34" s="61">
        <f t="shared" si="5"/>
        <v>19.159208493722687</v>
      </c>
      <c r="AS34" s="4">
        <f t="shared" si="1"/>
        <v>0.16621783339217414</v>
      </c>
      <c r="AT34" s="4">
        <f t="shared" si="2"/>
        <v>22.714957446612232</v>
      </c>
      <c r="AU34" s="4">
        <f t="shared" si="3"/>
        <v>4.7862198524933203E-2</v>
      </c>
      <c r="AV34" s="4">
        <f t="shared" si="6"/>
        <v>19.111346295197752</v>
      </c>
    </row>
    <row r="35" spans="1:48" x14ac:dyDescent="0.25">
      <c r="A35" s="35">
        <v>101</v>
      </c>
      <c r="B35" s="85">
        <v>45168</v>
      </c>
      <c r="C35" s="35" t="s">
        <v>36</v>
      </c>
      <c r="D35" s="79" t="s">
        <v>265</v>
      </c>
      <c r="E35" s="79" t="s">
        <v>265</v>
      </c>
      <c r="F35" s="79" t="s">
        <v>265</v>
      </c>
      <c r="G35" s="79" t="s">
        <v>265</v>
      </c>
      <c r="H35" s="79" t="s">
        <v>265</v>
      </c>
      <c r="I35" s="79" t="s">
        <v>265</v>
      </c>
      <c r="J35" s="79">
        <v>3.0443656097894154E-2</v>
      </c>
      <c r="K35" s="79">
        <v>1.15001176611017E-2</v>
      </c>
      <c r="L35" s="79">
        <v>5.2161457668237999E-3</v>
      </c>
      <c r="M35" s="79" t="s">
        <v>265</v>
      </c>
      <c r="N35" s="79" t="s">
        <v>265</v>
      </c>
      <c r="O35" s="79" t="s">
        <v>265</v>
      </c>
      <c r="P35" s="79" t="s">
        <v>265</v>
      </c>
      <c r="Q35" s="79" t="s">
        <v>265</v>
      </c>
      <c r="R35" s="79">
        <v>2.9622217535084099E-3</v>
      </c>
      <c r="S35" s="79">
        <v>5.5462058463017101</v>
      </c>
      <c r="T35" s="79">
        <v>2.3080440542957499</v>
      </c>
      <c r="U35" s="79">
        <v>0.524464108527391</v>
      </c>
      <c r="V35" s="79">
        <v>1.4617249746065999E-2</v>
      </c>
      <c r="W35" s="79">
        <v>5.46694193144622E-3</v>
      </c>
      <c r="X35" s="79">
        <v>2.0313275294693203E-3</v>
      </c>
      <c r="Y35" s="79" t="s">
        <v>266</v>
      </c>
      <c r="Z35" s="79" t="s">
        <v>266</v>
      </c>
      <c r="AA35" s="79">
        <v>1.0652279559042199E-4</v>
      </c>
      <c r="AB35" s="79" t="s">
        <v>266</v>
      </c>
      <c r="AC35" s="79">
        <v>8.8089676549773198E-4</v>
      </c>
      <c r="AD35" s="79">
        <v>8.8680248247691145E-3</v>
      </c>
      <c r="AE35" s="79">
        <v>9.9628730728473103E-3</v>
      </c>
      <c r="AF35" s="79">
        <v>3.3718007489997806E-4</v>
      </c>
      <c r="AG35" s="79" t="s">
        <v>266</v>
      </c>
      <c r="AH35" s="79" t="s">
        <v>266</v>
      </c>
      <c r="AI35" s="79" t="s">
        <v>266</v>
      </c>
      <c r="AJ35" s="79">
        <v>0.69042389068732601</v>
      </c>
      <c r="AK35" s="79">
        <v>5.8942590030385551</v>
      </c>
      <c r="AL35" s="79">
        <v>0.20284225472533199</v>
      </c>
      <c r="AM35" s="79">
        <v>6.1108091987144095E-3</v>
      </c>
      <c r="AN35" s="79" t="s">
        <v>266</v>
      </c>
      <c r="AO35" s="80" t="s">
        <v>266</v>
      </c>
      <c r="AP35" s="66">
        <f t="shared" si="4"/>
        <v>15.264743124794697</v>
      </c>
      <c r="AQ35" s="61">
        <f t="shared" si="0"/>
        <v>8.4509516696111611</v>
      </c>
      <c r="AR35" s="61">
        <f t="shared" si="5"/>
        <v>6.8137914551835328</v>
      </c>
      <c r="AS35" s="4">
        <f t="shared" si="1"/>
        <v>4.7159919525819653E-2</v>
      </c>
      <c r="AT35" s="4">
        <f t="shared" si="2"/>
        <v>8.4037917500853414</v>
      </c>
      <c r="AU35" s="4">
        <f t="shared" si="3"/>
        <v>2.0155497533604554E-2</v>
      </c>
      <c r="AV35" s="4">
        <f t="shared" si="6"/>
        <v>6.7936359576499274</v>
      </c>
    </row>
    <row r="36" spans="1:48" x14ac:dyDescent="0.25">
      <c r="A36" s="35"/>
      <c r="B36" s="35"/>
      <c r="C36" s="35" t="s">
        <v>39</v>
      </c>
      <c r="D36" s="81">
        <v>8.6581842585173492E-3</v>
      </c>
      <c r="E36" s="81" t="s">
        <v>265</v>
      </c>
      <c r="F36" s="81" t="s">
        <v>265</v>
      </c>
      <c r="G36" s="81" t="s">
        <v>265</v>
      </c>
      <c r="H36" s="81">
        <v>2.4476944836482103E-3</v>
      </c>
      <c r="I36" s="81">
        <v>2.0831486387979502E-3</v>
      </c>
      <c r="J36" s="81">
        <v>5.9942483766367502E-2</v>
      </c>
      <c r="K36" s="81">
        <v>2.3069878619327602E-2</v>
      </c>
      <c r="L36" s="81">
        <v>9.9867257502593912E-3</v>
      </c>
      <c r="M36" s="81" t="s">
        <v>265</v>
      </c>
      <c r="N36" s="81" t="s">
        <v>265</v>
      </c>
      <c r="O36" s="81" t="s">
        <v>265</v>
      </c>
      <c r="P36" s="81" t="s">
        <v>265</v>
      </c>
      <c r="Q36" s="81" t="s">
        <v>265</v>
      </c>
      <c r="R36" s="81">
        <v>7.0807903770288205E-3</v>
      </c>
      <c r="S36" s="81">
        <v>8.57577453323408</v>
      </c>
      <c r="T36" s="81">
        <v>4.0069058140357203</v>
      </c>
      <c r="U36" s="81">
        <v>0.82715314312230104</v>
      </c>
      <c r="V36" s="81">
        <v>3.1546308857857697E-2</v>
      </c>
      <c r="W36" s="81">
        <v>7.2663555228737299E-3</v>
      </c>
      <c r="X36" s="81" t="s">
        <v>265</v>
      </c>
      <c r="Y36" s="81"/>
      <c r="Z36" s="81"/>
      <c r="AA36" s="81" t="s">
        <v>265</v>
      </c>
      <c r="AB36" s="81" t="s">
        <v>265</v>
      </c>
      <c r="AC36" s="81" t="s">
        <v>265</v>
      </c>
      <c r="AD36" s="81">
        <v>1.2989334278621995E-2</v>
      </c>
      <c r="AE36" s="81">
        <v>1.5671652595739435E-2</v>
      </c>
      <c r="AF36" s="81" t="s">
        <v>265</v>
      </c>
      <c r="AG36" s="81" t="s">
        <v>265</v>
      </c>
      <c r="AH36" s="81"/>
      <c r="AI36" s="81"/>
      <c r="AJ36" s="81">
        <v>1.2976625875356427</v>
      </c>
      <c r="AK36" s="81">
        <v>8.8558332393421288</v>
      </c>
      <c r="AL36" s="81">
        <v>0.27746634518883601</v>
      </c>
      <c r="AM36" s="81" t="s">
        <v>265</v>
      </c>
      <c r="AN36" s="81" t="s">
        <v>265</v>
      </c>
      <c r="AO36" s="82" t="s">
        <v>265</v>
      </c>
      <c r="AP36" s="66">
        <f t="shared" si="4"/>
        <v>24.021538219607741</v>
      </c>
      <c r="AQ36" s="61">
        <f t="shared" si="0"/>
        <v>13.561915060666777</v>
      </c>
      <c r="AR36" s="61">
        <f t="shared" si="5"/>
        <v>10.459623158940969</v>
      </c>
      <c r="AS36" s="4">
        <f t="shared" si="1"/>
        <v>0.10618811551691801</v>
      </c>
      <c r="AT36" s="4">
        <f t="shared" si="2"/>
        <v>13.455726945149859</v>
      </c>
      <c r="AU36" s="4">
        <f t="shared" si="3"/>
        <v>2.866098687436143E-2</v>
      </c>
      <c r="AV36" s="4">
        <f t="shared" si="6"/>
        <v>10.430962172066607</v>
      </c>
    </row>
    <row r="37" spans="1:48" x14ac:dyDescent="0.25">
      <c r="A37" s="35"/>
      <c r="B37" s="35"/>
      <c r="C37" s="35" t="s">
        <v>40</v>
      </c>
      <c r="D37" s="81">
        <v>1.39176285723316E-2</v>
      </c>
      <c r="E37" s="81" t="s">
        <v>265</v>
      </c>
      <c r="F37" s="81" t="s">
        <v>265</v>
      </c>
      <c r="G37" s="81" t="s">
        <v>265</v>
      </c>
      <c r="H37" s="81" t="s">
        <v>265</v>
      </c>
      <c r="I37" s="81" t="s">
        <v>265</v>
      </c>
      <c r="J37" s="81">
        <v>3.8687961798265696E-2</v>
      </c>
      <c r="K37" s="81">
        <v>1.2226508611969701E-2</v>
      </c>
      <c r="L37" s="81">
        <v>5.1444886890135997E-3</v>
      </c>
      <c r="M37" s="81" t="s">
        <v>265</v>
      </c>
      <c r="N37" s="81" t="s">
        <v>265</v>
      </c>
      <c r="O37" s="81" t="s">
        <v>265</v>
      </c>
      <c r="P37" s="81" t="s">
        <v>265</v>
      </c>
      <c r="Q37" s="81" t="s">
        <v>265</v>
      </c>
      <c r="R37" s="81" t="s">
        <v>265</v>
      </c>
      <c r="S37" s="81">
        <v>5.7910253994052301</v>
      </c>
      <c r="T37" s="81">
        <v>2.29174272301971</v>
      </c>
      <c r="U37" s="81">
        <v>0.39123072095407702</v>
      </c>
      <c r="V37" s="81">
        <v>1.7736173946911401E-2</v>
      </c>
      <c r="W37" s="81">
        <v>5.3325294544205697E-3</v>
      </c>
      <c r="X37" s="81" t="s">
        <v>265</v>
      </c>
      <c r="Y37" s="81"/>
      <c r="Z37" s="81"/>
      <c r="AA37" s="81" t="s">
        <v>265</v>
      </c>
      <c r="AB37" s="81" t="s">
        <v>265</v>
      </c>
      <c r="AC37" s="81" t="s">
        <v>265</v>
      </c>
      <c r="AD37" s="81">
        <v>7.7135765407100902E-3</v>
      </c>
      <c r="AE37" s="81">
        <v>7.3490415822283148E-3</v>
      </c>
      <c r="AF37" s="81" t="s">
        <v>265</v>
      </c>
      <c r="AG37" s="81" t="s">
        <v>265</v>
      </c>
      <c r="AH37" s="81"/>
      <c r="AI37" s="81"/>
      <c r="AJ37" s="81">
        <v>0.78769269937306508</v>
      </c>
      <c r="AK37" s="81">
        <v>5.4782715646642597</v>
      </c>
      <c r="AL37" s="81">
        <v>0.17095847370559239</v>
      </c>
      <c r="AM37" s="81" t="s">
        <v>265</v>
      </c>
      <c r="AN37" s="81" t="s">
        <v>265</v>
      </c>
      <c r="AO37" s="82" t="s">
        <v>265</v>
      </c>
      <c r="AP37" s="66">
        <f t="shared" si="4"/>
        <v>15.019029490317786</v>
      </c>
      <c r="AQ37" s="61">
        <f t="shared" si="0"/>
        <v>8.5670441344519297</v>
      </c>
      <c r="AR37" s="61">
        <f t="shared" si="5"/>
        <v>6.4519853558658555</v>
      </c>
      <c r="AS37" s="4">
        <f t="shared" si="1"/>
        <v>6.9976587671580603E-2</v>
      </c>
      <c r="AT37" s="4">
        <f t="shared" si="2"/>
        <v>8.4970675467803503</v>
      </c>
      <c r="AU37" s="4">
        <f t="shared" si="3"/>
        <v>1.5062618122938406E-2</v>
      </c>
      <c r="AV37" s="4">
        <f t="shared" si="6"/>
        <v>6.4369227377429175</v>
      </c>
    </row>
    <row r="38" spans="1:48" x14ac:dyDescent="0.25">
      <c r="A38" s="35"/>
      <c r="B38" s="35"/>
      <c r="C38" s="35" t="s">
        <v>41</v>
      </c>
      <c r="D38" s="83">
        <v>1.25389106650843E-2</v>
      </c>
      <c r="E38" s="83" t="s">
        <v>265</v>
      </c>
      <c r="F38" s="83" t="s">
        <v>265</v>
      </c>
      <c r="G38" s="83" t="s">
        <v>265</v>
      </c>
      <c r="H38" s="83" t="s">
        <v>265</v>
      </c>
      <c r="I38" s="83" t="s">
        <v>265</v>
      </c>
      <c r="J38" s="83">
        <v>4.07674500930005E-2</v>
      </c>
      <c r="K38" s="83">
        <v>1.2976656648201301E-2</v>
      </c>
      <c r="L38" s="83" t="s">
        <v>265</v>
      </c>
      <c r="M38" s="83" t="s">
        <v>265</v>
      </c>
      <c r="N38" s="83" t="s">
        <v>265</v>
      </c>
      <c r="O38" s="83" t="s">
        <v>265</v>
      </c>
      <c r="P38" s="83" t="s">
        <v>265</v>
      </c>
      <c r="Q38" s="83" t="s">
        <v>265</v>
      </c>
      <c r="R38" s="83">
        <v>2.9274581458242997E-3</v>
      </c>
      <c r="S38" s="83">
        <v>6.28796748858485</v>
      </c>
      <c r="T38" s="83">
        <v>2.1993931033742</v>
      </c>
      <c r="U38" s="83">
        <v>0.28647618435879701</v>
      </c>
      <c r="V38" s="83" t="s">
        <v>265</v>
      </c>
      <c r="W38" s="83">
        <v>4.0316654603942898E-3</v>
      </c>
      <c r="X38" s="83" t="s">
        <v>265</v>
      </c>
      <c r="Y38" s="83"/>
      <c r="Z38" s="83"/>
      <c r="AA38" s="83" t="s">
        <v>265</v>
      </c>
      <c r="AB38" s="83" t="s">
        <v>265</v>
      </c>
      <c r="AC38" s="83" t="s">
        <v>265</v>
      </c>
      <c r="AD38" s="83">
        <v>1.111819438717355E-2</v>
      </c>
      <c r="AE38" s="83">
        <v>1.1214216416007951E-2</v>
      </c>
      <c r="AF38" s="83" t="s">
        <v>265</v>
      </c>
      <c r="AG38" s="83" t="s">
        <v>265</v>
      </c>
      <c r="AH38" s="83"/>
      <c r="AI38" s="83"/>
      <c r="AJ38" s="83">
        <v>0.88592468420688097</v>
      </c>
      <c r="AK38" s="83">
        <v>5.6124561946575851</v>
      </c>
      <c r="AL38" s="83">
        <v>0.15203778024515363</v>
      </c>
      <c r="AM38" s="83" t="s">
        <v>265</v>
      </c>
      <c r="AN38" s="83" t="s">
        <v>265</v>
      </c>
      <c r="AO38" s="84" t="s">
        <v>265</v>
      </c>
      <c r="AP38" s="66">
        <f t="shared" si="4"/>
        <v>15.519829987243151</v>
      </c>
      <c r="AQ38" s="61">
        <f t="shared" si="0"/>
        <v>8.8470789173303519</v>
      </c>
      <c r="AR38" s="61">
        <f t="shared" si="5"/>
        <v>6.6727510699128016</v>
      </c>
      <c r="AS38" s="4">
        <f t="shared" si="1"/>
        <v>6.6283017406286102E-2</v>
      </c>
      <c r="AT38" s="4">
        <f t="shared" si="2"/>
        <v>8.7807958999240654</v>
      </c>
      <c r="AU38" s="4">
        <f t="shared" si="3"/>
        <v>2.2332410803181501E-2</v>
      </c>
      <c r="AV38" s="4">
        <f t="shared" si="6"/>
        <v>6.6504186591096195</v>
      </c>
    </row>
    <row r="39" spans="1:48" x14ac:dyDescent="0.25">
      <c r="A39" s="35">
        <v>136</v>
      </c>
      <c r="B39" s="85">
        <v>45203</v>
      </c>
      <c r="C39" s="35" t="s">
        <v>36</v>
      </c>
      <c r="D39" s="79" t="s">
        <v>265</v>
      </c>
      <c r="E39" s="79" t="s">
        <v>265</v>
      </c>
      <c r="F39" s="79" t="s">
        <v>265</v>
      </c>
      <c r="G39" s="79" t="s">
        <v>265</v>
      </c>
      <c r="H39" s="79" t="s">
        <v>265</v>
      </c>
      <c r="I39" s="79" t="s">
        <v>265</v>
      </c>
      <c r="J39" s="79">
        <v>1.2826139872192754E-2</v>
      </c>
      <c r="K39" s="79">
        <v>3.7359473335998E-3</v>
      </c>
      <c r="L39" s="79" t="s">
        <v>265</v>
      </c>
      <c r="M39" s="79" t="s">
        <v>265</v>
      </c>
      <c r="N39" s="79" t="s">
        <v>265</v>
      </c>
      <c r="O39" s="79" t="s">
        <v>265</v>
      </c>
      <c r="P39" s="79" t="s">
        <v>265</v>
      </c>
      <c r="Q39" s="79" t="s">
        <v>265</v>
      </c>
      <c r="R39" s="79" t="s">
        <v>265</v>
      </c>
      <c r="S39" s="79">
        <v>2.3764097731810798</v>
      </c>
      <c r="T39" s="79">
        <v>0.53483673340285898</v>
      </c>
      <c r="U39" s="79">
        <v>7.2437417646764798E-2</v>
      </c>
      <c r="V39" s="79" t="s">
        <v>265</v>
      </c>
      <c r="W39" s="79" t="s">
        <v>266</v>
      </c>
      <c r="X39" s="79" t="s">
        <v>266</v>
      </c>
      <c r="Y39" s="79" t="s">
        <v>266</v>
      </c>
      <c r="Z39" s="79" t="s">
        <v>266</v>
      </c>
      <c r="AA39" s="79">
        <v>7.8592119132280479E-5</v>
      </c>
      <c r="AB39" s="79" t="s">
        <v>266</v>
      </c>
      <c r="AC39" s="79">
        <v>2.9461757607157104E-4</v>
      </c>
      <c r="AD39" s="79">
        <v>5.2684563517063857E-3</v>
      </c>
      <c r="AE39" s="79">
        <v>3.9144587444281329E-3</v>
      </c>
      <c r="AF39" s="79" t="s">
        <v>266</v>
      </c>
      <c r="AG39" s="79" t="s">
        <v>266</v>
      </c>
      <c r="AH39" s="79" t="s">
        <v>266</v>
      </c>
      <c r="AI39" s="79" t="s">
        <v>266</v>
      </c>
      <c r="AJ39" s="79">
        <v>0.4142904208661955</v>
      </c>
      <c r="AK39" s="79">
        <v>2.0490848437615483</v>
      </c>
      <c r="AL39" s="79">
        <v>7.3422315165843105E-2</v>
      </c>
      <c r="AM39" s="79" t="s">
        <v>266</v>
      </c>
      <c r="AN39" s="79" t="s">
        <v>266</v>
      </c>
      <c r="AO39" s="80" t="s">
        <v>266</v>
      </c>
      <c r="AP39" s="66">
        <f t="shared" si="4"/>
        <v>5.5465997160214213</v>
      </c>
      <c r="AQ39" s="61">
        <f t="shared" si="0"/>
        <v>3.0002460114364955</v>
      </c>
      <c r="AR39" s="61">
        <f t="shared" si="5"/>
        <v>2.5463537045849254</v>
      </c>
      <c r="AS39" s="4">
        <f t="shared" si="1"/>
        <v>1.6562087205792553E-2</v>
      </c>
      <c r="AT39" s="4">
        <f t="shared" si="2"/>
        <v>2.9836839242307032</v>
      </c>
      <c r="AU39" s="4">
        <f t="shared" si="3"/>
        <v>9.556124791338369E-3</v>
      </c>
      <c r="AV39" s="4">
        <f t="shared" si="6"/>
        <v>2.5367975797935869</v>
      </c>
    </row>
    <row r="40" spans="1:48" x14ac:dyDescent="0.25">
      <c r="A40" s="35"/>
      <c r="B40" s="35"/>
      <c r="C40" s="35" t="s">
        <v>39</v>
      </c>
      <c r="D40" s="81">
        <v>1.2974791377297701E-2</v>
      </c>
      <c r="E40" s="81" t="s">
        <v>265</v>
      </c>
      <c r="F40" s="81" t="s">
        <v>265</v>
      </c>
      <c r="G40" s="81" t="s">
        <v>265</v>
      </c>
      <c r="H40" s="81" t="s">
        <v>265</v>
      </c>
      <c r="I40" s="81" t="s">
        <v>265</v>
      </c>
      <c r="J40" s="81">
        <v>1.21215463322545E-2</v>
      </c>
      <c r="K40" s="81">
        <v>2.9100209041917099E-3</v>
      </c>
      <c r="L40" s="81" t="s">
        <v>265</v>
      </c>
      <c r="M40" s="81" t="s">
        <v>265</v>
      </c>
      <c r="N40" s="81" t="s">
        <v>265</v>
      </c>
      <c r="O40" s="81" t="s">
        <v>265</v>
      </c>
      <c r="P40" s="81" t="s">
        <v>265</v>
      </c>
      <c r="Q40" s="81" t="s">
        <v>265</v>
      </c>
      <c r="R40" s="81" t="s">
        <v>265</v>
      </c>
      <c r="S40" s="81">
        <v>1.8633306904098399</v>
      </c>
      <c r="T40" s="81">
        <v>0.374547706886044</v>
      </c>
      <c r="U40" s="81">
        <v>6.642771508437291E-2</v>
      </c>
      <c r="V40" s="81" t="s">
        <v>265</v>
      </c>
      <c r="W40" s="81" t="s">
        <v>265</v>
      </c>
      <c r="X40" s="81" t="s">
        <v>265</v>
      </c>
      <c r="Y40" s="81"/>
      <c r="Z40" s="81"/>
      <c r="AA40" s="81" t="s">
        <v>265</v>
      </c>
      <c r="AB40" s="81" t="s">
        <v>265</v>
      </c>
      <c r="AC40" s="81" t="s">
        <v>265</v>
      </c>
      <c r="AD40" s="81" t="s">
        <v>265</v>
      </c>
      <c r="AE40" s="81" t="s">
        <v>265</v>
      </c>
      <c r="AF40" s="81" t="s">
        <v>265</v>
      </c>
      <c r="AG40" s="81" t="s">
        <v>265</v>
      </c>
      <c r="AH40" s="81"/>
      <c r="AI40" s="81"/>
      <c r="AJ40" s="81">
        <v>0.32932262975871651</v>
      </c>
      <c r="AK40" s="81">
        <v>1.1892258082976046</v>
      </c>
      <c r="AL40" s="81">
        <v>3.1462617962832902E-2</v>
      </c>
      <c r="AM40" s="81" t="s">
        <v>265</v>
      </c>
      <c r="AN40" s="81" t="s">
        <v>265</v>
      </c>
      <c r="AO40" s="82" t="s">
        <v>265</v>
      </c>
      <c r="AP40" s="66">
        <f t="shared" si="4"/>
        <v>3.8823235270131549</v>
      </c>
      <c r="AQ40" s="61">
        <f t="shared" si="0"/>
        <v>2.3323124709940011</v>
      </c>
      <c r="AR40" s="61">
        <f t="shared" si="5"/>
        <v>1.550011056019154</v>
      </c>
      <c r="AS40" s="4">
        <f t="shared" si="1"/>
        <v>2.8006358613743912E-2</v>
      </c>
      <c r="AT40" s="4">
        <f t="shared" si="2"/>
        <v>2.3043061123802571</v>
      </c>
      <c r="AU40" s="4">
        <f t="shared" si="3"/>
        <v>0</v>
      </c>
      <c r="AV40" s="4">
        <f t="shared" si="6"/>
        <v>1.550011056019154</v>
      </c>
    </row>
    <row r="41" spans="1:48" x14ac:dyDescent="0.25">
      <c r="A41" s="35"/>
      <c r="B41" s="35"/>
      <c r="C41" s="35" t="s">
        <v>40</v>
      </c>
      <c r="D41" s="81">
        <v>5.3161443800222603E-3</v>
      </c>
      <c r="E41" s="81" t="s">
        <v>265</v>
      </c>
      <c r="F41" s="81" t="s">
        <v>265</v>
      </c>
      <c r="G41" s="81" t="s">
        <v>265</v>
      </c>
      <c r="H41" s="81" t="s">
        <v>265</v>
      </c>
      <c r="I41" s="81" t="s">
        <v>265</v>
      </c>
      <c r="J41" s="81" t="s">
        <v>265</v>
      </c>
      <c r="K41" s="81" t="s">
        <v>265</v>
      </c>
      <c r="L41" s="81" t="s">
        <v>265</v>
      </c>
      <c r="M41" s="81" t="s">
        <v>265</v>
      </c>
      <c r="N41" s="81" t="s">
        <v>265</v>
      </c>
      <c r="O41" s="81" t="s">
        <v>265</v>
      </c>
      <c r="P41" s="81" t="s">
        <v>265</v>
      </c>
      <c r="Q41" s="81" t="s">
        <v>265</v>
      </c>
      <c r="R41" s="81" t="s">
        <v>265</v>
      </c>
      <c r="S41" s="81">
        <v>1.26381722648068</v>
      </c>
      <c r="T41" s="81">
        <v>0.186186137485228</v>
      </c>
      <c r="U41" s="81">
        <v>1.8461482946058899E-2</v>
      </c>
      <c r="V41" s="81" t="s">
        <v>265</v>
      </c>
      <c r="W41" s="81" t="s">
        <v>265</v>
      </c>
      <c r="X41" s="81" t="s">
        <v>265</v>
      </c>
      <c r="Y41" s="81"/>
      <c r="Z41" s="81"/>
      <c r="AA41" s="81" t="s">
        <v>265</v>
      </c>
      <c r="AB41" s="81" t="s">
        <v>265</v>
      </c>
      <c r="AC41" s="81" t="s">
        <v>265</v>
      </c>
      <c r="AD41" s="81" t="s">
        <v>265</v>
      </c>
      <c r="AE41" s="81" t="s">
        <v>265</v>
      </c>
      <c r="AF41" s="81" t="s">
        <v>265</v>
      </c>
      <c r="AG41" s="81" t="s">
        <v>265</v>
      </c>
      <c r="AH41" s="81"/>
      <c r="AI41" s="81"/>
      <c r="AJ41" s="81">
        <v>0.19610509704915949</v>
      </c>
      <c r="AK41" s="81">
        <v>0.69050413101985186</v>
      </c>
      <c r="AL41" s="81">
        <v>2.2356650950075399E-2</v>
      </c>
      <c r="AM41" s="81" t="s">
        <v>265</v>
      </c>
      <c r="AN41" s="81" t="s">
        <v>265</v>
      </c>
      <c r="AO41" s="82" t="s">
        <v>265</v>
      </c>
      <c r="AP41" s="66">
        <f t="shared" si="4"/>
        <v>2.3827468703110761</v>
      </c>
      <c r="AQ41" s="61">
        <f t="shared" si="0"/>
        <v>1.4737809912919893</v>
      </c>
      <c r="AR41" s="61">
        <f t="shared" si="5"/>
        <v>0.90896587901908676</v>
      </c>
      <c r="AS41" s="4">
        <f t="shared" si="1"/>
        <v>5.3161443800222603E-3</v>
      </c>
      <c r="AT41" s="4">
        <f t="shared" si="2"/>
        <v>1.468464846911967</v>
      </c>
      <c r="AU41" s="4">
        <f t="shared" si="3"/>
        <v>0</v>
      </c>
      <c r="AV41" s="4">
        <f t="shared" si="6"/>
        <v>0.90896587901908676</v>
      </c>
    </row>
    <row r="42" spans="1:48" x14ac:dyDescent="0.25">
      <c r="A42" s="35"/>
      <c r="B42" s="35"/>
      <c r="C42" s="35" t="s">
        <v>41</v>
      </c>
      <c r="D42" s="83">
        <v>9.4373253328608898E-3</v>
      </c>
      <c r="E42" s="83" t="s">
        <v>265</v>
      </c>
      <c r="F42" s="83" t="s">
        <v>265</v>
      </c>
      <c r="G42" s="83" t="s">
        <v>265</v>
      </c>
      <c r="H42" s="83" t="s">
        <v>265</v>
      </c>
      <c r="I42" s="83" t="s">
        <v>265</v>
      </c>
      <c r="J42" s="83">
        <v>1.10560498443018E-2</v>
      </c>
      <c r="K42" s="83" t="s">
        <v>265</v>
      </c>
      <c r="L42" s="83" t="s">
        <v>265</v>
      </c>
      <c r="M42" s="83" t="s">
        <v>265</v>
      </c>
      <c r="N42" s="83" t="s">
        <v>265</v>
      </c>
      <c r="O42" s="83" t="s">
        <v>265</v>
      </c>
      <c r="P42" s="83" t="s">
        <v>265</v>
      </c>
      <c r="Q42" s="83" t="s">
        <v>265</v>
      </c>
      <c r="R42" s="83" t="s">
        <v>265</v>
      </c>
      <c r="S42" s="83">
        <v>1.9897611904925401</v>
      </c>
      <c r="T42" s="83">
        <v>0.26151063318067602</v>
      </c>
      <c r="U42" s="83">
        <v>1.8640647028759498E-2</v>
      </c>
      <c r="V42" s="83" t="s">
        <v>265</v>
      </c>
      <c r="W42" s="83" t="s">
        <v>265</v>
      </c>
      <c r="X42" s="83" t="s">
        <v>265</v>
      </c>
      <c r="Y42" s="83"/>
      <c r="Z42" s="83"/>
      <c r="AA42" s="83" t="s">
        <v>265</v>
      </c>
      <c r="AB42" s="83" t="s">
        <v>265</v>
      </c>
      <c r="AC42" s="83" t="s">
        <v>265</v>
      </c>
      <c r="AD42" s="83" t="s">
        <v>265</v>
      </c>
      <c r="AE42" s="83" t="s">
        <v>265</v>
      </c>
      <c r="AF42" s="83" t="s">
        <v>265</v>
      </c>
      <c r="AG42" s="83" t="s">
        <v>265</v>
      </c>
      <c r="AH42" s="83"/>
      <c r="AI42" s="83"/>
      <c r="AJ42" s="83">
        <v>0.28952015306655648</v>
      </c>
      <c r="AK42" s="83">
        <v>1.2477246235215405</v>
      </c>
      <c r="AL42" s="83">
        <v>2.5558129126068353E-2</v>
      </c>
      <c r="AM42" s="83" t="s">
        <v>265</v>
      </c>
      <c r="AN42" s="83" t="s">
        <v>265</v>
      </c>
      <c r="AO42" s="84" t="s">
        <v>265</v>
      </c>
      <c r="AP42" s="73">
        <f t="shared" si="4"/>
        <v>3.8532087515933036</v>
      </c>
      <c r="AQ42" s="74">
        <f t="shared" si="0"/>
        <v>2.2904058458791385</v>
      </c>
      <c r="AR42" s="74">
        <f t="shared" si="5"/>
        <v>1.5628029057141652</v>
      </c>
      <c r="AS42" s="4">
        <f t="shared" si="1"/>
        <v>2.0493375177162688E-2</v>
      </c>
      <c r="AT42" s="4">
        <f t="shared" si="2"/>
        <v>2.2699124707019753</v>
      </c>
      <c r="AU42" s="4">
        <f t="shared" si="3"/>
        <v>0</v>
      </c>
      <c r="AV42" s="4">
        <f t="shared" si="6"/>
        <v>1.5628029057141652</v>
      </c>
    </row>
    <row r="43" spans="1:48" x14ac:dyDescent="0.25">
      <c r="A43" s="5" t="s">
        <v>93</v>
      </c>
      <c r="B43" s="1"/>
      <c r="C43" s="1" t="s">
        <v>36</v>
      </c>
      <c r="D43" s="3" t="e">
        <f>D3*SUM($G$76:$G$79)+D7*SUM($G$80:$G$91)+D11*SUM($G$92:$G$112)+D15*SUM($G$113:$G$128)+D19*SUM($G$129:$G$131)+D23*SUM($G$132:$G$135)+D27*SUM($G$136:$G$147)+D31*SUM(G148:G174)+D35*SUM($G$175:$G$210)+D39*SUM(G211:$G$215)</f>
        <v>#VALUE!</v>
      </c>
      <c r="E43" s="3" t="e">
        <f>E3*SUM($G$76:$G$79)+E7*SUM($G$80:$G$91)+E11*SUM($G$92:$G$112)+E15*SUM($G$113:$G$128)+E19*SUM($G$129:$G$131)+E23*SUM($G$132:$G$135)+E27*SUM($G$136:$G$147)+E31*SUM(H148:H174)+E35*SUM($G$175:$G$210)+E39*SUM($G211:H$215)</f>
        <v>#VALUE!</v>
      </c>
      <c r="F43" s="3" t="e">
        <f>F3*SUM($G$76:$G$79)+F7*SUM($G$80:$G$91)+F11*SUM($G$92:$G$112)+F15*SUM($G$113:$G$128)+F19*SUM($G$129:$G$131)+F23*SUM($G$132:$G$135)+F27*SUM($G$136:$G$147)+F31*SUM(I148:I174)+F35*SUM($G$175:$G$210)+F39*SUM($G211:I$215)</f>
        <v>#VALUE!</v>
      </c>
      <c r="G43" s="3" t="e">
        <f>G3*SUM($G$76:$G$79)+G7*SUM($G$80:$G$91)+G11*SUM($G$92:$G$112)+G15*SUM($G$113:$G$128)+G19*SUM($G$129:$G$131)+G23*SUM($G$132:$G$135)+G27*SUM($G$136:$G$147)+G31*SUM(J148:J174)+G35*SUM($G$175:$G$210)+G39*SUM($G211:J$215)</f>
        <v>#VALUE!</v>
      </c>
      <c r="H43" s="3" t="e">
        <f>H3*SUM($G$76:$G$79)+H7*SUM($G$80:$G$91)+H11*SUM($G$92:$G$112)+H15*SUM($G$113:$G$128)+H19*SUM($G$129:$G$131)+H23*SUM($G$132:$G$135)+H27*SUM($G$136:$G$147)+H31*SUM(K148:K174)+H35*SUM($G$175:$G$210)+H39*SUM($G211:K$215)</f>
        <v>#VALUE!</v>
      </c>
      <c r="I43" s="3" t="e">
        <f>I3*SUM($G$76:$G$79)+I7*SUM($G$80:$G$91)+I11*SUM($G$92:$G$112)+I15*SUM($G$113:$G$128)+I19*SUM($G$129:$G$131)+I23*SUM($G$132:$G$135)+I27*SUM($G$136:$G$147)+I31*SUM(L148:L174)+I35*SUM($G$175:$G$210)+I39*SUM($G211:L$215)</f>
        <v>#VALUE!</v>
      </c>
      <c r="J43" s="3" t="e">
        <f>J3*SUM($G$76:$G$79)+J7*SUM($G$80:$G$91)+J11*SUM($G$92:$G$112)+J15*SUM($G$113:$G$128)+J19*SUM($G$129:$G$131)+J23*SUM($G$132:$G$135)+J27*SUM($G$136:$G$147)+J31*SUM(M148:M174)+J35*SUM($G$175:$G$210)+J39*SUM($G211:M$215)</f>
        <v>#VALUE!</v>
      </c>
      <c r="K43" s="3" t="e">
        <f>K3*SUM($G$76:$G$79)+K7*SUM($G$80:$G$91)+K11*SUM($G$92:$G$112)+K15*SUM($G$113:$G$128)+K19*SUM($G$129:$G$131)+K23*SUM($G$132:$G$135)+K27*SUM($G$136:$G$147)+K31*SUM(N148:N174)+K35*SUM($G$175:$G$210)+K39*SUM($G211:N$215)</f>
        <v>#VALUE!</v>
      </c>
      <c r="L43" s="3" t="e">
        <f>L3*SUM($G$76:$G$79)+L7*SUM($G$80:$G$91)+L11*SUM($G$92:$G$112)+L15*SUM($G$113:$G$128)+L19*SUM($G$129:$G$131)+L23*SUM($G$132:$G$135)+L27*SUM($G$136:$G$147)+L31*SUM(O148:O174)+L35*SUM($G$175:$G$210)+L39*SUM($G211:O$215)</f>
        <v>#VALUE!</v>
      </c>
      <c r="M43" s="3" t="e">
        <f>M3*SUM($G$76:$G$79)+M7*SUM($G$80:$G$91)+M11*SUM($G$92:$G$112)+M15*SUM($G$113:$G$128)+M19*SUM($G$129:$G$131)+M23*SUM($G$132:$G$135)+M27*SUM($G$136:$G$147)+M31*SUM(P148:P174)+M35*SUM($G$175:$G$210)+M39*SUM($G211:P$215)</f>
        <v>#VALUE!</v>
      </c>
      <c r="N43" s="3" t="e">
        <f>N3*SUM($G$76:$G$79)+N7*SUM($G$80:$G$91)+N11*SUM($G$92:$G$112)+N15*SUM($G$113:$G$128)+N19*SUM($G$129:$G$131)+N23*SUM($G$132:$G$135)+N27*SUM($G$136:$G$147)+N31*SUM(Q148:Q174)+N35*SUM($G$175:$G$210)+N39*SUM($G211:Q$215)</f>
        <v>#VALUE!</v>
      </c>
      <c r="O43" s="3" t="e">
        <f>O3*SUM($G$76:$G$79)+O7*SUM($G$80:$G$91)+O11*SUM($G$92:$G$112)+O15*SUM($G$113:$G$128)+O19*SUM($G$129:$G$131)+O23*SUM($G$132:$G$135)+O27*SUM($G$136:$G$147)+O31*SUM(R148:R174)+O35*SUM($G$175:$G$210)+O39*SUM($G211:R$215)</f>
        <v>#VALUE!</v>
      </c>
      <c r="P43" s="3" t="e">
        <f>P3*SUM($G$76:$G$79)+P7*SUM($G$80:$G$91)+P11*SUM($G$92:$G$112)+P15*SUM($G$113:$G$128)+P19*SUM($G$129:$G$131)+P23*SUM($G$132:$G$135)+P27*SUM($G$136:$G$147)+P31*SUM(S148:S174)+P35*SUM($G$175:$G$210)+P39*SUM($G211:S$215)</f>
        <v>#VALUE!</v>
      </c>
      <c r="Q43" s="3" t="e">
        <f>Q3*SUM($G$76:$G$79)+Q7*SUM($G$80:$G$91)+Q11*SUM($G$92:$G$112)+Q15*SUM($G$113:$G$128)+Q19*SUM($G$129:$G$131)+Q23*SUM($G$132:$G$135)+Q27*SUM($G$136:$G$147)+Q31*SUM(T148:T174)+Q35*SUM($G$175:$G$210)+Q39*SUM($G211:T$215)</f>
        <v>#VALUE!</v>
      </c>
      <c r="R43" s="3" t="e">
        <f>R3*SUM($G$76:$G$79)+R7*SUM($G$80:$G$91)+R11*SUM($G$92:$G$112)+R15*SUM($G$113:$G$128)+R19*SUM($G$129:$G$131)+R23*SUM($G$132:$G$135)+R27*SUM($G$136:$G$147)+R31*SUM(U148:U174)+R35*SUM($G$175:$G$210)+R39*SUM($G211:U$215)</f>
        <v>#VALUE!</v>
      </c>
      <c r="S43" s="3" t="e">
        <f>S3*SUM($G$76:$G$79)+S7*SUM($G$80:$G$91)+S11*SUM($G$92:$G$112)+S15*SUM($G$113:$G$128)+S19*SUM($G$129:$G$131)+S23*SUM($G$132:$G$135)+S27*SUM($G$136:$G$147)+S31*SUM(V148:V174)+S35*SUM($G$175:$G$210)+S39*SUM($G211:V$215)</f>
        <v>#VALUE!</v>
      </c>
      <c r="T43" s="3" t="e">
        <f>T3*SUM($G$76:$G$79)+T7*SUM($G$80:$G$91)+T11*SUM($G$92:$G$112)+T15*SUM($G$113:$G$128)+T19*SUM($G$129:$G$131)+T23*SUM($G$132:$G$135)+T27*SUM($G$136:$G$147)+T31*SUM(W148:W174)+T35*SUM($G$175:$G$210)+T39*SUM($G211:W$215)</f>
        <v>#VALUE!</v>
      </c>
      <c r="U43" s="3" t="e">
        <f>U3*SUM($G$76:$G$79)+U7*SUM($G$80:$G$91)+U11*SUM($G$92:$G$112)+U15*SUM($G$113:$G$128)+U19*SUM($G$129:$G$131)+U23*SUM($G$132:$G$135)+U27*SUM($G$136:$G$147)+U31*SUM(X148:X174)+U35*SUM($G$175:$G$210)+U39*SUM($G211:X$215)</f>
        <v>#VALUE!</v>
      </c>
      <c r="V43" s="3" t="e">
        <f>V3*SUM($G$76:$G$79)+V7*SUM($G$80:$G$91)+V11*SUM($G$92:$G$112)+V15*SUM($G$113:$G$128)+V19*SUM($G$129:$G$131)+V23*SUM($G$132:$G$135)+V27*SUM($G$136:$G$147)+V31*SUM(Y148:Y174)+V35*SUM($G$175:$G$210)+V39*SUM($G211:Y$215)</f>
        <v>#VALUE!</v>
      </c>
      <c r="W43" s="3" t="e">
        <f>W3*SUM($G$76:$G$79)+W7*SUM($G$80:$G$91)+W11*SUM($G$92:$G$112)+W15*SUM($G$113:$G$128)+W19*SUM($G$129:$G$131)+W23*SUM($G$132:$G$135)+W27*SUM($G$136:$G$147)+W31*SUM(Z148:Z174)+W35*SUM($G$175:$G$210)+W39*SUM($G211:Z$215)</f>
        <v>#VALUE!</v>
      </c>
      <c r="X43" s="3" t="e">
        <f>X3*SUM($G$76:$G$79)+X7*SUM($G$80:$G$91)+X11*SUM($G$92:$G$112)+X15*SUM($G$113:$G$128)+X19*SUM($G$129:$G$131)+X23*SUM($G$132:$G$135)+X27*SUM($G$136:$G$147)+X31*SUM(AA148:AA174)+X35*SUM($G$175:$G$210)+X39*SUM($G211:AA$215)</f>
        <v>#VALUE!</v>
      </c>
      <c r="Y43" s="3" t="e">
        <f>Y3*SUM($G$76:$G$79)+Y7*SUM($G$80:$G$91)+Y11*SUM($G$92:$G$112)+Y15*SUM($G$113:$G$128)+Y19*SUM($G$129:$G$131)+Y23*SUM($G$132:$G$135)+Y27*SUM($G$136:$G$147)+Y31*SUM(AB148:AB174)+Y35*SUM($G$175:$G$210)+Y39*SUM($G211:AB$215)</f>
        <v>#VALUE!</v>
      </c>
      <c r="Z43" s="3" t="e">
        <f>Z3*SUM($G$76:$G$79)+Z7*SUM($G$80:$G$91)+Z11*SUM($G$92:$G$112)+Z15*SUM($G$113:$G$128)+Z19*SUM($G$129:$G$131)+Z23*SUM($G$132:$G$135)+Z27*SUM($G$136:$G$147)+Z31*SUM(AC148:AC174)+Z35*SUM($G$175:$G$210)+Z39*SUM($G211:AC$215)</f>
        <v>#VALUE!</v>
      </c>
      <c r="AA43" s="3">
        <f>AA3*SUM($G$76:$G$79)+AA7*SUM($G$80:$G$91)+AA11*SUM($G$92:$G$112)+AA15*SUM($G$113:$G$128)+AA19*SUM($G$129:$G$131)+AA23*SUM($G$132:$G$135)+AA27*SUM($G$136:$G$147)+AA31*SUM(AD148:AD174)+AA35*SUM($G$175:$G$210)+AA39*SUM($G211:AD$215)</f>
        <v>0.15059052766661743</v>
      </c>
      <c r="AB43" s="3" t="e">
        <f>AB3*SUM($G$76:$G$79)+AB7*SUM($G$80:$G$91)+AB11*SUM($G$92:$G$112)+AB15*SUM($G$113:$G$128)+AB19*SUM($G$129:$G$131)+AB23*SUM($G$132:$G$135)+AB27*SUM($G$136:$G$147)+AB31*SUM(AE148:AE174)+AB35*SUM($G$175:$G$210)+AB39*SUM($G211:AE$215)</f>
        <v>#VALUE!</v>
      </c>
      <c r="AC43" s="3" t="e">
        <f>AC3*SUM($G$76:$G$79)+AC7*SUM($G$80:$G$91)+AC11*SUM($G$92:$G$112)+AC15*SUM($G$113:$G$128)+AC19*SUM($G$129:$G$131)+AC23*SUM($G$132:$G$135)+AC27*SUM($G$136:$G$147)+AC31*SUM(AF148:AF174)+AC35*SUM($G$175:$G$210)+AC39*SUM($G211:AF$215)</f>
        <v>#VALUE!</v>
      </c>
      <c r="AD43" s="3" t="e">
        <f>AD3*SUM($G$76:$G$79)+AD7*SUM($G$80:$G$91)+AD11*SUM($G$92:$G$112)+AD15*SUM($G$113:$G$128)+AD19*SUM($G$129:$G$131)+AD23*SUM($G$132:$G$135)+AD27*SUM($G$136:$G$147)+AD31*SUM(AG148:AG174)+AD35*SUM($G$175:$G$210)+AD39*SUM($G211:AG$215)</f>
        <v>#VALUE!</v>
      </c>
      <c r="AE43" s="3" t="e">
        <f>AE3*SUM($G$76:$G$79)+AE7*SUM($G$80:$G$91)+AE11*SUM($G$92:$G$112)+AE15*SUM($G$113:$G$128)+AE19*SUM($G$129:$G$131)+AE23*SUM($G$132:$G$135)+AE27*SUM($G$136:$G$147)+AE31*SUM(AH148:AH174)+AE35*SUM($G$175:$G$210)+AE39*SUM($G211:AH$215)</f>
        <v>#VALUE!</v>
      </c>
      <c r="AF43" s="3" t="e">
        <f>AF3*SUM($G$76:$G$79)+AF7*SUM($G$80:$G$91)+AF11*SUM($G$92:$G$112)+AF15*SUM($G$113:$G$128)+AF19*SUM($G$129:$G$131)+AF23*SUM($G$132:$G$135)+AF27*SUM($G$136:$G$147)+AF31*SUM(AI148:AI174)+AF35*SUM($G$175:$G$210)+AF39*SUM($G211:AI$215)</f>
        <v>#VALUE!</v>
      </c>
      <c r="AG43" s="3" t="e">
        <f>AG3*SUM($G$76:$G$79)+AG7*SUM($G$80:$G$91)+AG11*SUM($G$92:$G$112)+AG15*SUM($G$113:$G$128)+AG19*SUM($G$129:$G$131)+AG23*SUM($G$132:$G$135)+AG27*SUM($G$136:$G$147)+AG31*SUM(AJ148:AJ174)+AG35*SUM($G$175:$G$210)+AG39*SUM($G211:AJ$215)</f>
        <v>#VALUE!</v>
      </c>
      <c r="AH43" s="3" t="e">
        <f>AH3*SUM($G$76:$G$79)+AH7*SUM($G$80:$G$91)+AH11*SUM($G$92:$G$112)+AH15*SUM($G$113:$G$128)+AH19*SUM($G$129:$G$131)+AH23*SUM($G$132:$G$135)+AH27*SUM($G$136:$G$147)+AH31*SUM(AK148:AK174)+AH35*SUM($G$175:$G$210)+AH39*SUM($G211:AK$215)</f>
        <v>#VALUE!</v>
      </c>
      <c r="AI43" s="3" t="e">
        <f>AI3*SUM($G$76:$G$79)+AI7*SUM($G$80:$G$91)+AI11*SUM($G$92:$G$112)+AI15*SUM($G$113:$G$128)+AI19*SUM($G$129:$G$131)+AI23*SUM($G$132:$G$135)+AI27*SUM($G$136:$G$147)+AI31*SUM(AL148:AL174)+AI35*SUM($G$175:$G$210)+AI39*SUM($G211:AL$215)</f>
        <v>#VALUE!</v>
      </c>
      <c r="AJ43" s="3" t="e">
        <f>AJ3*SUM($G$76:$G$79)+AJ7*SUM($G$80:$G$91)+AJ11*SUM($G$92:$G$112)+AJ15*SUM($G$113:$G$128)+AJ19*SUM($G$129:$G$131)+AJ23*SUM($G$132:$G$135)+AJ27*SUM($G$136:$G$147)+AJ31*SUM(AM148:AM174)+AJ35*SUM($G$175:$G$210)+AJ39*SUM($G211:AM$215)</f>
        <v>#VALUE!</v>
      </c>
      <c r="AK43" s="3" t="e">
        <f>AK3*SUM($G$76:$G$79)+AK7*SUM($G$80:$G$91)+AK11*SUM($G$92:$G$112)+AK15*SUM($G$113:$G$128)+AK19*SUM($G$129:$G$131)+AK23*SUM($G$132:$G$135)+AK27*SUM($G$136:$G$147)+AK31*SUM(AN148:AN174)+AK35*SUM($G$175:$G$210)+AK39*SUM($G211:AN$215)</f>
        <v>#VALUE!</v>
      </c>
      <c r="AL43" s="3" t="e">
        <f>AL3*SUM($G$76:$G$79)+AL7*SUM($G$80:$G$91)+AL11*SUM($G$92:$G$112)+AL15*SUM($G$113:$G$128)+AL19*SUM($G$129:$G$131)+AL23*SUM($G$132:$G$135)+AL27*SUM($G$136:$G$147)+AL31*SUM(AO148:AO174)+AL35*SUM($G$175:$G$210)+AL39*SUM($G211:AO$215)</f>
        <v>#VALUE!</v>
      </c>
      <c r="AM43" s="3" t="e">
        <f>AM3*SUM($G$76:$G$79)+AM7*SUM($G$80:$G$91)+AM11*SUM($G$92:$G$112)+AM15*SUM($G$113:$G$128)+AM19*SUM($G$129:$G$131)+AM23*SUM($G$132:$G$135)+AM27*SUM($G$136:$G$147)+AM31*SUM(AP148:AP174)+AM35*SUM($G$175:$G$210)+AM39*SUM($G211:AP$215)</f>
        <v>#VALUE!</v>
      </c>
      <c r="AN43" s="3" t="e">
        <f>AN3*SUM($G$76:$G$79)+AN7*SUM($G$80:$G$91)+AN11*SUM($G$92:$G$112)+AN15*SUM($G$113:$G$128)+AN19*SUM($G$129:$G$131)+AN23*SUM($G$132:$G$135)+AN27*SUM($G$136:$G$147)+AN31*SUM(AQ148:AQ174)+AN35*SUM($G$175:$G$210)+AN39*SUM($G211:AQ$215)</f>
        <v>#VALUE!</v>
      </c>
      <c r="AO43" s="3" t="e">
        <f>AO3*SUM($G$76:$G$79)+AO7*SUM($G$80:$G$91)+AO11*SUM($G$92:$G$112)+AO15*SUM($G$113:$G$128)+AO19*SUM($G$129:$G$131)+AO23*SUM($G$132:$G$135)+AO27*SUM($G$136:$G$147)+AO31*SUM(AR148:AR174)+AO35*SUM($G$175:$G$210)+AO39*SUM($G211:AR$215)</f>
        <v>#VALUE!</v>
      </c>
      <c r="AP43" s="76" t="e">
        <f>SUM(D43:AO43)</f>
        <v>#VALUE!</v>
      </c>
      <c r="AQ43" s="76" t="e">
        <f t="shared" si="0"/>
        <v>#VALUE!</v>
      </c>
      <c r="AR43" s="76" t="e">
        <f>SUM(Y43:AO43)</f>
        <v>#VALUE!</v>
      </c>
      <c r="AS43" s="3" t="e">
        <f t="shared" si="1"/>
        <v>#VALUE!</v>
      </c>
      <c r="AT43" s="3" t="e">
        <f t="shared" si="2"/>
        <v>#VALUE!</v>
      </c>
      <c r="AU43" s="3" t="e">
        <f t="shared" si="3"/>
        <v>#VALUE!</v>
      </c>
      <c r="AV43" s="28" t="e">
        <f t="shared" si="6"/>
        <v>#VALUE!</v>
      </c>
    </row>
    <row r="44" spans="1:48" x14ac:dyDescent="0.25">
      <c r="A44" s="7"/>
      <c r="B44" s="60"/>
      <c r="C44" s="60" t="s">
        <v>39</v>
      </c>
      <c r="D44" s="47">
        <f>D4*SUM($D$76:$D$79)+D8*SUM($D$80:$D$91)+D12*SUM($D$92:$D$112)+D16*SUM($D$113:$D$128)+D20*SUM($D$129:$D$131)+D24*SUM($D$132:$D$135)+D28*SUM($D$136:$D$147)+D32*SUM(D148:D174)+D36*SUM($D$175:$D$210)+D40*SUM(D211:$D$215)</f>
        <v>76.096075111641625</v>
      </c>
      <c r="E44" s="47" t="e">
        <f>E4*SUM($D$76:$D$79)+E8*SUM($D$80:$D$91)+E12*SUM($D$92:$D$112)+E16*SUM($D$113:$D$128)+E20*SUM($D$129:$D$131)+E24*SUM($D$132:$D$135)+E28*SUM($D$136:$D$147)+E32*SUM(E148:E174)+E36*SUM($D$175:$D$210)+E40*SUM($D211:E$215)</f>
        <v>#VALUE!</v>
      </c>
      <c r="F44" s="47" t="e">
        <f>F4*SUM($D$76:$D$79)+F8*SUM($D$80:$D$91)+F12*SUM($D$92:$D$112)+F16*SUM($D$113:$D$128)+F20*SUM($D$129:$D$131)+F24*SUM($D$132:$D$135)+F28*SUM($D$136:$D$147)+F32*SUM(F148:F174)+F36*SUM($D$175:$D$210)+F40*SUM($D211:F$215)</f>
        <v>#VALUE!</v>
      </c>
      <c r="G44" s="47" t="e">
        <f>G4*SUM($D$76:$D$79)+G8*SUM($D$80:$D$91)+G12*SUM($D$92:$D$112)+G16*SUM($D$113:$D$128)+G20*SUM($D$129:$D$131)+G24*SUM($D$132:$D$135)+G28*SUM($D$136:$D$147)+G32*SUM(G148:G174)+G36*SUM($D$175:$D$210)+G40*SUM($D211:G$215)</f>
        <v>#VALUE!</v>
      </c>
      <c r="H44" s="47" t="e">
        <f>H4*SUM($D$76:$D$79)+H8*SUM($D$80:$D$91)+H12*SUM($D$92:$D$112)+H16*SUM($D$113:$D$128)+H20*SUM($D$129:$D$131)+H24*SUM($D$132:$D$135)+H28*SUM($D$136:$D$147)+H32*SUM(H148:H174)+H36*SUM($D$175:$D$210)+H40*SUM($D211:H$215)</f>
        <v>#VALUE!</v>
      </c>
      <c r="I44" s="47" t="e">
        <f>I4*SUM($D$76:$D$79)+I8*SUM($D$80:$D$91)+I12*SUM($D$92:$D$112)+I16*SUM($D$113:$D$128)+I20*SUM($D$129:$D$131)+I24*SUM($D$132:$D$135)+I28*SUM($D$136:$D$147)+I32*SUM(I148:I174)+I36*SUM($D$175:$D$210)+I40*SUM($D211:I$215)</f>
        <v>#VALUE!</v>
      </c>
      <c r="J44" s="47">
        <f>J4*SUM($D$76:$D$79)+J8*SUM($D$80:$D$91)+J12*SUM($D$92:$D$112)+J16*SUM($D$113:$D$128)+J20*SUM($D$129:$D$131)+J24*SUM($D$132:$D$135)+J28*SUM($D$136:$D$147)+J32*SUM(J148:J174)+J36*SUM($D$175:$D$210)+J40*SUM($D211:J$215)</f>
        <v>6.4574403007742767</v>
      </c>
      <c r="K44" s="47" t="e">
        <f>K4*SUM($D$76:$D$79)+K8*SUM($D$80:$D$91)+K12*SUM($D$92:$D$112)+K16*SUM($D$113:$D$128)+K20*SUM($D$129:$D$131)+K24*SUM($D$132:$D$135)+K28*SUM($D$136:$D$147)+K32*SUM(K148:K174)+K36*SUM($D$175:$D$210)+K40*SUM($D211:K$215)</f>
        <v>#VALUE!</v>
      </c>
      <c r="L44" s="47" t="e">
        <f>L4*SUM($D$76:$D$79)+L8*SUM($D$80:$D$91)+L12*SUM($D$92:$D$112)+L16*SUM($D$113:$D$128)+L20*SUM($D$129:$D$131)+L24*SUM($D$132:$D$135)+L28*SUM($D$136:$D$147)+L32*SUM(L148:L174)+L36*SUM($D$175:$D$210)+L40*SUM($D211:L$215)</f>
        <v>#VALUE!</v>
      </c>
      <c r="M44" s="47" t="e">
        <f>M4*SUM($D$76:$D$79)+M8*SUM($D$80:$D$91)+M12*SUM($D$92:$D$112)+M16*SUM($D$113:$D$128)+M20*SUM($D$129:$D$131)+M24*SUM($D$132:$D$135)+M28*SUM($D$136:$D$147)+M32*SUM(M148:M174)+M36*SUM($D$175:$D$210)+M40*SUM($D211:M$215)</f>
        <v>#VALUE!</v>
      </c>
      <c r="N44" s="47" t="e">
        <f>N4*SUM($D$76:$D$79)+N8*SUM($D$80:$D$91)+N12*SUM($D$92:$D$112)+N16*SUM($D$113:$D$128)+N20*SUM($D$129:$D$131)+N24*SUM($D$132:$D$135)+N28*SUM($D$136:$D$147)+N32*SUM(N148:N174)+N36*SUM($D$175:$D$210)+N40*SUM($D211:N$215)</f>
        <v>#VALUE!</v>
      </c>
      <c r="O44" s="47" t="e">
        <f>O4*SUM($D$76:$D$79)+O8*SUM($D$80:$D$91)+O12*SUM($D$92:$D$112)+O16*SUM($D$113:$D$128)+O20*SUM($D$129:$D$131)+O24*SUM($D$132:$D$135)+O28*SUM($D$136:$D$147)+O32*SUM(O148:O174)+O36*SUM($D$175:$D$210)+O40*SUM($D211:O$215)</f>
        <v>#VALUE!</v>
      </c>
      <c r="P44" s="47" t="e">
        <f>P4*SUM($D$76:$D$79)+P8*SUM($D$80:$D$91)+P12*SUM($D$92:$D$112)+P16*SUM($D$113:$D$128)+P20*SUM($D$129:$D$131)+P24*SUM($D$132:$D$135)+P28*SUM($D$136:$D$147)+P32*SUM(P148:P174)+P36*SUM($D$175:$D$210)+P40*SUM($D211:P$215)</f>
        <v>#VALUE!</v>
      </c>
      <c r="Q44" s="47" t="e">
        <f>Q4*SUM($D$76:$D$79)+Q8*SUM($D$80:$D$91)+Q12*SUM($D$92:$D$112)+Q16*SUM($D$113:$D$128)+Q20*SUM($D$129:$D$131)+Q24*SUM($D$132:$D$135)+Q28*SUM($D$136:$D$147)+Q32*SUM(Q148:Q174)+Q36*SUM($D$175:$D$210)+Q40*SUM($D211:Q$215)</f>
        <v>#VALUE!</v>
      </c>
      <c r="R44" s="47" t="e">
        <f>R4*SUM($D$76:$D$79)+R8*SUM($D$80:$D$91)+R12*SUM($D$92:$D$112)+R16*SUM($D$113:$D$128)+R20*SUM($D$129:$D$131)+R24*SUM($D$132:$D$135)+R28*SUM($D$136:$D$147)+R32*SUM(R148:R174)+R36*SUM($D$175:$D$210)+R40*SUM($D211:R$215)</f>
        <v>#VALUE!</v>
      </c>
      <c r="S44" s="47" t="e">
        <f>S4*SUM($D$76:$D$79)+S8*SUM($D$80:$D$91)+S12*SUM($D$92:$D$112)+S16*SUM($D$113:$D$128)+S20*SUM($D$129:$D$131)+S24*SUM($D$132:$D$135)+S28*SUM($D$136:$D$147)+S32*SUM(S148:S174)+S36*SUM($D$175:$D$210)+S40*SUM($D211:S$215)</f>
        <v>#VALUE!</v>
      </c>
      <c r="T44" s="47" t="e">
        <f>T4*SUM($D$76:$D$79)+T8*SUM($D$80:$D$91)+T12*SUM($D$92:$D$112)+T16*SUM($D$113:$D$128)+T20*SUM($D$129:$D$131)+T24*SUM($D$132:$D$135)+T28*SUM($D$136:$D$147)+T32*SUM(T148:T174)+T36*SUM($D$175:$D$210)+T40*SUM($D211:T$215)</f>
        <v>#VALUE!</v>
      </c>
      <c r="U44" s="47" t="e">
        <f>U4*SUM($D$76:$D$79)+U8*SUM($D$80:$D$91)+U12*SUM($D$92:$D$112)+U16*SUM($D$113:$D$128)+U20*SUM($D$129:$D$131)+U24*SUM($D$132:$D$135)+U28*SUM($D$136:$D$147)+U32*SUM(U148:U174)+U36*SUM($D$175:$D$210)+U40*SUM($D211:U$215)</f>
        <v>#VALUE!</v>
      </c>
      <c r="V44" s="47" t="e">
        <f>V4*SUM($D$76:$D$79)+V8*SUM($D$80:$D$91)+V12*SUM($D$92:$D$112)+V16*SUM($D$113:$D$128)+V20*SUM($D$129:$D$131)+V24*SUM($D$132:$D$135)+V28*SUM($D$136:$D$147)+V32*SUM(V148:V174)+V36*SUM($D$175:$D$210)+V40*SUM($D211:V$215)</f>
        <v>#VALUE!</v>
      </c>
      <c r="W44" s="47" t="e">
        <f>W4*SUM($D$76:$D$79)+W8*SUM($D$80:$D$91)+W12*SUM($D$92:$D$112)+W16*SUM($D$113:$D$128)+W20*SUM($D$129:$D$131)+W24*SUM($D$132:$D$135)+W28*SUM($D$136:$D$147)+W32*SUM(W148:W174)+W36*SUM($D$175:$D$210)+W40*SUM($D211:W$215)</f>
        <v>#VALUE!</v>
      </c>
      <c r="X44" s="47" t="e">
        <f>X4*SUM($D$76:$D$79)+X8*SUM($D$80:$D$91)+X12*SUM($D$92:$D$112)+X16*SUM($D$113:$D$128)+X20*SUM($D$129:$D$131)+X24*SUM($D$132:$D$135)+X28*SUM($D$136:$D$147)+X32*SUM(X148:X174)+X36*SUM($D$175:$D$210)+X40*SUM($D211:X$215)</f>
        <v>#VALUE!</v>
      </c>
      <c r="Y44" s="47">
        <f>Y4*SUM($D$76:$D$79)+Y8*SUM($D$80:$D$91)+Y12*SUM($D$92:$D$112)+Y16*SUM($D$113:$D$128)+Y20*SUM($D$129:$D$131)+Y24*SUM($D$132:$D$135)+Y28*SUM($D$136:$D$147)+Y32*SUM(Y148:Y174)+Y36*SUM($D$175:$D$210)+Y40*SUM($D211:Y$215)</f>
        <v>0</v>
      </c>
      <c r="Z44" s="47">
        <f>Z4*SUM($D$76:$D$79)+Z8*SUM($D$80:$D$91)+Z12*SUM($D$92:$D$112)+Z16*SUM($D$113:$D$128)+Z20*SUM($D$129:$D$131)+Z24*SUM($D$132:$D$135)+Z28*SUM($D$136:$D$147)+Z32*SUM(Z148:Z174)+Z36*SUM($D$175:$D$210)+Z40*SUM($D211:Z$215)</f>
        <v>0</v>
      </c>
      <c r="AA44" s="47" t="e">
        <f>AA4*SUM($D$76:$D$79)+AA8*SUM($D$80:$D$91)+AA12*SUM($D$92:$D$112)+AA16*SUM($D$113:$D$128)+AA20*SUM($D$129:$D$131)+AA24*SUM($D$132:$D$135)+AA28*SUM($D$136:$D$147)+AA32*SUM(AA148:AA174)+AA36*SUM($D$175:$D$210)+AA40*SUM($D211:AA$215)</f>
        <v>#VALUE!</v>
      </c>
      <c r="AB44" s="47" t="e">
        <f>AB4*SUM($D$76:$D$79)+AB8*SUM($D$80:$D$91)+AB12*SUM($D$92:$D$112)+AB16*SUM($D$113:$D$128)+AB20*SUM($D$129:$D$131)+AB24*SUM($D$132:$D$135)+AB28*SUM($D$136:$D$147)+AB32*SUM(AB148:AB174)+AB36*SUM($D$175:$D$210)+AB40*SUM($D211:AB$215)</f>
        <v>#VALUE!</v>
      </c>
      <c r="AC44" s="47" t="e">
        <f>AC4*SUM($D$76:$D$79)+AC8*SUM($D$80:$D$91)+AC12*SUM($D$92:$D$112)+AC16*SUM($D$113:$D$128)+AC20*SUM($D$129:$D$131)+AC24*SUM($D$132:$D$135)+AC28*SUM($D$136:$D$147)+AC32*SUM(AC148:AC174)+AC36*SUM($D$175:$D$210)+AC40*SUM($D211:AC$215)</f>
        <v>#VALUE!</v>
      </c>
      <c r="AD44" s="47" t="e">
        <f>AD4*SUM($D$76:$D$79)+AD8*SUM($D$80:$D$91)+AD12*SUM($D$92:$D$112)+AD16*SUM($D$113:$D$128)+AD20*SUM($D$129:$D$131)+AD24*SUM($D$132:$D$135)+AD28*SUM($D$136:$D$147)+AD32*SUM(AD148:AD174)+AD36*SUM($D$175:$D$210)+AD40*SUM($D211:AD$215)</f>
        <v>#VALUE!</v>
      </c>
      <c r="AE44" s="47" t="e">
        <f>AE4*SUM($D$76:$D$79)+AE8*SUM($D$80:$D$91)+AE12*SUM($D$92:$D$112)+AE16*SUM($D$113:$D$128)+AE20*SUM($D$129:$D$131)+AE24*SUM($D$132:$D$135)+AE28*SUM($D$136:$D$147)+AE32*SUM(AE148:AE174)+AE36*SUM($D$175:$D$210)+AE40*SUM($D211:AE$215)</f>
        <v>#VALUE!</v>
      </c>
      <c r="AF44" s="47" t="e">
        <f>AF4*SUM($D$76:$D$79)+AF8*SUM($D$80:$D$91)+AF12*SUM($D$92:$D$112)+AF16*SUM($D$113:$D$128)+AF20*SUM($D$129:$D$131)+AF24*SUM($D$132:$D$135)+AF28*SUM($D$136:$D$147)+AF32*SUM(AF148:AF174)+AF36*SUM($D$175:$D$210)+AF40*SUM($D211:AF$215)</f>
        <v>#VALUE!</v>
      </c>
      <c r="AG44" s="47" t="e">
        <f>AG4*SUM($D$76:$D$79)+AG8*SUM($D$80:$D$91)+AG12*SUM($D$92:$D$112)+AG16*SUM($D$113:$D$128)+AG20*SUM($D$129:$D$131)+AG24*SUM($D$132:$D$135)+AG28*SUM($D$136:$D$147)+AG32*SUM(AG148:AG174)+AG36*SUM($D$175:$D$210)+AG40*SUM($D211:AG$215)</f>
        <v>#VALUE!</v>
      </c>
      <c r="AH44" s="47">
        <f>AH4*SUM($D$76:$D$79)+AH8*SUM($D$80:$D$91)+AH12*SUM($D$92:$D$112)+AH16*SUM($D$113:$D$128)+AH20*SUM($D$129:$D$131)+AH24*SUM($D$132:$D$135)+AH28*SUM($D$136:$D$147)+AH32*SUM(AH148:AH174)+AH36*SUM($D$175:$D$210)+AH40*SUM($D211:AH$215)</f>
        <v>0</v>
      </c>
      <c r="AI44" s="47">
        <f>AI4*SUM($D$76:$D$79)+AI8*SUM($D$80:$D$91)+AI12*SUM($D$92:$D$112)+AI16*SUM($D$113:$D$128)+AI20*SUM($D$129:$D$131)+AI24*SUM($D$132:$D$135)+AI28*SUM($D$136:$D$147)+AI32*SUM(AI148:AI174)+AI36*SUM($D$175:$D$210)+AI40*SUM($D211:AI$215)</f>
        <v>0</v>
      </c>
      <c r="AJ44" s="47" t="e">
        <f>AJ4*SUM($D$76:$D$79)+AJ8*SUM($D$80:$D$91)+AJ12*SUM($D$92:$D$112)+AJ16*SUM($D$113:$D$128)+AJ20*SUM($D$129:$D$131)+AJ24*SUM($D$132:$D$135)+AJ28*SUM($D$136:$D$147)+AJ32*SUM(AJ148:AJ174)+AJ36*SUM($D$175:$D$210)+AJ40*SUM($D211:AJ$215)</f>
        <v>#VALUE!</v>
      </c>
      <c r="AK44" s="47" t="e">
        <f>AK4*SUM($D$76:$D$79)+AK8*SUM($D$80:$D$91)+AK12*SUM($D$92:$D$112)+AK16*SUM($D$113:$D$128)+AK20*SUM($D$129:$D$131)+AK24*SUM($D$132:$D$135)+AK28*SUM($D$136:$D$147)+AK32*SUM(AK148:AK174)+AK36*SUM($D$175:$D$210)+AK40*SUM($D211:AK$215)</f>
        <v>#VALUE!</v>
      </c>
      <c r="AL44" s="47" t="e">
        <f>AL4*SUM($D$76:$D$79)+AL8*SUM($D$80:$D$91)+AL12*SUM($D$92:$D$112)+AL16*SUM($D$113:$D$128)+AL20*SUM($D$129:$D$131)+AL24*SUM($D$132:$D$135)+AL28*SUM($D$136:$D$147)+AL32*SUM(AL148:AL174)+AL36*SUM($D$175:$D$210)+AL40*SUM($D211:AL$215)</f>
        <v>#VALUE!</v>
      </c>
      <c r="AM44" s="47" t="e">
        <f>AM4*SUM($D$76:$D$79)+AM8*SUM($D$80:$D$91)+AM12*SUM($D$92:$D$112)+AM16*SUM($D$113:$D$128)+AM20*SUM($D$129:$D$131)+AM24*SUM($D$132:$D$135)+AM28*SUM($D$136:$D$147)+AM32*SUM(AM148:AM174)+AM36*SUM($D$175:$D$210)+AM40*SUM($D211:AM$215)</f>
        <v>#VALUE!</v>
      </c>
      <c r="AN44" s="47" t="e">
        <f>AN4*SUM($D$76:$D$79)+AN8*SUM($D$80:$D$91)+AN12*SUM($D$92:$D$112)+AN16*SUM($D$113:$D$128)+AN20*SUM($D$129:$D$131)+AN24*SUM($D$132:$D$135)+AN28*SUM($D$136:$D$147)+AN32*SUM(AN148:AN174)+AN36*SUM($D$175:$D$210)+AN40*SUM($D211:AN$215)</f>
        <v>#VALUE!</v>
      </c>
      <c r="AO44" s="47" t="e">
        <f>AO4*SUM($D$76:$D$79)+AO8*SUM($D$80:$D$91)+AO12*SUM($D$92:$D$112)+AO16*SUM($D$113:$D$128)+AO20*SUM($D$129:$D$131)+AO24*SUM($D$132:$D$135)+AO28*SUM($D$136:$D$147)+AO32*SUM(AO148:AO174)+AO36*SUM($D$175:$D$210)+AO40*SUM($D211:AO$215)</f>
        <v>#VALUE!</v>
      </c>
      <c r="AP44" s="77" t="e">
        <f>SUM(D44:AO44)</f>
        <v>#VALUE!</v>
      </c>
      <c r="AQ44" s="77" t="e">
        <f t="shared" si="0"/>
        <v>#VALUE!</v>
      </c>
      <c r="AR44" s="77" t="e">
        <f>SUM(Y44:AO44)</f>
        <v>#VALUE!</v>
      </c>
      <c r="AS44" s="47" t="e">
        <f t="shared" si="1"/>
        <v>#VALUE!</v>
      </c>
      <c r="AT44" s="47" t="e">
        <f t="shared" si="2"/>
        <v>#VALUE!</v>
      </c>
      <c r="AU44" s="47" t="e">
        <f t="shared" si="3"/>
        <v>#VALUE!</v>
      </c>
      <c r="AV44" s="6" t="e">
        <f t="shared" si="6"/>
        <v>#VALUE!</v>
      </c>
    </row>
    <row r="45" spans="1:48" x14ac:dyDescent="0.25">
      <c r="A45" s="7"/>
      <c r="B45" s="60"/>
      <c r="C45" s="60" t="s">
        <v>40</v>
      </c>
      <c r="D45" s="47">
        <f>D5*SUM($E$76:$E$79)+D9*SUM($E$80:$E$91)+D13*SUM($E$92:$E$112)+D17*SUM($E$113:$E$128)+D21*SUM($E$129:$E$131)+D25*SUM($E$132:$E$135)+D29*SUM($E$136:$E$147)+D33*SUM(E148:E174)+D37*SUM($E$175:$E$210)+D41*SUM(E211:$E$215)</f>
        <v>54.07624142485723</v>
      </c>
      <c r="E45" s="47" t="e">
        <f>E5*SUM($E$76:$E$79)+E9*SUM($E$80:$E$91)+E13*SUM($E$92:$E$112)+E17*SUM($E$113:$E$128)+E21*SUM($E$129:$E$131)+E25*SUM($E$132:$E$135)+E29*SUM($E$136:$E$147)+E33*SUM(F148:F174)+E37*SUM($E$175:$E$210)+E41*SUM($E211:F$215)</f>
        <v>#VALUE!</v>
      </c>
      <c r="F45" s="47" t="e">
        <f>F5*SUM($E$76:$E$79)+F9*SUM($E$80:$E$91)+F13*SUM($E$92:$E$112)+F17*SUM($E$113:$E$128)+F21*SUM($E$129:$E$131)+F25*SUM($E$132:$E$135)+F29*SUM($E$136:$E$147)+F33*SUM(G148:G174)+F37*SUM($E$175:$E$210)+F41*SUM($E211:G$215)</f>
        <v>#VALUE!</v>
      </c>
      <c r="G45" s="47" t="e">
        <f>G5*SUM($E$76:$E$79)+G9*SUM($E$80:$E$91)+G13*SUM($E$92:$E$112)+G17*SUM($E$113:$E$128)+G21*SUM($E$129:$E$131)+G25*SUM($E$132:$E$135)+G29*SUM($E$136:$E$147)+G33*SUM(H148:H174)+G37*SUM($E$175:$E$210)+G41*SUM($E211:H$215)</f>
        <v>#VALUE!</v>
      </c>
      <c r="H45" s="47" t="e">
        <f>H5*SUM($E$76:$E$79)+H9*SUM($E$80:$E$91)+H13*SUM($E$92:$E$112)+H17*SUM($E$113:$E$128)+H21*SUM($E$129:$E$131)+H25*SUM($E$132:$E$135)+H29*SUM($E$136:$E$147)+H33*SUM(I148:I174)+H37*SUM($E$175:$E$210)+H41*SUM($E211:I$215)</f>
        <v>#VALUE!</v>
      </c>
      <c r="I45" s="47" t="e">
        <f>I5*SUM($E$76:$E$79)+I9*SUM($E$80:$E$91)+I13*SUM($E$92:$E$112)+I17*SUM($E$113:$E$128)+I21*SUM($E$129:$E$131)+I25*SUM($E$132:$E$135)+I29*SUM($E$136:$E$147)+I33*SUM(J148:J174)+I37*SUM($E$175:$E$210)+I41*SUM($E211:J$215)</f>
        <v>#VALUE!</v>
      </c>
      <c r="J45" s="47" t="e">
        <f>J5*SUM($E$76:$E$79)+J9*SUM($E$80:$E$91)+J13*SUM($E$92:$E$112)+J17*SUM($E$113:$E$128)+J21*SUM($E$129:$E$131)+J25*SUM($E$132:$E$135)+J29*SUM($E$136:$E$147)+J33*SUM(K148:K174)+J37*SUM($E$175:$E$210)+J41*SUM($E211:K$215)</f>
        <v>#VALUE!</v>
      </c>
      <c r="K45" s="47" t="e">
        <f>K5*SUM($E$76:$E$79)+K9*SUM($E$80:$E$91)+K13*SUM($E$92:$E$112)+K17*SUM($E$113:$E$128)+K21*SUM($E$129:$E$131)+K25*SUM($E$132:$E$135)+K29*SUM($E$136:$E$147)+K33*SUM(L148:L174)+K37*SUM($E$175:$E$210)+K41*SUM($E211:L$215)</f>
        <v>#VALUE!</v>
      </c>
      <c r="L45" s="47" t="e">
        <f>L5*SUM($E$76:$E$79)+L9*SUM($E$80:$E$91)+L13*SUM($E$92:$E$112)+L17*SUM($E$113:$E$128)+L21*SUM($E$129:$E$131)+L25*SUM($E$132:$E$135)+L29*SUM($E$136:$E$147)+L33*SUM(M148:M174)+L37*SUM($E$175:$E$210)+L41*SUM($E211:M$215)</f>
        <v>#VALUE!</v>
      </c>
      <c r="M45" s="47" t="e">
        <f>M5*SUM($E$76:$E$79)+M9*SUM($E$80:$E$91)+M13*SUM($E$92:$E$112)+M17*SUM($E$113:$E$128)+M21*SUM($E$129:$E$131)+M25*SUM($E$132:$E$135)+M29*SUM($E$136:$E$147)+M33*SUM(N148:N174)+M37*SUM($E$175:$E$210)+M41*SUM($E211:N$215)</f>
        <v>#VALUE!</v>
      </c>
      <c r="N45" s="47" t="e">
        <f>N5*SUM($E$76:$E$79)+N9*SUM($E$80:$E$91)+N13*SUM($E$92:$E$112)+N17*SUM($E$113:$E$128)+N21*SUM($E$129:$E$131)+N25*SUM($E$132:$E$135)+N29*SUM($E$136:$E$147)+N33*SUM(O148:O174)+N37*SUM($E$175:$E$210)+N41*SUM($E211:O$215)</f>
        <v>#VALUE!</v>
      </c>
      <c r="O45" s="47" t="e">
        <f>O5*SUM($E$76:$E$79)+O9*SUM($E$80:$E$91)+O13*SUM($E$92:$E$112)+O17*SUM($E$113:$E$128)+O21*SUM($E$129:$E$131)+O25*SUM($E$132:$E$135)+O29*SUM($E$136:$E$147)+O33*SUM(P148:P174)+O37*SUM($E$175:$E$210)+O41*SUM($E211:P$215)</f>
        <v>#VALUE!</v>
      </c>
      <c r="P45" s="47" t="e">
        <f>P5*SUM($E$76:$E$79)+P9*SUM($E$80:$E$91)+P13*SUM($E$92:$E$112)+P17*SUM($E$113:$E$128)+P21*SUM($E$129:$E$131)+P25*SUM($E$132:$E$135)+P29*SUM($E$136:$E$147)+P33*SUM(Q148:Q174)+P37*SUM($E$175:$E$210)+P41*SUM($E211:Q$215)</f>
        <v>#VALUE!</v>
      </c>
      <c r="Q45" s="47" t="e">
        <f>Q5*SUM($E$76:$E$79)+Q9*SUM($E$80:$E$91)+Q13*SUM($E$92:$E$112)+Q17*SUM($E$113:$E$128)+Q21*SUM($E$129:$E$131)+Q25*SUM($E$132:$E$135)+Q29*SUM($E$136:$E$147)+Q33*SUM(R148:R174)+Q37*SUM($E$175:$E$210)+Q41*SUM($E211:R$215)</f>
        <v>#VALUE!</v>
      </c>
      <c r="R45" s="47" t="e">
        <f>R5*SUM($E$76:$E$79)+R9*SUM($E$80:$E$91)+R13*SUM($E$92:$E$112)+R17*SUM($E$113:$E$128)+R21*SUM($E$129:$E$131)+R25*SUM($E$132:$E$135)+R29*SUM($E$136:$E$147)+R33*SUM(S148:S174)+R37*SUM($E$175:$E$210)+R41*SUM($E211:S$215)</f>
        <v>#VALUE!</v>
      </c>
      <c r="S45" s="47" t="e">
        <f>S5*SUM($E$76:$E$79)+S9*SUM($E$80:$E$91)+S13*SUM($E$92:$E$112)+S17*SUM($E$113:$E$128)+S21*SUM($E$129:$E$131)+S25*SUM($E$132:$E$135)+S29*SUM($E$136:$E$147)+S33*SUM(T148:T174)+S37*SUM($E$175:$E$210)+S41*SUM($E211:T$215)</f>
        <v>#VALUE!</v>
      </c>
      <c r="T45" s="47" t="e">
        <f>T5*SUM($E$76:$E$79)+T9*SUM($E$80:$E$91)+T13*SUM($E$92:$E$112)+T17*SUM($E$113:$E$128)+T21*SUM($E$129:$E$131)+T25*SUM($E$132:$E$135)+T29*SUM($E$136:$E$147)+T33*SUM(U148:U174)+T37*SUM($E$175:$E$210)+T41*SUM($E211:U$215)</f>
        <v>#VALUE!</v>
      </c>
      <c r="U45" s="47" t="e">
        <f>U5*SUM($E$76:$E$79)+U9*SUM($E$80:$E$91)+U13*SUM($E$92:$E$112)+U17*SUM($E$113:$E$128)+U21*SUM($E$129:$E$131)+U25*SUM($E$132:$E$135)+U29*SUM($E$136:$E$147)+U33*SUM(V148:V174)+U37*SUM($E$175:$E$210)+U41*SUM($E211:V$215)</f>
        <v>#VALUE!</v>
      </c>
      <c r="V45" s="47" t="e">
        <f>V5*SUM($E$76:$E$79)+V9*SUM($E$80:$E$91)+V13*SUM($E$92:$E$112)+V17*SUM($E$113:$E$128)+V21*SUM($E$129:$E$131)+V25*SUM($E$132:$E$135)+V29*SUM($E$136:$E$147)+V33*SUM(W148:W174)+V37*SUM($E$175:$E$210)+V41*SUM($E211:W$215)</f>
        <v>#VALUE!</v>
      </c>
      <c r="W45" s="47" t="e">
        <f>W5*SUM($E$76:$E$79)+W9*SUM($E$80:$E$91)+W13*SUM($E$92:$E$112)+W17*SUM($E$113:$E$128)+W21*SUM($E$129:$E$131)+W25*SUM($E$132:$E$135)+W29*SUM($E$136:$E$147)+W33*SUM(X148:X174)+W37*SUM($E$175:$E$210)+W41*SUM($E211:X$215)</f>
        <v>#VALUE!</v>
      </c>
      <c r="X45" s="47" t="e">
        <f>X5*SUM($E$76:$E$79)+X9*SUM($E$80:$E$91)+X13*SUM($E$92:$E$112)+X17*SUM($E$113:$E$128)+X21*SUM($E$129:$E$131)+X25*SUM($E$132:$E$135)+X29*SUM($E$136:$E$147)+X33*SUM(Y148:Y174)+X37*SUM($E$175:$E$210)+X41*SUM($E211:Y$215)</f>
        <v>#VALUE!</v>
      </c>
      <c r="Y45" s="47">
        <f>Y5*SUM($E$76:$E$79)+Y9*SUM($E$80:$E$91)+Y13*SUM($E$92:$E$112)+Y17*SUM($E$113:$E$128)+Y21*SUM($E$129:$E$131)+Y25*SUM($E$132:$E$135)+Y29*SUM($E$136:$E$147)+Y33*SUM(Z148:Z174)+Y37*SUM($E$175:$E$210)+Y41*SUM($E211:Z$215)</f>
        <v>0</v>
      </c>
      <c r="Z45" s="47">
        <f>Z5*SUM($E$76:$E$79)+Z9*SUM($E$80:$E$91)+Z13*SUM($E$92:$E$112)+Z17*SUM($E$113:$E$128)+Z21*SUM($E$129:$E$131)+Z25*SUM($E$132:$E$135)+Z29*SUM($E$136:$E$147)+Z33*SUM(AA148:AA174)+Z37*SUM($E$175:$E$210)+Z41*SUM($E211:AA$215)</f>
        <v>0</v>
      </c>
      <c r="AA45" s="47" t="e">
        <f>AA5*SUM($E$76:$E$79)+AA9*SUM($E$80:$E$91)+AA13*SUM($E$92:$E$112)+AA17*SUM($E$113:$E$128)+AA21*SUM($E$129:$E$131)+AA25*SUM($E$132:$E$135)+AA29*SUM($E$136:$E$147)+AA33*SUM(AB148:AB174)+AA37*SUM($E$175:$E$210)+AA41*SUM($E211:AB$215)</f>
        <v>#VALUE!</v>
      </c>
      <c r="AB45" s="47" t="e">
        <f>AB5*SUM($E$76:$E$79)+AB9*SUM($E$80:$E$91)+AB13*SUM($E$92:$E$112)+AB17*SUM($E$113:$E$128)+AB21*SUM($E$129:$E$131)+AB25*SUM($E$132:$E$135)+AB29*SUM($E$136:$E$147)+AB33*SUM(AC148:AC174)+AB37*SUM($E$175:$E$210)+AB41*SUM($E211:AC$215)</f>
        <v>#VALUE!</v>
      </c>
      <c r="AC45" s="47" t="e">
        <f>AC5*SUM($E$76:$E$79)+AC9*SUM($E$80:$E$91)+AC13*SUM($E$92:$E$112)+AC17*SUM($E$113:$E$128)+AC21*SUM($E$129:$E$131)+AC25*SUM($E$132:$E$135)+AC29*SUM($E$136:$E$147)+AC33*SUM(AD148:AD174)+AC37*SUM($E$175:$E$210)+AC41*SUM($E211:AD$215)</f>
        <v>#VALUE!</v>
      </c>
      <c r="AD45" s="47" t="e">
        <f>AD5*SUM($E$76:$E$79)+AD9*SUM($E$80:$E$91)+AD13*SUM($E$92:$E$112)+AD17*SUM($E$113:$E$128)+AD21*SUM($E$129:$E$131)+AD25*SUM($E$132:$E$135)+AD29*SUM($E$136:$E$147)+AD33*SUM(AE148:AE174)+AD37*SUM($E$175:$E$210)+AD41*SUM($E211:AE$215)</f>
        <v>#VALUE!</v>
      </c>
      <c r="AE45" s="47" t="e">
        <f>AE5*SUM($E$76:$E$79)+AE9*SUM($E$80:$E$91)+AE13*SUM($E$92:$E$112)+AE17*SUM($E$113:$E$128)+AE21*SUM($E$129:$E$131)+AE25*SUM($E$132:$E$135)+AE29*SUM($E$136:$E$147)+AE33*SUM(AF148:AF174)+AE37*SUM($E$175:$E$210)+AE41*SUM($E211:AF$215)</f>
        <v>#VALUE!</v>
      </c>
      <c r="AF45" s="47" t="e">
        <f>AF5*SUM($E$76:$E$79)+AF9*SUM($E$80:$E$91)+AF13*SUM($E$92:$E$112)+AF17*SUM($E$113:$E$128)+AF21*SUM($E$129:$E$131)+AF25*SUM($E$132:$E$135)+AF29*SUM($E$136:$E$147)+AF33*SUM(AG148:AG174)+AF37*SUM($E$175:$E$210)+AF41*SUM($E211:AG$215)</f>
        <v>#VALUE!</v>
      </c>
      <c r="AG45" s="47" t="e">
        <f>AG5*SUM($E$76:$E$79)+AG9*SUM($E$80:$E$91)+AG13*SUM($E$92:$E$112)+AG17*SUM($E$113:$E$128)+AG21*SUM($E$129:$E$131)+AG25*SUM($E$132:$E$135)+AG29*SUM($E$136:$E$147)+AG33*SUM(AH148:AH174)+AG37*SUM($E$175:$E$210)+AG41*SUM($E211:AH$215)</f>
        <v>#VALUE!</v>
      </c>
      <c r="AH45" s="47">
        <f>AH5*SUM($E$76:$E$79)+AH9*SUM($E$80:$E$91)+AH13*SUM($E$92:$E$112)+AH17*SUM($E$113:$E$128)+AH21*SUM($E$129:$E$131)+AH25*SUM($E$132:$E$135)+AH29*SUM($E$136:$E$147)+AH33*SUM(AI148:AI174)+AH37*SUM($E$175:$E$210)+AH41*SUM($E211:AI$215)</f>
        <v>0</v>
      </c>
      <c r="AI45" s="47">
        <f>AI5*SUM($E$76:$E$79)+AI9*SUM($E$80:$E$91)+AI13*SUM($E$92:$E$112)+AI17*SUM($E$113:$E$128)+AI21*SUM($E$129:$E$131)+AI25*SUM($E$132:$E$135)+AI29*SUM($E$136:$E$147)+AI33*SUM(AJ148:AJ174)+AI37*SUM($E$175:$E$210)+AI41*SUM($E211:AJ$215)</f>
        <v>0</v>
      </c>
      <c r="AJ45" s="47" t="e">
        <f>AJ5*SUM($E$76:$E$79)+AJ9*SUM($E$80:$E$91)+AJ13*SUM($E$92:$E$112)+AJ17*SUM($E$113:$E$128)+AJ21*SUM($E$129:$E$131)+AJ25*SUM($E$132:$E$135)+AJ29*SUM($E$136:$E$147)+AJ33*SUM(AK148:AK174)+AJ37*SUM($E$175:$E$210)+AJ41*SUM($E211:AK$215)</f>
        <v>#VALUE!</v>
      </c>
      <c r="AK45" s="47" t="e">
        <f>AK5*SUM($E$76:$E$79)+AK9*SUM($E$80:$E$91)+AK13*SUM($E$92:$E$112)+AK17*SUM($E$113:$E$128)+AK21*SUM($E$129:$E$131)+AK25*SUM($E$132:$E$135)+AK29*SUM($E$136:$E$147)+AK33*SUM(AL148:AL174)+AK37*SUM($E$175:$E$210)+AK41*SUM($E211:AL$215)</f>
        <v>#VALUE!</v>
      </c>
      <c r="AL45" s="47" t="e">
        <f>AL5*SUM($E$76:$E$79)+AL9*SUM($E$80:$E$91)+AL13*SUM($E$92:$E$112)+AL17*SUM($E$113:$E$128)+AL21*SUM($E$129:$E$131)+AL25*SUM($E$132:$E$135)+AL29*SUM($E$136:$E$147)+AL33*SUM(AM148:AM174)+AL37*SUM($E$175:$E$210)+AL41*SUM($E211:AM$215)</f>
        <v>#VALUE!</v>
      </c>
      <c r="AM45" s="47" t="e">
        <f>AM5*SUM($E$76:$E$79)+AM9*SUM($E$80:$E$91)+AM13*SUM($E$92:$E$112)+AM17*SUM($E$113:$E$128)+AM21*SUM($E$129:$E$131)+AM25*SUM($E$132:$E$135)+AM29*SUM($E$136:$E$147)+AM33*SUM(AN148:AN174)+AM37*SUM($E$175:$E$210)+AM41*SUM($E211:AN$215)</f>
        <v>#VALUE!</v>
      </c>
      <c r="AN45" s="47" t="e">
        <f>AN5*SUM($E$76:$E$79)+AN9*SUM($E$80:$E$91)+AN13*SUM($E$92:$E$112)+AN17*SUM($E$113:$E$128)+AN21*SUM($E$129:$E$131)+AN25*SUM($E$132:$E$135)+AN29*SUM($E$136:$E$147)+AN33*SUM(AO148:AO174)+AN37*SUM($E$175:$E$210)+AN41*SUM($E211:AO$215)</f>
        <v>#VALUE!</v>
      </c>
      <c r="AO45" s="47" t="e">
        <f>AO5*SUM($E$76:$E$79)+AO9*SUM($E$80:$E$91)+AO13*SUM($E$92:$E$112)+AO17*SUM($E$113:$E$128)+AO21*SUM($E$129:$E$131)+AO25*SUM($E$132:$E$135)+AO29*SUM($E$136:$E$147)+AO33*SUM(AP148:AP174)+AO37*SUM($E$175:$E$210)+AO41*SUM($E211:AP$215)</f>
        <v>#VALUE!</v>
      </c>
      <c r="AP45" s="77" t="e">
        <f>SUM(D45:AO45)</f>
        <v>#VALUE!</v>
      </c>
      <c r="AQ45" s="77" t="e">
        <f t="shared" si="0"/>
        <v>#VALUE!</v>
      </c>
      <c r="AR45" s="77" t="e">
        <f>SUM(Y45:AO45)</f>
        <v>#VALUE!</v>
      </c>
      <c r="AS45" s="47" t="e">
        <f t="shared" si="1"/>
        <v>#VALUE!</v>
      </c>
      <c r="AT45" s="47" t="e">
        <f t="shared" si="2"/>
        <v>#VALUE!</v>
      </c>
      <c r="AU45" s="47" t="e">
        <f t="shared" si="3"/>
        <v>#VALUE!</v>
      </c>
      <c r="AV45" s="6" t="e">
        <f t="shared" si="6"/>
        <v>#VALUE!</v>
      </c>
    </row>
    <row r="46" spans="1:48" x14ac:dyDescent="0.25">
      <c r="A46" s="26"/>
      <c r="B46" s="9"/>
      <c r="C46" s="9" t="s">
        <v>41</v>
      </c>
      <c r="D46" s="48">
        <f>D6*SUM($F$76:$F$79)+D10*SUM($F$80:$F$91)+D14*SUM($F$92:$F$112)+D18*SUM($F$113:$F$128)+D22*SUM($F$129:$F$131)+D26*SUM($F$132:$F$135)+D30*SUM($F$136:$F$147)+D34*SUM(F148:F175)+D38*SUM($F$176:$F$210)+D42*SUM(F211:$F$215)</f>
        <v>44.226433125174147</v>
      </c>
      <c r="E46" s="48" t="e">
        <f>E6*SUM($F$76:$F$79)+E10*SUM($F$80:$F$91)+E14*SUM($F$92:$F$112)+E18*SUM($F$113:$F$128)+E22*SUM($F$129:$F$131)+E26*SUM($F$132:$F$135)+E30*SUM($F$136:$F$147)+E34*SUM(G148:G175)+E38*SUM($F$176:$F$210)+E42*SUM($F211:G$215)</f>
        <v>#VALUE!</v>
      </c>
      <c r="F46" s="48" t="e">
        <f>F6*SUM($F$76:$F$79)+F10*SUM($F$80:$F$91)+F14*SUM($F$92:$F$112)+F18*SUM($F$113:$F$128)+F22*SUM($F$129:$F$131)+F26*SUM($F$132:$F$135)+F30*SUM($F$136:$F$147)+F34*SUM(H148:H175)+F38*SUM($F$176:$F$210)+F42*SUM($F211:H$215)</f>
        <v>#VALUE!</v>
      </c>
      <c r="G46" s="48" t="e">
        <f>G6*SUM($F$76:$F$79)+G10*SUM($F$80:$F$91)+G14*SUM($F$92:$F$112)+G18*SUM($F$113:$F$128)+G22*SUM($F$129:$F$131)+G26*SUM($F$132:$F$135)+G30*SUM($F$136:$F$147)+G34*SUM(I148:I175)+G38*SUM($F$176:$F$210)+G42*SUM($F211:I$215)</f>
        <v>#VALUE!</v>
      </c>
      <c r="H46" s="48" t="e">
        <f>H6*SUM($F$76:$F$79)+H10*SUM($F$80:$F$91)+H14*SUM($F$92:$F$112)+H18*SUM($F$113:$F$128)+H22*SUM($F$129:$F$131)+H26*SUM($F$132:$F$135)+H30*SUM($F$136:$F$147)+H34*SUM(J148:J175)+H38*SUM($F$176:$F$210)+H42*SUM($F211:J$215)</f>
        <v>#VALUE!</v>
      </c>
      <c r="I46" s="48" t="e">
        <f>I6*SUM($F$76:$F$79)+I10*SUM($F$80:$F$91)+I14*SUM($F$92:$F$112)+I18*SUM($F$113:$F$128)+I22*SUM($F$129:$F$131)+I26*SUM($F$132:$F$135)+I30*SUM($F$136:$F$147)+I34*SUM(K148:K175)+I38*SUM($F$176:$F$210)+I42*SUM($F211:K$215)</f>
        <v>#VALUE!</v>
      </c>
      <c r="J46" s="48">
        <f>J6*SUM($F$76:$F$79)+J10*SUM($F$80:$F$91)+J14*SUM($F$92:$F$112)+J18*SUM($F$113:$F$128)+J22*SUM($F$129:$F$131)+J26*SUM($F$132:$F$135)+J30*SUM($F$136:$F$147)+J34*SUM(L148:L175)+J38*SUM($F$176:$F$210)+J42*SUM($F211:L$215)</f>
        <v>6.239056378361874</v>
      </c>
      <c r="K46" s="48" t="e">
        <f>K6*SUM($F$76:$F$79)+K10*SUM($F$80:$F$91)+K14*SUM($F$92:$F$112)+K18*SUM($F$113:$F$128)+K22*SUM($F$129:$F$131)+K26*SUM($F$132:$F$135)+K30*SUM($F$136:$F$147)+K34*SUM(M148:M175)+K38*SUM($F$176:$F$210)+K42*SUM($F211:M$215)</f>
        <v>#VALUE!</v>
      </c>
      <c r="L46" s="48" t="e">
        <f>L6*SUM($F$76:$F$79)+L10*SUM($F$80:$F$91)+L14*SUM($F$92:$F$112)+L18*SUM($F$113:$F$128)+L22*SUM($F$129:$F$131)+L26*SUM($F$132:$F$135)+L30*SUM($F$136:$F$147)+L34*SUM(N148:N175)+L38*SUM($F$176:$F$210)+L42*SUM($F211:N$215)</f>
        <v>#VALUE!</v>
      </c>
      <c r="M46" s="48" t="e">
        <f>M6*SUM($F$76:$F$79)+M10*SUM($F$80:$F$91)+M14*SUM($F$92:$F$112)+M18*SUM($F$113:$F$128)+M22*SUM($F$129:$F$131)+M26*SUM($F$132:$F$135)+M30*SUM($F$136:$F$147)+M34*SUM(O148:O175)+M38*SUM($F$176:$F$210)+M42*SUM($F211:O$215)</f>
        <v>#VALUE!</v>
      </c>
      <c r="N46" s="48" t="e">
        <f>N6*SUM($F$76:$F$79)+N10*SUM($F$80:$F$91)+N14*SUM($F$92:$F$112)+N18*SUM($F$113:$F$128)+N22*SUM($F$129:$F$131)+N26*SUM($F$132:$F$135)+N30*SUM($F$136:$F$147)+N34*SUM(P148:P175)+N38*SUM($F$176:$F$210)+N42*SUM($F211:P$215)</f>
        <v>#VALUE!</v>
      </c>
      <c r="O46" s="48" t="e">
        <f>O6*SUM($F$76:$F$79)+O10*SUM($F$80:$F$91)+O14*SUM($F$92:$F$112)+O18*SUM($F$113:$F$128)+O22*SUM($F$129:$F$131)+O26*SUM($F$132:$F$135)+O30*SUM($F$136:$F$147)+O34*SUM(Q148:Q175)+O38*SUM($F$176:$F$210)+O42*SUM($F211:Q$215)</f>
        <v>#VALUE!</v>
      </c>
      <c r="P46" s="48" t="e">
        <f>P6*SUM($F$76:$F$79)+P10*SUM($F$80:$F$91)+P14*SUM($F$92:$F$112)+P18*SUM($F$113:$F$128)+P22*SUM($F$129:$F$131)+P26*SUM($F$132:$F$135)+P30*SUM($F$136:$F$147)+P34*SUM(R148:R175)+P38*SUM($F$176:$F$210)+P42*SUM($F211:R$215)</f>
        <v>#VALUE!</v>
      </c>
      <c r="Q46" s="48" t="e">
        <f>Q6*SUM($F$76:$F$79)+Q10*SUM($F$80:$F$91)+Q14*SUM($F$92:$F$112)+Q18*SUM($F$113:$F$128)+Q22*SUM($F$129:$F$131)+Q26*SUM($F$132:$F$135)+Q30*SUM($F$136:$F$147)+Q34*SUM(S148:S175)+Q38*SUM($F$176:$F$210)+Q42*SUM($F211:S$215)</f>
        <v>#VALUE!</v>
      </c>
      <c r="R46" s="48" t="e">
        <f>R6*SUM($F$76:$F$79)+R10*SUM($F$80:$F$91)+R14*SUM($F$92:$F$112)+R18*SUM($F$113:$F$128)+R22*SUM($F$129:$F$131)+R26*SUM($F$132:$F$135)+R30*SUM($F$136:$F$147)+R34*SUM(T148:T175)+R38*SUM($F$176:$F$210)+R42*SUM($F211:T$215)</f>
        <v>#VALUE!</v>
      </c>
      <c r="S46" s="48" t="e">
        <f>S6*SUM($F$76:$F$79)+S10*SUM($F$80:$F$91)+S14*SUM($F$92:$F$112)+S18*SUM($F$113:$F$128)+S22*SUM($F$129:$F$131)+S26*SUM($F$132:$F$135)+S30*SUM($F$136:$F$147)+S34*SUM(U148:U175)+S38*SUM($F$176:$F$210)+S42*SUM($F211:U$215)</f>
        <v>#VALUE!</v>
      </c>
      <c r="T46" s="48" t="e">
        <f>T6*SUM($F$76:$F$79)+T10*SUM($F$80:$F$91)+T14*SUM($F$92:$F$112)+T18*SUM($F$113:$F$128)+T22*SUM($F$129:$F$131)+T26*SUM($F$132:$F$135)+T30*SUM($F$136:$F$147)+T34*SUM(V148:V175)+T38*SUM($F$176:$F$210)+T42*SUM($F211:V$215)</f>
        <v>#VALUE!</v>
      </c>
      <c r="U46" s="48" t="e">
        <f>U6*SUM($F$76:$F$79)+U10*SUM($F$80:$F$91)+U14*SUM($F$92:$F$112)+U18*SUM($F$113:$F$128)+U22*SUM($F$129:$F$131)+U26*SUM($F$132:$F$135)+U30*SUM($F$136:$F$147)+U34*SUM(W148:W175)+U38*SUM($F$176:$F$210)+U42*SUM($F211:W$215)</f>
        <v>#VALUE!</v>
      </c>
      <c r="V46" s="48" t="e">
        <f>V6*SUM($F$76:$F$79)+V10*SUM($F$80:$F$91)+V14*SUM($F$92:$F$112)+V18*SUM($F$113:$F$128)+V22*SUM($F$129:$F$131)+V26*SUM($F$132:$F$135)+V30*SUM($F$136:$F$147)+V34*SUM(X148:X175)+V38*SUM($F$176:$F$210)+V42*SUM($F211:X$215)</f>
        <v>#VALUE!</v>
      </c>
      <c r="W46" s="48" t="e">
        <f>W6*SUM($F$76:$F$79)+W10*SUM($F$80:$F$91)+W14*SUM($F$92:$F$112)+W18*SUM($F$113:$F$128)+W22*SUM($F$129:$F$131)+W26*SUM($F$132:$F$135)+W30*SUM($F$136:$F$147)+W34*SUM(Y148:Y175)+W38*SUM($F$176:$F$210)+W42*SUM($F211:Y$215)</f>
        <v>#VALUE!</v>
      </c>
      <c r="X46" s="48" t="e">
        <f>X6*SUM($F$76:$F$79)+X10*SUM($F$80:$F$91)+X14*SUM($F$92:$F$112)+X18*SUM($F$113:$F$128)+X22*SUM($F$129:$F$131)+X26*SUM($F$132:$F$135)+X30*SUM($F$136:$F$147)+X34*SUM(Z148:Z175)+X38*SUM($F$176:$F$210)+X42*SUM($F211:Z$215)</f>
        <v>#VALUE!</v>
      </c>
      <c r="Y46" s="48">
        <f>Y6*SUM($F$76:$F$79)+Y10*SUM($F$80:$F$91)+Y14*SUM($F$92:$F$112)+Y18*SUM($F$113:$F$128)+Y22*SUM($F$129:$F$131)+Y26*SUM($F$132:$F$135)+Y30*SUM($F$136:$F$147)+Y34*SUM(AA148:AA175)+Y38*SUM($F$176:$F$210)+Y42*SUM($F211:AA$215)</f>
        <v>0</v>
      </c>
      <c r="Z46" s="48">
        <f>Z6*SUM($F$76:$F$79)+Z10*SUM($F$80:$F$91)+Z14*SUM($F$92:$F$112)+Z18*SUM($F$113:$F$128)+Z22*SUM($F$129:$F$131)+Z26*SUM($F$132:$F$135)+Z30*SUM($F$136:$F$147)+Z34*SUM(AB148:AB175)+Z38*SUM($F$176:$F$210)+Z42*SUM($F211:AB$215)</f>
        <v>0</v>
      </c>
      <c r="AA46" s="48" t="e">
        <f>AA6*SUM($F$76:$F$79)+AA10*SUM($F$80:$F$91)+AA14*SUM($F$92:$F$112)+AA18*SUM($F$113:$F$128)+AA22*SUM($F$129:$F$131)+AA26*SUM($F$132:$F$135)+AA30*SUM($F$136:$F$147)+AA34*SUM(AC148:AC175)+AA38*SUM($F$176:$F$210)+AA42*SUM($F211:AC$215)</f>
        <v>#VALUE!</v>
      </c>
      <c r="AB46" s="48" t="e">
        <f>AB6*SUM($F$76:$F$79)+AB10*SUM($F$80:$F$91)+AB14*SUM($F$92:$F$112)+AB18*SUM($F$113:$F$128)+AB22*SUM($F$129:$F$131)+AB26*SUM($F$132:$F$135)+AB30*SUM($F$136:$F$147)+AB34*SUM(AD148:AD175)+AB38*SUM($F$176:$F$210)+AB42*SUM($F211:AD$215)</f>
        <v>#VALUE!</v>
      </c>
      <c r="AC46" s="48" t="e">
        <f>AC6*SUM($F$76:$F$79)+AC10*SUM($F$80:$F$91)+AC14*SUM($F$92:$F$112)+AC18*SUM($F$113:$F$128)+AC22*SUM($F$129:$F$131)+AC26*SUM($F$132:$F$135)+AC30*SUM($F$136:$F$147)+AC34*SUM(AE148:AE175)+AC38*SUM($F$176:$F$210)+AC42*SUM($F211:AE$215)</f>
        <v>#VALUE!</v>
      </c>
      <c r="AD46" s="48" t="e">
        <f>AD6*SUM($F$76:$F$79)+AD10*SUM($F$80:$F$91)+AD14*SUM($F$92:$F$112)+AD18*SUM($F$113:$F$128)+AD22*SUM($F$129:$F$131)+AD26*SUM($F$132:$F$135)+AD30*SUM($F$136:$F$147)+AD34*SUM(AF148:AF175)+AD38*SUM($F$176:$F$210)+AD42*SUM($F211:AF$215)</f>
        <v>#VALUE!</v>
      </c>
      <c r="AE46" s="48" t="e">
        <f>AE6*SUM($F$76:$F$79)+AE10*SUM($F$80:$F$91)+AE14*SUM($F$92:$F$112)+AE18*SUM($F$113:$F$128)+AE22*SUM($F$129:$F$131)+AE26*SUM($F$132:$F$135)+AE30*SUM($F$136:$F$147)+AE34*SUM(AG148:AG175)+AE38*SUM($F$176:$F$210)+AE42*SUM($F211:AG$215)</f>
        <v>#VALUE!</v>
      </c>
      <c r="AF46" s="48" t="e">
        <f>AF6*SUM($F$76:$F$79)+AF10*SUM($F$80:$F$91)+AF14*SUM($F$92:$F$112)+AF18*SUM($F$113:$F$128)+AF22*SUM($F$129:$F$131)+AF26*SUM($F$132:$F$135)+AF30*SUM($F$136:$F$147)+AF34*SUM(AH148:AH175)+AF38*SUM($F$176:$F$210)+AF42*SUM($F211:AH$215)</f>
        <v>#VALUE!</v>
      </c>
      <c r="AG46" s="48" t="e">
        <f>AG6*SUM($F$76:$F$79)+AG10*SUM($F$80:$F$91)+AG14*SUM($F$92:$F$112)+AG18*SUM($F$113:$F$128)+AG22*SUM($F$129:$F$131)+AG26*SUM($F$132:$F$135)+AG30*SUM($F$136:$F$147)+AG34*SUM(AI148:AI175)+AG38*SUM($F$176:$F$210)+AG42*SUM($F211:AI$215)</f>
        <v>#VALUE!</v>
      </c>
      <c r="AH46" s="48">
        <f>AH6*SUM($F$76:$F$79)+AH10*SUM($F$80:$F$91)+AH14*SUM($F$92:$F$112)+AH18*SUM($F$113:$F$128)+AH22*SUM($F$129:$F$131)+AH26*SUM($F$132:$F$135)+AH30*SUM($F$136:$F$147)+AH34*SUM(AJ148:AJ175)+AH38*SUM($F$176:$F$210)+AH42*SUM($F211:AJ$215)</f>
        <v>0</v>
      </c>
      <c r="AI46" s="48">
        <f>AI6*SUM($F$76:$F$79)+AI10*SUM($F$80:$F$91)+AI14*SUM($F$92:$F$112)+AI18*SUM($F$113:$F$128)+AI22*SUM($F$129:$F$131)+AI26*SUM($F$132:$F$135)+AI30*SUM($F$136:$F$147)+AI34*SUM(AK148:AK175)+AI38*SUM($F$176:$F$210)+AI42*SUM($F211:AK$215)</f>
        <v>0</v>
      </c>
      <c r="AJ46" s="48" t="e">
        <f>AJ6*SUM($F$76:$F$79)+AJ10*SUM($F$80:$F$91)+AJ14*SUM($F$92:$F$112)+AJ18*SUM($F$113:$F$128)+AJ22*SUM($F$129:$F$131)+AJ26*SUM($F$132:$F$135)+AJ30*SUM($F$136:$F$147)+AJ34*SUM(AL148:AL175)+AJ38*SUM($F$176:$F$210)+AJ42*SUM($F211:AL$215)</f>
        <v>#VALUE!</v>
      </c>
      <c r="AK46" s="48" t="e">
        <f>AK6*SUM($F$76:$F$79)+AK10*SUM($F$80:$F$91)+AK14*SUM($F$92:$F$112)+AK18*SUM($F$113:$F$128)+AK22*SUM($F$129:$F$131)+AK26*SUM($F$132:$F$135)+AK30*SUM($F$136:$F$147)+AK34*SUM(AM148:AM175)+AK38*SUM($F$176:$F$210)+AK42*SUM($F211:AM$215)</f>
        <v>#VALUE!</v>
      </c>
      <c r="AL46" s="48" t="e">
        <f>AL6*SUM($F$76:$F$79)+AL10*SUM($F$80:$F$91)+AL14*SUM($F$92:$F$112)+AL18*SUM($F$113:$F$128)+AL22*SUM($F$129:$F$131)+AL26*SUM($F$132:$F$135)+AL30*SUM($F$136:$F$147)+AL34*SUM(AN148:AN175)+AL38*SUM($F$176:$F$210)+AL42*SUM($F211:AN$215)</f>
        <v>#VALUE!</v>
      </c>
      <c r="AM46" s="48" t="e">
        <f>AM6*SUM($F$76:$F$79)+AM10*SUM($F$80:$F$91)+AM14*SUM($F$92:$F$112)+AM18*SUM($F$113:$F$128)+AM22*SUM($F$129:$F$131)+AM26*SUM($F$132:$F$135)+AM30*SUM($F$136:$F$147)+AM34*SUM(AO148:AO175)+AM38*SUM($F$176:$F$210)+AM42*SUM($F211:AO$215)</f>
        <v>#VALUE!</v>
      </c>
      <c r="AN46" s="48" t="e">
        <f>AN6*SUM($F$76:$F$79)+AN10*SUM($F$80:$F$91)+AN14*SUM($F$92:$F$112)+AN18*SUM($F$113:$F$128)+AN22*SUM($F$129:$F$131)+AN26*SUM($F$132:$F$135)+AN30*SUM($F$136:$F$147)+AN34*SUM(AP148:AP175)+AN38*SUM($F$176:$F$210)+AN42*SUM($F211:AP$215)</f>
        <v>#VALUE!</v>
      </c>
      <c r="AO46" s="48" t="e">
        <f>AO6*SUM($F$76:$F$79)+AO10*SUM($F$80:$F$91)+AO14*SUM($F$92:$F$112)+AO18*SUM($F$113:$F$128)+AO22*SUM($F$129:$F$131)+AO26*SUM($F$132:$F$135)+AO30*SUM($F$136:$F$147)+AO34*SUM(AQ148:AQ175)+AO38*SUM($F$176:$F$210)+AO42*SUM($F211:AQ$215)</f>
        <v>#VALUE!</v>
      </c>
      <c r="AP46" s="78" t="e">
        <f>SUM(D46:AO46)</f>
        <v>#VALUE!</v>
      </c>
      <c r="AQ46" s="78" t="e">
        <f t="shared" si="0"/>
        <v>#VALUE!</v>
      </c>
      <c r="AR46" s="78" t="e">
        <f>SUM(Y46:AO46)</f>
        <v>#VALUE!</v>
      </c>
      <c r="AS46" s="48" t="e">
        <f t="shared" si="1"/>
        <v>#VALUE!</v>
      </c>
      <c r="AT46" s="48" t="e">
        <f t="shared" si="2"/>
        <v>#VALUE!</v>
      </c>
      <c r="AU46" s="48" t="e">
        <f t="shared" si="3"/>
        <v>#VALUE!</v>
      </c>
      <c r="AV46" s="8" t="e">
        <f t="shared" si="6"/>
        <v>#VALUE!</v>
      </c>
    </row>
    <row r="47" spans="1:48" x14ac:dyDescent="0.25">
      <c r="A47" t="s">
        <v>105</v>
      </c>
      <c r="B47" t="s">
        <v>36</v>
      </c>
      <c r="C47">
        <v>1</v>
      </c>
      <c r="D47" s="4">
        <f>LN(D23)</f>
        <v>-1.6522959348678283</v>
      </c>
      <c r="E47" s="4">
        <f t="shared" ref="E47:AO47" si="7">LN(E23)</f>
        <v>-5.2075594875871571</v>
      </c>
      <c r="F47" s="4" t="e">
        <f t="shared" si="7"/>
        <v>#VALUE!</v>
      </c>
      <c r="G47" s="4" t="e">
        <f t="shared" si="7"/>
        <v>#VALUE!</v>
      </c>
      <c r="H47" s="4">
        <f t="shared" si="7"/>
        <v>-5.3333181073479006</v>
      </c>
      <c r="I47" s="4">
        <f t="shared" si="7"/>
        <v>-6.5908159107211537</v>
      </c>
      <c r="J47" s="4">
        <f t="shared" si="7"/>
        <v>-2.8238768041904447</v>
      </c>
      <c r="K47" s="4">
        <f t="shared" si="7"/>
        <v>-3.4686120994259957</v>
      </c>
      <c r="L47" s="4">
        <f>LN(L23)</f>
        <v>-3.8672482232220298</v>
      </c>
      <c r="M47" s="4">
        <f t="shared" si="7"/>
        <v>-4.9691660614938522</v>
      </c>
      <c r="N47" s="4" t="e">
        <f t="shared" si="7"/>
        <v>#VALUE!</v>
      </c>
      <c r="O47" s="4" t="e">
        <f t="shared" si="7"/>
        <v>#VALUE!</v>
      </c>
      <c r="P47" s="4" t="e">
        <f t="shared" si="7"/>
        <v>#VALUE!</v>
      </c>
      <c r="Q47" s="4">
        <f t="shared" si="7"/>
        <v>-4.908524607833856</v>
      </c>
      <c r="R47" s="4">
        <f t="shared" si="7"/>
        <v>-4.287426985888815</v>
      </c>
      <c r="S47" s="4">
        <f t="shared" si="7"/>
        <v>2.5744401030943056</v>
      </c>
      <c r="T47" s="4">
        <f t="shared" si="7"/>
        <v>2.210444176623334</v>
      </c>
      <c r="U47" s="4">
        <f t="shared" si="7"/>
        <v>1.1245905657951372</v>
      </c>
      <c r="V47" s="4">
        <f t="shared" si="7"/>
        <v>-1.8239429917108057</v>
      </c>
      <c r="W47" s="4">
        <f t="shared" si="7"/>
        <v>-2.1436676809141946</v>
      </c>
      <c r="X47" s="4">
        <f t="shared" si="7"/>
        <v>-4.0432558244360761</v>
      </c>
      <c r="Y47" s="4" t="e">
        <f t="shared" si="7"/>
        <v>#VALUE!</v>
      </c>
      <c r="Z47" s="4" t="e">
        <f t="shared" si="7"/>
        <v>#VALUE!</v>
      </c>
      <c r="AA47" s="4">
        <f t="shared" si="7"/>
        <v>-7.235761860445038</v>
      </c>
      <c r="AB47" s="4">
        <f t="shared" si="7"/>
        <v>-9.1192010383099085</v>
      </c>
      <c r="AC47" s="4">
        <f>LN(AC23)</f>
        <v>-5.6087507670385914</v>
      </c>
      <c r="AD47" s="4">
        <f>LN(AD23)</f>
        <v>-4.3343789588110253</v>
      </c>
      <c r="AE47" s="4">
        <f t="shared" si="7"/>
        <v>-3.4225745494890232</v>
      </c>
      <c r="AF47" s="4">
        <f t="shared" si="7"/>
        <v>-4.8051551559603292</v>
      </c>
      <c r="AG47" s="4">
        <f t="shared" si="7"/>
        <v>-5.5890512517892317</v>
      </c>
      <c r="AH47" s="4" t="e">
        <f t="shared" si="7"/>
        <v>#VALUE!</v>
      </c>
      <c r="AI47" s="4" t="e">
        <f t="shared" si="7"/>
        <v>#VALUE!</v>
      </c>
      <c r="AJ47" s="4">
        <f t="shared" si="7"/>
        <v>0.60058905425557663</v>
      </c>
      <c r="AK47" s="4">
        <f t="shared" si="7"/>
        <v>2.9912111225588589</v>
      </c>
      <c r="AL47" s="4">
        <f t="shared" si="7"/>
        <v>0.77973568299492857</v>
      </c>
      <c r="AM47" s="4">
        <f t="shared" si="7"/>
        <v>-0.92910102597519773</v>
      </c>
      <c r="AN47" s="4">
        <f t="shared" si="7"/>
        <v>-2.5104710462379294</v>
      </c>
      <c r="AO47" s="4">
        <f t="shared" si="7"/>
        <v>-3.6891982484549506</v>
      </c>
      <c r="AP47" s="75"/>
      <c r="AQ47" s="75"/>
      <c r="AR47" s="75" t="s">
        <v>90</v>
      </c>
    </row>
    <row r="48" spans="1:48" x14ac:dyDescent="0.25">
      <c r="C48">
        <v>5</v>
      </c>
      <c r="D48" s="4" t="e">
        <f t="shared" ref="D48:AO48" si="8">LN(D27)</f>
        <v>#VALUE!</v>
      </c>
      <c r="E48" s="4" t="e">
        <f t="shared" si="8"/>
        <v>#VALUE!</v>
      </c>
      <c r="F48" s="4" t="e">
        <f t="shared" si="8"/>
        <v>#VALUE!</v>
      </c>
      <c r="G48" s="4" t="e">
        <f t="shared" si="8"/>
        <v>#VALUE!</v>
      </c>
      <c r="H48" s="4" t="e">
        <f t="shared" si="8"/>
        <v>#VALUE!</v>
      </c>
      <c r="I48" s="4" t="e">
        <f t="shared" si="8"/>
        <v>#VALUE!</v>
      </c>
      <c r="J48" s="4">
        <f t="shared" si="8"/>
        <v>-3.0796571059715583</v>
      </c>
      <c r="K48" s="4">
        <f t="shared" si="8"/>
        <v>-3.8339244345459873</v>
      </c>
      <c r="L48" s="4">
        <f t="shared" si="8"/>
        <v>-4.1100478390658051</v>
      </c>
      <c r="M48" s="4" t="e">
        <f t="shared" si="8"/>
        <v>#VALUE!</v>
      </c>
      <c r="N48" s="4" t="e">
        <f t="shared" si="8"/>
        <v>#VALUE!</v>
      </c>
      <c r="O48" s="4" t="e">
        <f t="shared" si="8"/>
        <v>#VALUE!</v>
      </c>
      <c r="P48" s="4" t="e">
        <f t="shared" si="8"/>
        <v>#VALUE!</v>
      </c>
      <c r="Q48" s="4">
        <f t="shared" si="8"/>
        <v>-5.658845278455356</v>
      </c>
      <c r="R48" s="4">
        <f t="shared" si="8"/>
        <v>-4.7430355242197484</v>
      </c>
      <c r="S48" s="4">
        <f t="shared" si="8"/>
        <v>2.0711176263731081</v>
      </c>
      <c r="T48" s="4">
        <f t="shared" si="8"/>
        <v>1.544713662841916</v>
      </c>
      <c r="U48" s="4">
        <f t="shared" si="8"/>
        <v>0.53309389006972019</v>
      </c>
      <c r="V48" s="4">
        <f t="shared" si="8"/>
        <v>-2.106316154031878</v>
      </c>
      <c r="W48" s="4">
        <f t="shared" si="8"/>
        <v>-2.6912529729001102</v>
      </c>
      <c r="X48" s="4">
        <f t="shared" si="8"/>
        <v>-4.4389057166590851</v>
      </c>
      <c r="Y48" s="4" t="e">
        <f t="shared" si="8"/>
        <v>#VALUE!</v>
      </c>
      <c r="Z48" s="4" t="e">
        <f t="shared" si="8"/>
        <v>#VALUE!</v>
      </c>
      <c r="AA48" s="4">
        <f t="shared" si="8"/>
        <v>-8.9657193711170802</v>
      </c>
      <c r="AB48" s="4" t="e">
        <f t="shared" si="8"/>
        <v>#VALUE!</v>
      </c>
      <c r="AC48" s="4">
        <f t="shared" si="8"/>
        <v>-6.001291415688633</v>
      </c>
      <c r="AD48" s="4">
        <f t="shared" si="8"/>
        <v>-4.5876871790093672</v>
      </c>
      <c r="AE48" s="4">
        <f t="shared" si="8"/>
        <v>-3.4888818361277232</v>
      </c>
      <c r="AF48" s="4">
        <f t="shared" si="8"/>
        <v>-5.7334311700818379</v>
      </c>
      <c r="AG48" s="4">
        <f t="shared" si="8"/>
        <v>-5.9970720906481239</v>
      </c>
      <c r="AH48" s="4" t="e">
        <f t="shared" si="8"/>
        <v>#VALUE!</v>
      </c>
      <c r="AI48" s="4" t="e">
        <f t="shared" si="8"/>
        <v>#VALUE!</v>
      </c>
      <c r="AJ48" s="4">
        <f t="shared" si="8"/>
        <v>5.243604948870257E-2</v>
      </c>
      <c r="AK48" s="4">
        <f t="shared" si="8"/>
        <v>2.3619966809013184</v>
      </c>
      <c r="AL48" s="4">
        <f t="shared" si="8"/>
        <v>0.25407938642239764</v>
      </c>
      <c r="AM48" s="4">
        <f t="shared" si="8"/>
        <v>-1.5149838131328364</v>
      </c>
      <c r="AN48" s="4">
        <f t="shared" si="8"/>
        <v>-3.5820038350782148</v>
      </c>
      <c r="AO48" s="4">
        <f t="shared" si="8"/>
        <v>-4.869218762379786</v>
      </c>
      <c r="AP48" s="61">
        <f t="shared" ref="AP48:AQ48" si="9">_xlfn.STDEV.P(AP3:AP6)</f>
        <v>9.5836463403813459E-3</v>
      </c>
      <c r="AQ48" s="61">
        <f t="shared" si="9"/>
        <v>9.6065132580350002E-3</v>
      </c>
      <c r="AR48" s="64">
        <v>1</v>
      </c>
      <c r="AS48" s="4">
        <f>_xlfn.STDEV.P(AS3:AS6)</f>
        <v>9.6065132580350002E-3</v>
      </c>
      <c r="AT48" s="4">
        <f t="shared" ref="AT48:AV48" si="10">_xlfn.STDEV.P(AT3:AT6)</f>
        <v>0</v>
      </c>
      <c r="AU48" s="4">
        <f t="shared" si="10"/>
        <v>2.2915561066460012E-5</v>
      </c>
      <c r="AV48" s="4">
        <f t="shared" si="10"/>
        <v>0</v>
      </c>
    </row>
    <row r="49" spans="2:48" x14ac:dyDescent="0.25">
      <c r="C49">
        <v>17</v>
      </c>
      <c r="D49" s="4" t="e">
        <f t="shared" ref="D49:AO49" si="11">LN(D31)</f>
        <v>#VALUE!</v>
      </c>
      <c r="E49" s="4" t="e">
        <f t="shared" si="11"/>
        <v>#VALUE!</v>
      </c>
      <c r="F49" s="4" t="e">
        <f t="shared" si="11"/>
        <v>#VALUE!</v>
      </c>
      <c r="G49" s="4" t="e">
        <f t="shared" si="11"/>
        <v>#VALUE!</v>
      </c>
      <c r="H49" s="4" t="e">
        <f t="shared" si="11"/>
        <v>#VALUE!</v>
      </c>
      <c r="I49" s="4" t="e">
        <f t="shared" si="11"/>
        <v>#VALUE!</v>
      </c>
      <c r="J49" s="4">
        <f t="shared" si="11"/>
        <v>-3.0660070009265095</v>
      </c>
      <c r="K49" s="4">
        <f t="shared" si="11"/>
        <v>-3.8778539535900833</v>
      </c>
      <c r="L49" s="4">
        <f t="shared" si="11"/>
        <v>-4.3612957690252712</v>
      </c>
      <c r="M49" s="4">
        <f t="shared" si="11"/>
        <v>-5.8915458878068403</v>
      </c>
      <c r="N49" s="4" t="e">
        <f t="shared" si="11"/>
        <v>#VALUE!</v>
      </c>
      <c r="O49" s="4" t="e">
        <f t="shared" si="11"/>
        <v>#VALUE!</v>
      </c>
      <c r="P49" s="4" t="e">
        <f t="shared" si="11"/>
        <v>#VALUE!</v>
      </c>
      <c r="Q49" s="4" t="e">
        <f t="shared" si="11"/>
        <v>#VALUE!</v>
      </c>
      <c r="R49" s="4">
        <f t="shared" si="11"/>
        <v>-4.7044417448331268</v>
      </c>
      <c r="S49" s="4">
        <f t="shared" si="11"/>
        <v>2.1279309957580512</v>
      </c>
      <c r="T49" s="4">
        <f t="shared" si="11"/>
        <v>1.7323626972133737</v>
      </c>
      <c r="U49" s="4">
        <f t="shared" si="11"/>
        <v>0.50592212650279988</v>
      </c>
      <c r="V49" s="4">
        <f t="shared" si="11"/>
        <v>-2.8913832629992715</v>
      </c>
      <c r="W49" s="4">
        <f t="shared" si="11"/>
        <v>-3.2943298733668533</v>
      </c>
      <c r="X49" s="4">
        <f t="shared" si="11"/>
        <v>-5.2315812448370123</v>
      </c>
      <c r="Y49" s="4" t="e">
        <f t="shared" si="11"/>
        <v>#VALUE!</v>
      </c>
      <c r="Z49" s="4" t="e">
        <f t="shared" si="11"/>
        <v>#VALUE!</v>
      </c>
      <c r="AA49" s="4">
        <f t="shared" si="11"/>
        <v>-10.118751560636502</v>
      </c>
      <c r="AB49" s="4" t="e">
        <f t="shared" si="11"/>
        <v>#VALUE!</v>
      </c>
      <c r="AC49" s="4">
        <f t="shared" si="11"/>
        <v>-6.2043042163570501</v>
      </c>
      <c r="AD49" s="4">
        <f t="shared" si="11"/>
        <v>-4.5819371939515872</v>
      </c>
      <c r="AE49" s="4">
        <f t="shared" si="11"/>
        <v>-3.9077705609650089</v>
      </c>
      <c r="AF49" s="4">
        <f t="shared" si="11"/>
        <v>-6.4444984708848336</v>
      </c>
      <c r="AG49" s="4">
        <f t="shared" si="11"/>
        <v>-8.1997416450486256</v>
      </c>
      <c r="AH49" s="4" t="e">
        <f t="shared" si="11"/>
        <v>#VALUE!</v>
      </c>
      <c r="AI49" s="4" t="e">
        <f t="shared" si="11"/>
        <v>#VALUE!</v>
      </c>
      <c r="AJ49" s="4">
        <f t="shared" si="11"/>
        <v>0.15844444404112076</v>
      </c>
      <c r="AK49" s="4">
        <f t="shared" si="11"/>
        <v>2.4650396638547285</v>
      </c>
      <c r="AL49" s="4">
        <f t="shared" si="11"/>
        <v>-0.20511770608416749</v>
      </c>
      <c r="AM49" s="4">
        <f t="shared" si="11"/>
        <v>-3.4017503600511962</v>
      </c>
      <c r="AN49" s="4">
        <f t="shared" si="11"/>
        <v>-5.8693766852273139</v>
      </c>
      <c r="AO49" s="4">
        <f t="shared" si="11"/>
        <v>-6.1744303371286575</v>
      </c>
      <c r="AP49" s="61">
        <f t="shared" ref="AP49:AQ49" si="12">_xlfn.STDEV.P(AP7:AP10)</f>
        <v>3.3465664383896825</v>
      </c>
      <c r="AQ49" s="61">
        <f t="shared" si="12"/>
        <v>2.1983966060555189</v>
      </c>
      <c r="AR49" s="64">
        <v>55</v>
      </c>
      <c r="AS49" s="4">
        <f>_xlfn.STDEV.P(AS7:AS10)</f>
        <v>0.95306446352048912</v>
      </c>
      <c r="AT49" s="4">
        <f t="shared" ref="AT49:AV49" si="13">_xlfn.STDEV.P(AT7:AT10)</f>
        <v>1.2720638111124059</v>
      </c>
      <c r="AU49" s="4">
        <f t="shared" si="13"/>
        <v>1.3085013061825764E-2</v>
      </c>
      <c r="AV49" s="4">
        <f t="shared" si="13"/>
        <v>1.1435876887882113</v>
      </c>
    </row>
    <row r="50" spans="2:48" x14ac:dyDescent="0.25">
      <c r="C50">
        <v>45</v>
      </c>
      <c r="D50" s="4" t="e">
        <f t="shared" ref="D50:AO50" si="14">LN(D35)</f>
        <v>#VALUE!</v>
      </c>
      <c r="E50" s="4" t="e">
        <f t="shared" si="14"/>
        <v>#VALUE!</v>
      </c>
      <c r="F50" s="4" t="e">
        <f t="shared" si="14"/>
        <v>#VALUE!</v>
      </c>
      <c r="G50" s="4" t="e">
        <f t="shared" si="14"/>
        <v>#VALUE!</v>
      </c>
      <c r="H50" s="4" t="e">
        <f t="shared" si="14"/>
        <v>#VALUE!</v>
      </c>
      <c r="I50" s="4" t="e">
        <f t="shared" si="14"/>
        <v>#VALUE!</v>
      </c>
      <c r="J50" s="4">
        <f t="shared" si="14"/>
        <v>-3.4918776448602746</v>
      </c>
      <c r="K50" s="4">
        <f t="shared" si="14"/>
        <v>-4.4653980122651253</v>
      </c>
      <c r="L50" s="4">
        <f t="shared" si="14"/>
        <v>-5.25599650865475</v>
      </c>
      <c r="M50" s="4" t="e">
        <f t="shared" si="14"/>
        <v>#VALUE!</v>
      </c>
      <c r="N50" s="4" t="e">
        <f t="shared" si="14"/>
        <v>#VALUE!</v>
      </c>
      <c r="O50" s="4" t="e">
        <f t="shared" si="14"/>
        <v>#VALUE!</v>
      </c>
      <c r="P50" s="4" t="e">
        <f t="shared" si="14"/>
        <v>#VALUE!</v>
      </c>
      <c r="Q50" s="4" t="e">
        <f t="shared" si="14"/>
        <v>#VALUE!</v>
      </c>
      <c r="R50" s="4">
        <f t="shared" si="14"/>
        <v>-5.8218156997982753</v>
      </c>
      <c r="S50" s="4">
        <f t="shared" si="14"/>
        <v>1.7131140626789254</v>
      </c>
      <c r="T50" s="4">
        <f t="shared" si="14"/>
        <v>0.83640043611349124</v>
      </c>
      <c r="U50" s="4">
        <f t="shared" si="14"/>
        <v>-0.64537828336826297</v>
      </c>
      <c r="V50" s="4">
        <f t="shared" si="14"/>
        <v>-4.2255529582206721</v>
      </c>
      <c r="W50" s="4">
        <f t="shared" si="14"/>
        <v>-5.2090358807744463</v>
      </c>
      <c r="X50" s="4">
        <f t="shared" si="14"/>
        <v>-6.1990657442604924</v>
      </c>
      <c r="Y50" s="4" t="e">
        <f t="shared" si="14"/>
        <v>#VALUE!</v>
      </c>
      <c r="Z50" s="4" t="e">
        <f t="shared" si="14"/>
        <v>#VALUE!</v>
      </c>
      <c r="AA50" s="4">
        <f t="shared" si="14"/>
        <v>-9.1471515526161973</v>
      </c>
      <c r="AB50" s="4" t="e">
        <f t="shared" si="14"/>
        <v>#VALUE!</v>
      </c>
      <c r="AC50" s="4">
        <f t="shared" si="14"/>
        <v>-7.0345701176707589</v>
      </c>
      <c r="AD50" s="4">
        <f t="shared" si="14"/>
        <v>-4.7253031878669569</v>
      </c>
      <c r="AE50" s="4">
        <f t="shared" si="14"/>
        <v>-4.6088897878532942</v>
      </c>
      <c r="AF50" s="4">
        <f t="shared" si="14"/>
        <v>-7.9948934234401641</v>
      </c>
      <c r="AG50" s="4" t="e">
        <f t="shared" si="14"/>
        <v>#VALUE!</v>
      </c>
      <c r="AH50" s="4" t="e">
        <f t="shared" si="14"/>
        <v>#VALUE!</v>
      </c>
      <c r="AI50" s="4" t="e">
        <f t="shared" si="14"/>
        <v>#VALUE!</v>
      </c>
      <c r="AJ50" s="4">
        <f t="shared" si="14"/>
        <v>-0.37044953568745914</v>
      </c>
      <c r="AK50" s="4">
        <f t="shared" si="14"/>
        <v>1.7739788268584231</v>
      </c>
      <c r="AL50" s="4">
        <f t="shared" si="14"/>
        <v>-1.5953266723345507</v>
      </c>
      <c r="AM50" s="4">
        <f t="shared" si="14"/>
        <v>-5.0976960761530288</v>
      </c>
      <c r="AN50" s="4" t="e">
        <f t="shared" si="14"/>
        <v>#VALUE!</v>
      </c>
      <c r="AO50" s="4" t="e">
        <f t="shared" si="14"/>
        <v>#VALUE!</v>
      </c>
      <c r="AP50" s="61">
        <f t="shared" ref="AP50:AQ50" si="15">_xlfn.STDEV.P(AP11:AP14)</f>
        <v>12.84202120343325</v>
      </c>
      <c r="AQ50" s="61">
        <f t="shared" si="15"/>
        <v>6.2522435819003901</v>
      </c>
      <c r="AR50" s="64">
        <v>17</v>
      </c>
      <c r="AS50" s="4">
        <f>_xlfn.STDEV.P(AS11:AS14)</f>
        <v>1.0600899207972128</v>
      </c>
      <c r="AT50" s="4">
        <f t="shared" ref="AT50:AV50" si="16">_xlfn.STDEV.P(AT11:AT14)</f>
        <v>5.8007955152512913</v>
      </c>
      <c r="AU50" s="4">
        <f t="shared" si="16"/>
        <v>3.7180207714688142E-2</v>
      </c>
      <c r="AV50" s="4">
        <f t="shared" si="16"/>
        <v>6.559965183624497</v>
      </c>
    </row>
    <row r="51" spans="2:48" x14ac:dyDescent="0.25">
      <c r="C51">
        <v>80</v>
      </c>
      <c r="D51" s="4" t="e">
        <f t="shared" ref="D51:AO51" si="17">LN(D39)</f>
        <v>#VALUE!</v>
      </c>
      <c r="E51" s="4" t="e">
        <f t="shared" si="17"/>
        <v>#VALUE!</v>
      </c>
      <c r="F51" s="4" t="e">
        <f t="shared" si="17"/>
        <v>#VALUE!</v>
      </c>
      <c r="G51" s="4" t="e">
        <f t="shared" si="17"/>
        <v>#VALUE!</v>
      </c>
      <c r="H51" s="4" t="e">
        <f t="shared" si="17"/>
        <v>#VALUE!</v>
      </c>
      <c r="I51" s="4" t="e">
        <f t="shared" si="17"/>
        <v>#VALUE!</v>
      </c>
      <c r="J51" s="4">
        <f t="shared" si="17"/>
        <v>-4.3562700129513896</v>
      </c>
      <c r="K51" s="4">
        <f t="shared" si="17"/>
        <v>-5.5897538557170998</v>
      </c>
      <c r="L51" s="4" t="e">
        <f t="shared" si="17"/>
        <v>#VALUE!</v>
      </c>
      <c r="M51" s="4" t="e">
        <f t="shared" si="17"/>
        <v>#VALUE!</v>
      </c>
      <c r="N51" s="4" t="e">
        <f t="shared" si="17"/>
        <v>#VALUE!</v>
      </c>
      <c r="O51" s="4" t="e">
        <f t="shared" si="17"/>
        <v>#VALUE!</v>
      </c>
      <c r="P51" s="4" t="e">
        <f t="shared" si="17"/>
        <v>#VALUE!</v>
      </c>
      <c r="Q51" s="4" t="e">
        <f t="shared" si="17"/>
        <v>#VALUE!</v>
      </c>
      <c r="R51" s="4" t="e">
        <f t="shared" si="17"/>
        <v>#VALUE!</v>
      </c>
      <c r="S51" s="4">
        <f t="shared" si="17"/>
        <v>0.86559085009033609</v>
      </c>
      <c r="T51" s="4">
        <f t="shared" si="17"/>
        <v>-0.62579374986994918</v>
      </c>
      <c r="U51" s="4">
        <f t="shared" si="17"/>
        <v>-2.6250322947695799</v>
      </c>
      <c r="V51" s="4" t="e">
        <f t="shared" si="17"/>
        <v>#VALUE!</v>
      </c>
      <c r="W51" s="4" t="e">
        <f t="shared" si="17"/>
        <v>#VALUE!</v>
      </c>
      <c r="X51" s="4" t="e">
        <f t="shared" si="17"/>
        <v>#VALUE!</v>
      </c>
      <c r="Y51" s="4" t="e">
        <f t="shared" si="17"/>
        <v>#VALUE!</v>
      </c>
      <c r="Z51" s="4" t="e">
        <f t="shared" si="17"/>
        <v>#VALUE!</v>
      </c>
      <c r="AA51" s="4">
        <f t="shared" si="17"/>
        <v>-9.4512391290486484</v>
      </c>
      <c r="AB51" s="4" t="e">
        <f t="shared" si="17"/>
        <v>#VALUE!</v>
      </c>
      <c r="AC51" s="4">
        <f t="shared" si="17"/>
        <v>-8.1298323949157485</v>
      </c>
      <c r="AD51" s="4">
        <f t="shared" si="17"/>
        <v>-5.2460178717257593</v>
      </c>
      <c r="AE51" s="4">
        <f t="shared" si="17"/>
        <v>-5.5430782108395187</v>
      </c>
      <c r="AF51" s="4" t="e">
        <f t="shared" si="17"/>
        <v>#VALUE!</v>
      </c>
      <c r="AG51" s="4" t="e">
        <f t="shared" si="17"/>
        <v>#VALUE!</v>
      </c>
      <c r="AH51" s="4" t="e">
        <f t="shared" si="17"/>
        <v>#VALUE!</v>
      </c>
      <c r="AI51" s="4" t="e">
        <f t="shared" si="17"/>
        <v>#VALUE!</v>
      </c>
      <c r="AJ51" s="4">
        <f t="shared" si="17"/>
        <v>-0.88118805141591094</v>
      </c>
      <c r="AK51" s="4">
        <f t="shared" si="17"/>
        <v>0.71739327579898671</v>
      </c>
      <c r="AL51" s="4">
        <f t="shared" si="17"/>
        <v>-2.6115273682337756</v>
      </c>
      <c r="AM51" s="4" t="e">
        <f t="shared" si="17"/>
        <v>#VALUE!</v>
      </c>
      <c r="AN51" s="4" t="e">
        <f t="shared" si="17"/>
        <v>#VALUE!</v>
      </c>
      <c r="AO51" s="4" t="e">
        <f t="shared" si="17"/>
        <v>#VALUE!</v>
      </c>
      <c r="AP51" s="61">
        <f t="shared" ref="AP51:AQ51" si="18">_xlfn.STDEV.P(AP15:AP18)</f>
        <v>21.572520705513451</v>
      </c>
      <c r="AQ51" s="61">
        <f t="shared" si="18"/>
        <v>9.6932056701813689</v>
      </c>
      <c r="AR51" s="64">
        <v>38</v>
      </c>
      <c r="AS51" s="4">
        <f>_xlfn.STDEV.P(AS15:AS18)</f>
        <v>8.8270113122027968E-2</v>
      </c>
      <c r="AT51" s="4">
        <f t="shared" ref="AT51:AV51" si="19">_xlfn.STDEV.P(AT15:AT18)</f>
        <v>9.7533782804662756</v>
      </c>
      <c r="AU51" s="4">
        <f t="shared" si="19"/>
        <v>3.4394041804707745E-2</v>
      </c>
      <c r="AV51" s="4">
        <f t="shared" si="19"/>
        <v>11.885149355934777</v>
      </c>
    </row>
    <row r="52" spans="2:48" s="67" customFormat="1" x14ac:dyDescent="0.25">
      <c r="C52" s="67" t="s">
        <v>106</v>
      </c>
      <c r="D52" s="69" t="s">
        <v>107</v>
      </c>
      <c r="E52" s="69" t="s">
        <v>107</v>
      </c>
      <c r="F52" s="69" t="s">
        <v>107</v>
      </c>
      <c r="G52" s="69" t="s">
        <v>107</v>
      </c>
      <c r="H52" s="69" t="s">
        <v>107</v>
      </c>
      <c r="I52" s="69" t="s">
        <v>107</v>
      </c>
      <c r="J52" s="69">
        <v>1.7899999999999999E-2</v>
      </c>
      <c r="K52" s="69">
        <v>2.4799999999999999E-2</v>
      </c>
      <c r="L52" s="69">
        <v>3.04E-2</v>
      </c>
      <c r="M52" s="69" t="s">
        <v>107</v>
      </c>
      <c r="N52" s="69" t="s">
        <v>107</v>
      </c>
      <c r="O52" s="69" t="s">
        <v>107</v>
      </c>
      <c r="P52" s="69" t="s">
        <v>107</v>
      </c>
      <c r="Q52" s="72">
        <v>0.18759999999999999</v>
      </c>
      <c r="R52" s="69">
        <v>3.1699999999999999E-2</v>
      </c>
      <c r="S52" s="69">
        <v>1.8700000000000001E-2</v>
      </c>
      <c r="T52" s="69">
        <v>3.2500000000000001E-2</v>
      </c>
      <c r="U52" s="69">
        <v>4.4499999999999998E-2</v>
      </c>
      <c r="V52" s="69">
        <v>5.3900000000000003E-2</v>
      </c>
      <c r="W52" s="69">
        <v>6.6900000000000001E-2</v>
      </c>
      <c r="X52" s="69">
        <v>4.7E-2</v>
      </c>
      <c r="Y52" s="69" t="s">
        <v>107</v>
      </c>
      <c r="Z52" s="69" t="s">
        <v>107</v>
      </c>
      <c r="AA52" s="69">
        <v>1.43E-2</v>
      </c>
      <c r="AB52" s="69" t="s">
        <v>107</v>
      </c>
      <c r="AC52" s="69">
        <v>3.0200000000000001E-2</v>
      </c>
      <c r="AD52" s="69">
        <v>9.7999999999999997E-3</v>
      </c>
      <c r="AE52" s="69">
        <v>2.69E-2</v>
      </c>
      <c r="AF52" s="69">
        <v>6.6000000000000003E-2</v>
      </c>
      <c r="AG52" s="69">
        <v>0.16789999999999999</v>
      </c>
      <c r="AH52" s="69" t="s">
        <v>107</v>
      </c>
      <c r="AI52" s="69" t="s">
        <v>107</v>
      </c>
      <c r="AJ52" s="69">
        <v>1.6199999999999999E-2</v>
      </c>
      <c r="AK52" s="69">
        <v>2.5499999999999998E-2</v>
      </c>
      <c r="AL52" s="69">
        <v>4.1799999999999997E-2</v>
      </c>
      <c r="AM52" s="69">
        <v>9.2600000000000002E-2</v>
      </c>
      <c r="AN52" s="69">
        <v>0.20549999999999999</v>
      </c>
      <c r="AO52" s="69">
        <v>0.14460000000000001</v>
      </c>
      <c r="AP52" s="70">
        <f t="shared" ref="AP52:AQ52" si="20">_xlfn.STDEV.P(AP19:AP22)</f>
        <v>4.1354076412082472</v>
      </c>
      <c r="AQ52" s="70">
        <f t="shared" si="20"/>
        <v>3.8329091347645869</v>
      </c>
      <c r="AR52" s="71">
        <v>54</v>
      </c>
      <c r="AS52" s="68">
        <f>_xlfn.STDEV.P(AS19:AS22)</f>
        <v>0.1927459706767275</v>
      </c>
      <c r="AT52" s="68">
        <f t="shared" ref="AT52:AV52" si="21">_xlfn.STDEV.P(AT19:AT22)</f>
        <v>3.8120307401643294</v>
      </c>
      <c r="AU52" s="68">
        <f t="shared" si="21"/>
        <v>1.1770957841105961E-2</v>
      </c>
      <c r="AV52" s="68">
        <f t="shared" si="21"/>
        <v>4.2628424915208916</v>
      </c>
    </row>
    <row r="53" spans="2:48" x14ac:dyDescent="0.25">
      <c r="B53" t="s">
        <v>39</v>
      </c>
      <c r="C53">
        <v>1</v>
      </c>
      <c r="D53" s="4">
        <f t="shared" ref="D53:AO53" si="22">LN(D24)</f>
        <v>-0.37145161342522287</v>
      </c>
      <c r="E53" s="4">
        <f t="shared" si="22"/>
        <v>-4.172449286572574</v>
      </c>
      <c r="F53" s="4" t="e">
        <f t="shared" si="22"/>
        <v>#VALUE!</v>
      </c>
      <c r="G53" s="4" t="e">
        <f t="shared" si="22"/>
        <v>#VALUE!</v>
      </c>
      <c r="H53" s="4">
        <f t="shared" si="22"/>
        <v>-3.5054243120702422</v>
      </c>
      <c r="I53" s="4">
        <f t="shared" si="22"/>
        <v>-5.3000079348494662</v>
      </c>
      <c r="J53" s="4">
        <f t="shared" si="22"/>
        <v>-2.3741118471202438</v>
      </c>
      <c r="K53" s="4">
        <f t="shared" si="22"/>
        <v>-3.0348136973031599</v>
      </c>
      <c r="L53" s="4">
        <f t="shared" si="22"/>
        <v>-3.2401411060377843</v>
      </c>
      <c r="M53" s="4">
        <f t="shared" si="22"/>
        <v>-4.2610099812478648</v>
      </c>
      <c r="N53" s="4">
        <f t="shared" si="22"/>
        <v>-5.4335640224747186</v>
      </c>
      <c r="O53" s="4" t="e">
        <f t="shared" si="22"/>
        <v>#VALUE!</v>
      </c>
      <c r="P53" s="4" t="e">
        <f t="shared" si="22"/>
        <v>#VALUE!</v>
      </c>
      <c r="Q53" s="4">
        <f t="shared" si="22"/>
        <v>-3.9968600218148138</v>
      </c>
      <c r="R53" s="4">
        <f t="shared" si="22"/>
        <v>-3.9225878200834101</v>
      </c>
      <c r="S53" s="4">
        <f t="shared" si="22"/>
        <v>2.7283927539270838</v>
      </c>
      <c r="T53" s="4">
        <f t="shared" si="22"/>
        <v>2.5428380321306063</v>
      </c>
      <c r="U53" s="4">
        <f t="shared" si="22"/>
        <v>1.710758121522999</v>
      </c>
      <c r="V53" s="4">
        <f t="shared" si="22"/>
        <v>-0.5901664561541955</v>
      </c>
      <c r="W53" s="4">
        <f t="shared" si="22"/>
        <v>-1.3997972678950399</v>
      </c>
      <c r="X53" s="4">
        <f t="shared" si="22"/>
        <v>-3.1522139854470925</v>
      </c>
      <c r="Y53" s="4" t="e">
        <f t="shared" si="22"/>
        <v>#NUM!</v>
      </c>
      <c r="Z53" s="4" t="e">
        <f t="shared" si="22"/>
        <v>#NUM!</v>
      </c>
      <c r="AA53" s="4">
        <f t="shared" si="22"/>
        <v>-5.5924983653955103</v>
      </c>
      <c r="AB53" s="4" t="e">
        <f t="shared" si="22"/>
        <v>#VALUE!</v>
      </c>
      <c r="AC53" s="4" t="e">
        <f t="shared" si="22"/>
        <v>#VALUE!</v>
      </c>
      <c r="AD53" s="4">
        <f t="shared" si="22"/>
        <v>-3.9880655218382324</v>
      </c>
      <c r="AE53" s="4">
        <f t="shared" si="22"/>
        <v>-2.7494160069512961</v>
      </c>
      <c r="AF53" s="4">
        <f t="shared" si="22"/>
        <v>-3.823151858483977</v>
      </c>
      <c r="AG53" s="4">
        <f t="shared" si="22"/>
        <v>-4.6926915578691899</v>
      </c>
      <c r="AH53" s="4" t="e">
        <f t="shared" si="22"/>
        <v>#NUM!</v>
      </c>
      <c r="AI53" s="4" t="e">
        <f t="shared" si="22"/>
        <v>#NUM!</v>
      </c>
      <c r="AJ53" s="4">
        <f t="shared" si="22"/>
        <v>1.0798548913032855</v>
      </c>
      <c r="AK53" s="4">
        <f t="shared" si="22"/>
        <v>3.3027974711122678</v>
      </c>
      <c r="AL53" s="4">
        <f t="shared" si="22"/>
        <v>1.3580508761854113</v>
      </c>
      <c r="AM53" s="4">
        <f t="shared" si="22"/>
        <v>0.24770775667497805</v>
      </c>
      <c r="AN53" s="4">
        <f t="shared" si="22"/>
        <v>-1.5304198113235361</v>
      </c>
      <c r="AO53" s="4">
        <f t="shared" si="22"/>
        <v>-2.6428151112181322</v>
      </c>
      <c r="AP53" s="61">
        <f t="shared" ref="AP53:AQ53" si="23">_xlfn.STDEV.P(AP23:AP26)</f>
        <v>12.611270133621115</v>
      </c>
      <c r="AQ53" s="61">
        <f t="shared" si="23"/>
        <v>5.9830711736876871</v>
      </c>
      <c r="AR53" s="64">
        <v>57</v>
      </c>
      <c r="AS53" s="4">
        <f>_xlfn.STDEV.P(AS23:AS26)</f>
        <v>0.21997773679469632</v>
      </c>
      <c r="AT53" s="4">
        <f t="shared" ref="AT53:AV53" si="24">_xlfn.STDEV.P(AT23:AT26)</f>
        <v>5.8646010249585414</v>
      </c>
      <c r="AU53" s="4">
        <f t="shared" si="24"/>
        <v>2.7575411464292651E-2</v>
      </c>
      <c r="AV53" s="4">
        <f t="shared" si="24"/>
        <v>6.6051556319261522</v>
      </c>
    </row>
    <row r="54" spans="2:48" x14ac:dyDescent="0.25">
      <c r="C54">
        <v>5</v>
      </c>
      <c r="D54" s="4">
        <f t="shared" ref="D54:AO54" si="25">LN(D28)</f>
        <v>-4.5226938003486223</v>
      </c>
      <c r="E54" s="4" t="e">
        <f t="shared" si="25"/>
        <v>#VALUE!</v>
      </c>
      <c r="F54" s="4" t="e">
        <f t="shared" si="25"/>
        <v>#VALUE!</v>
      </c>
      <c r="G54" s="4" t="e">
        <f t="shared" si="25"/>
        <v>#VALUE!</v>
      </c>
      <c r="H54" s="4">
        <f t="shared" si="25"/>
        <v>-5.9326223936935518</v>
      </c>
      <c r="I54" s="4">
        <f t="shared" si="25"/>
        <v>-5.6209723636405418</v>
      </c>
      <c r="J54" s="4">
        <f t="shared" si="25"/>
        <v>-2.6638975069182576</v>
      </c>
      <c r="K54" s="4">
        <f t="shared" si="25"/>
        <v>-3.264660834574538</v>
      </c>
      <c r="L54" s="4">
        <f t="shared" si="25"/>
        <v>-3.6138023688662728</v>
      </c>
      <c r="M54" s="4">
        <f t="shared" si="25"/>
        <v>-4.5920753523373552</v>
      </c>
      <c r="N54" s="4">
        <f t="shared" si="25"/>
        <v>-5.7154660634806351</v>
      </c>
      <c r="O54" s="4" t="e">
        <f t="shared" si="25"/>
        <v>#VALUE!</v>
      </c>
      <c r="P54" s="4" t="e">
        <f t="shared" si="25"/>
        <v>#VALUE!</v>
      </c>
      <c r="Q54" s="4">
        <f t="shared" si="25"/>
        <v>-4.5072980003537158</v>
      </c>
      <c r="R54" s="4">
        <f t="shared" si="25"/>
        <v>-4.2878411879048626</v>
      </c>
      <c r="S54" s="4">
        <f t="shared" si="25"/>
        <v>2.4151846410751321</v>
      </c>
      <c r="T54" s="4">
        <f t="shared" si="25"/>
        <v>2.2043952626856465</v>
      </c>
      <c r="U54" s="4">
        <f t="shared" si="25"/>
        <v>1.2820551764481622</v>
      </c>
      <c r="V54" s="4">
        <f t="shared" si="25"/>
        <v>-1.2127527310302793</v>
      </c>
      <c r="W54" s="4">
        <f t="shared" si="25"/>
        <v>-1.8204224929084856</v>
      </c>
      <c r="X54" s="4">
        <f t="shared" si="25"/>
        <v>-3.6940495644228548</v>
      </c>
      <c r="Y54" s="4" t="e">
        <f t="shared" si="25"/>
        <v>#NUM!</v>
      </c>
      <c r="Z54" s="4" t="e">
        <f t="shared" si="25"/>
        <v>#NUM!</v>
      </c>
      <c r="AA54" s="4" t="e">
        <f t="shared" si="25"/>
        <v>#VALUE!</v>
      </c>
      <c r="AB54" s="4" t="e">
        <f t="shared" si="25"/>
        <v>#VALUE!</v>
      </c>
      <c r="AC54" s="4" t="e">
        <f t="shared" si="25"/>
        <v>#VALUE!</v>
      </c>
      <c r="AD54" s="4">
        <f>LN(AD28)</f>
        <v>-4.2893298858073274</v>
      </c>
      <c r="AE54" s="4">
        <f t="shared" si="25"/>
        <v>-3.1627395519451005</v>
      </c>
      <c r="AF54" s="4">
        <f t="shared" si="25"/>
        <v>-4.4480683943468744</v>
      </c>
      <c r="AG54" s="4" t="e">
        <f t="shared" si="25"/>
        <v>#VALUE!</v>
      </c>
      <c r="AH54" s="4" t="e">
        <f t="shared" si="25"/>
        <v>#NUM!</v>
      </c>
      <c r="AI54" s="4" t="e">
        <f t="shared" si="25"/>
        <v>#NUM!</v>
      </c>
      <c r="AJ54" s="4">
        <f t="shared" si="25"/>
        <v>0.54417384095224897</v>
      </c>
      <c r="AK54" s="4">
        <f t="shared" si="25"/>
        <v>2.7266189957776472</v>
      </c>
      <c r="AL54" s="4">
        <f t="shared" si="25"/>
        <v>0.63624658841818527</v>
      </c>
      <c r="AM54" s="4">
        <f t="shared" si="25"/>
        <v>-0.78410600549830389</v>
      </c>
      <c r="AN54" s="4">
        <f t="shared" si="25"/>
        <v>-2.8552617850842124</v>
      </c>
      <c r="AO54" s="4">
        <f t="shared" si="25"/>
        <v>-4.3444219695753548</v>
      </c>
      <c r="AP54" s="61">
        <f t="shared" ref="AP54:AQ54" si="26">_xlfn.STDEV.P(AP27:AP30)</f>
        <v>10.69402750562489</v>
      </c>
      <c r="AQ54" s="61">
        <f t="shared" si="26"/>
        <v>5.5622325839925972</v>
      </c>
      <c r="AR54" s="64">
        <v>61</v>
      </c>
      <c r="AS54" s="4">
        <f>_xlfn.STDEV.P(AS27:AS30)</f>
        <v>3.9079475940230611E-2</v>
      </c>
      <c r="AT54" s="4">
        <f t="shared" ref="AT54:AV54" si="27">_xlfn.STDEV.P(AT27:AT30)</f>
        <v>5.5239581260292248</v>
      </c>
      <c r="AU54" s="4">
        <f t="shared" si="27"/>
        <v>1.2530429767873177E-2</v>
      </c>
      <c r="AV54" s="4">
        <f t="shared" si="27"/>
        <v>5.2043749486045074</v>
      </c>
    </row>
    <row r="55" spans="2:48" x14ac:dyDescent="0.25">
      <c r="C55">
        <v>17</v>
      </c>
      <c r="D55" s="4">
        <f t="shared" ref="D55:AO55" si="28">LN(D32)</f>
        <v>-4.7681669948406631</v>
      </c>
      <c r="E55" s="4" t="e">
        <f t="shared" si="28"/>
        <v>#VALUE!</v>
      </c>
      <c r="F55" s="4" t="e">
        <f t="shared" si="28"/>
        <v>#VALUE!</v>
      </c>
      <c r="G55" s="4" t="e">
        <f t="shared" si="28"/>
        <v>#VALUE!</v>
      </c>
      <c r="H55" s="4">
        <f t="shared" si="28"/>
        <v>-6.6251015538410902</v>
      </c>
      <c r="I55" s="4">
        <f t="shared" si="28"/>
        <v>-6.8319997456700774</v>
      </c>
      <c r="J55" s="4">
        <f t="shared" si="28"/>
        <v>-2.4289625770133734</v>
      </c>
      <c r="K55" s="4">
        <f t="shared" si="28"/>
        <v>-3.2208940926106258</v>
      </c>
      <c r="L55" s="4">
        <f t="shared" si="28"/>
        <v>-3.791295760239155</v>
      </c>
      <c r="M55" s="4">
        <f t="shared" si="28"/>
        <v>-5.2448163594262391</v>
      </c>
      <c r="N55" s="4" t="e">
        <f t="shared" si="28"/>
        <v>#VALUE!</v>
      </c>
      <c r="O55" s="4" t="e">
        <f t="shared" si="28"/>
        <v>#VALUE!</v>
      </c>
      <c r="P55" s="4" t="e">
        <f t="shared" si="28"/>
        <v>#VALUE!</v>
      </c>
      <c r="Q55" s="4" t="e">
        <f t="shared" si="28"/>
        <v>#VALUE!</v>
      </c>
      <c r="R55" s="4">
        <f t="shared" si="28"/>
        <v>-4.1655629645339483</v>
      </c>
      <c r="S55" s="4">
        <f t="shared" si="28"/>
        <v>2.5709852499623418</v>
      </c>
      <c r="T55" s="4">
        <f t="shared" si="28"/>
        <v>2.2470955266910644</v>
      </c>
      <c r="U55" s="4">
        <f t="shared" si="28"/>
        <v>0.97120070639890788</v>
      </c>
      <c r="V55" s="4">
        <f t="shared" si="28"/>
        <v>-1.723797199036073</v>
      </c>
      <c r="W55" s="4">
        <f t="shared" si="28"/>
        <v>-2.9081715677519036</v>
      </c>
      <c r="X55" s="4">
        <f t="shared" si="28"/>
        <v>-4.7492853947078197</v>
      </c>
      <c r="Y55" s="4" t="e">
        <f t="shared" si="28"/>
        <v>#NUM!</v>
      </c>
      <c r="Z55" s="4" t="e">
        <f t="shared" si="28"/>
        <v>#NUM!</v>
      </c>
      <c r="AA55" s="4" t="e">
        <f t="shared" si="28"/>
        <v>#VALUE!</v>
      </c>
      <c r="AB55" s="4" t="e">
        <f t="shared" si="28"/>
        <v>#VALUE!</v>
      </c>
      <c r="AC55" s="4" t="e">
        <f t="shared" si="28"/>
        <v>#VALUE!</v>
      </c>
      <c r="AD55" s="4">
        <f t="shared" si="28"/>
        <v>-3.9643684106335031</v>
      </c>
      <c r="AE55" s="4">
        <f t="shared" si="28"/>
        <v>-3.3764422324518488</v>
      </c>
      <c r="AF55" s="4">
        <f t="shared" si="28"/>
        <v>-5.3156665158925218</v>
      </c>
      <c r="AG55" s="4" t="e">
        <f t="shared" si="28"/>
        <v>#VALUE!</v>
      </c>
      <c r="AH55" s="4" t="e">
        <f t="shared" si="28"/>
        <v>#NUM!</v>
      </c>
      <c r="AI55" s="4" t="e">
        <f t="shared" si="28"/>
        <v>#NUM!</v>
      </c>
      <c r="AJ55" s="4">
        <f t="shared" si="28"/>
        <v>0.87051197575486328</v>
      </c>
      <c r="AK55" s="4">
        <f t="shared" si="28"/>
        <v>3.0036234937820172</v>
      </c>
      <c r="AL55" s="4">
        <f t="shared" si="28"/>
        <v>0.24461085903869334</v>
      </c>
      <c r="AM55" s="4">
        <f t="shared" si="28"/>
        <v>-2.5117597712414881</v>
      </c>
      <c r="AN55" s="4" t="e">
        <f t="shared" si="28"/>
        <v>#VALUE!</v>
      </c>
      <c r="AO55" s="4" t="e">
        <f t="shared" si="28"/>
        <v>#VALUE!</v>
      </c>
      <c r="AP55" s="61">
        <f t="shared" ref="AP55:AQ55" si="29">_xlfn.STDEV.P(AP31:AP34)</f>
        <v>7.5697084797139791</v>
      </c>
      <c r="AQ55" s="61">
        <f t="shared" si="29"/>
        <v>3.6517812954473472</v>
      </c>
      <c r="AR55" s="64">
        <v>73</v>
      </c>
      <c r="AS55" s="4">
        <f>_xlfn.STDEV.P(AS31:AS34)</f>
        <v>3.4251693415629079E-2</v>
      </c>
      <c r="AT55" s="4">
        <f t="shared" ref="AT55:AV55" si="30">_xlfn.STDEV.P(AT31:AT34)</f>
        <v>3.6192717924839193</v>
      </c>
      <c r="AU55" s="4">
        <f t="shared" si="30"/>
        <v>8.9240976239579727E-3</v>
      </c>
      <c r="AV55" s="4">
        <f t="shared" si="30"/>
        <v>3.9904198914708431</v>
      </c>
    </row>
    <row r="56" spans="2:48" x14ac:dyDescent="0.25">
      <c r="C56">
        <v>45</v>
      </c>
      <c r="D56" s="4">
        <f t="shared" ref="D56:AO56" si="31">LN(D36)</f>
        <v>-4.7492502483087682</v>
      </c>
      <c r="E56" s="4" t="e">
        <f t="shared" si="31"/>
        <v>#VALUE!</v>
      </c>
      <c r="F56" s="4" t="e">
        <f t="shared" si="31"/>
        <v>#VALUE!</v>
      </c>
      <c r="G56" s="4" t="e">
        <f t="shared" si="31"/>
        <v>#VALUE!</v>
      </c>
      <c r="H56" s="4">
        <f t="shared" si="31"/>
        <v>-6.0126087245518152</v>
      </c>
      <c r="I56" s="4">
        <f t="shared" si="31"/>
        <v>-6.1738747612088636</v>
      </c>
      <c r="J56" s="4">
        <f t="shared" si="31"/>
        <v>-2.8143697804084624</v>
      </c>
      <c r="K56" s="4">
        <f t="shared" si="31"/>
        <v>-3.7692274682178755</v>
      </c>
      <c r="L56" s="4">
        <f t="shared" si="31"/>
        <v>-4.6064984927711263</v>
      </c>
      <c r="M56" s="4" t="e">
        <f t="shared" si="31"/>
        <v>#VALUE!</v>
      </c>
      <c r="N56" s="4" t="e">
        <f t="shared" si="31"/>
        <v>#VALUE!</v>
      </c>
      <c r="O56" s="4" t="e">
        <f t="shared" si="31"/>
        <v>#VALUE!</v>
      </c>
      <c r="P56" s="4" t="e">
        <f t="shared" si="31"/>
        <v>#VALUE!</v>
      </c>
      <c r="Q56" s="4" t="e">
        <f t="shared" si="31"/>
        <v>#VALUE!</v>
      </c>
      <c r="R56" s="4">
        <f t="shared" si="31"/>
        <v>-4.950369742333689</v>
      </c>
      <c r="S56" s="4">
        <f t="shared" si="31"/>
        <v>2.1489413135483879</v>
      </c>
      <c r="T56" s="4">
        <f t="shared" si="31"/>
        <v>1.3880193260210565</v>
      </c>
      <c r="U56" s="4">
        <f t="shared" si="31"/>
        <v>-0.18976542199399846</v>
      </c>
      <c r="V56" s="4">
        <f t="shared" si="31"/>
        <v>-3.4562986902509785</v>
      </c>
      <c r="W56" s="4">
        <f t="shared" si="31"/>
        <v>-4.924500416725075</v>
      </c>
      <c r="X56" s="4" t="e">
        <f t="shared" si="31"/>
        <v>#VALUE!</v>
      </c>
      <c r="Y56" s="4" t="e">
        <f t="shared" si="31"/>
        <v>#NUM!</v>
      </c>
      <c r="Z56" s="4" t="e">
        <f t="shared" si="31"/>
        <v>#NUM!</v>
      </c>
      <c r="AA56" s="4" t="e">
        <f t="shared" si="31"/>
        <v>#VALUE!</v>
      </c>
      <c r="AB56" s="4" t="e">
        <f t="shared" si="31"/>
        <v>#VALUE!</v>
      </c>
      <c r="AC56" s="4" t="e">
        <f t="shared" si="31"/>
        <v>#VALUE!</v>
      </c>
      <c r="AD56" s="4">
        <f t="shared" si="31"/>
        <v>-4.3436266983717831</v>
      </c>
      <c r="AE56" s="4">
        <f t="shared" si="31"/>
        <v>-4.1559017657793502</v>
      </c>
      <c r="AF56" s="4" t="e">
        <f t="shared" si="31"/>
        <v>#VALUE!</v>
      </c>
      <c r="AG56" s="4" t="e">
        <f t="shared" si="31"/>
        <v>#VALUE!</v>
      </c>
      <c r="AH56" s="4" t="e">
        <f t="shared" si="31"/>
        <v>#NUM!</v>
      </c>
      <c r="AI56" s="4" t="e">
        <f t="shared" si="31"/>
        <v>#NUM!</v>
      </c>
      <c r="AJ56" s="4">
        <f t="shared" si="31"/>
        <v>0.26056463652010992</v>
      </c>
      <c r="AK56" s="4">
        <f t="shared" si="31"/>
        <v>2.1810763649831242</v>
      </c>
      <c r="AL56" s="4">
        <f t="shared" si="31"/>
        <v>-1.2820556317492811</v>
      </c>
      <c r="AM56" s="4" t="e">
        <f t="shared" si="31"/>
        <v>#VALUE!</v>
      </c>
      <c r="AN56" s="4" t="e">
        <f t="shared" si="31"/>
        <v>#VALUE!</v>
      </c>
      <c r="AO56" s="4" t="e">
        <f t="shared" si="31"/>
        <v>#VALUE!</v>
      </c>
      <c r="AP56" s="61">
        <f t="shared" ref="AP56:AQ56" si="32">_xlfn.STDEV.P(AP35:AP38)</f>
        <v>3.7945842349411461</v>
      </c>
      <c r="AQ56" s="61">
        <f t="shared" si="32"/>
        <v>2.1440204049455893</v>
      </c>
      <c r="AR56" s="64">
        <v>101</v>
      </c>
      <c r="AS56" s="4">
        <f>_xlfn.STDEV.P(AS35:AS38)</f>
        <v>2.1342380380947271E-2</v>
      </c>
      <c r="AT56" s="4">
        <f t="shared" ref="AT56:AV56" si="33">_xlfn.STDEV.P(AT35:AT38)</f>
        <v>2.1242155434919954</v>
      </c>
      <c r="AU56" s="4">
        <f t="shared" si="33"/>
        <v>4.8787556969136598E-3</v>
      </c>
      <c r="AV56" s="4">
        <f t="shared" si="33"/>
        <v>1.6520505869727959</v>
      </c>
    </row>
    <row r="57" spans="2:48" x14ac:dyDescent="0.25">
      <c r="C57">
        <v>80</v>
      </c>
      <c r="D57" s="4">
        <f t="shared" ref="D57:AO57" si="34">LN(D40)</f>
        <v>-4.3447469288804363</v>
      </c>
      <c r="E57" s="4" t="e">
        <f t="shared" si="34"/>
        <v>#VALUE!</v>
      </c>
      <c r="F57" s="4" t="e">
        <f t="shared" si="34"/>
        <v>#VALUE!</v>
      </c>
      <c r="G57" s="4" t="e">
        <f t="shared" si="34"/>
        <v>#VALUE!</v>
      </c>
      <c r="H57" s="4" t="e">
        <f t="shared" si="34"/>
        <v>#VALUE!</v>
      </c>
      <c r="I57" s="4" t="e">
        <f t="shared" si="34"/>
        <v>#VALUE!</v>
      </c>
      <c r="J57" s="4">
        <f t="shared" si="34"/>
        <v>-4.4127707213097507</v>
      </c>
      <c r="K57" s="4">
        <f t="shared" si="34"/>
        <v>-5.8395950142535034</v>
      </c>
      <c r="L57" s="4" t="e">
        <f t="shared" si="34"/>
        <v>#VALUE!</v>
      </c>
      <c r="M57" s="4" t="e">
        <f t="shared" si="34"/>
        <v>#VALUE!</v>
      </c>
      <c r="N57" s="4" t="e">
        <f t="shared" si="34"/>
        <v>#VALUE!</v>
      </c>
      <c r="O57" s="4" t="e">
        <f t="shared" si="34"/>
        <v>#VALUE!</v>
      </c>
      <c r="P57" s="4" t="e">
        <f t="shared" si="34"/>
        <v>#VALUE!</v>
      </c>
      <c r="Q57" s="4" t="e">
        <f t="shared" si="34"/>
        <v>#VALUE!</v>
      </c>
      <c r="R57" s="4" t="e">
        <f t="shared" si="34"/>
        <v>#VALUE!</v>
      </c>
      <c r="S57" s="4">
        <f t="shared" si="34"/>
        <v>0.62236558011319087</v>
      </c>
      <c r="T57" s="4">
        <f t="shared" si="34"/>
        <v>-0.98203609592431673</v>
      </c>
      <c r="U57" s="4">
        <f t="shared" si="34"/>
        <v>-2.7116409137361748</v>
      </c>
      <c r="V57" s="4" t="e">
        <f t="shared" si="34"/>
        <v>#VALUE!</v>
      </c>
      <c r="W57" s="4" t="e">
        <f t="shared" si="34"/>
        <v>#VALUE!</v>
      </c>
      <c r="X57" s="4" t="e">
        <f t="shared" si="34"/>
        <v>#VALUE!</v>
      </c>
      <c r="Y57" s="4" t="e">
        <f t="shared" si="34"/>
        <v>#NUM!</v>
      </c>
      <c r="Z57" s="4" t="e">
        <f t="shared" si="34"/>
        <v>#NUM!</v>
      </c>
      <c r="AA57" s="4" t="e">
        <f t="shared" si="34"/>
        <v>#VALUE!</v>
      </c>
      <c r="AB57" s="4" t="e">
        <f t="shared" si="34"/>
        <v>#VALUE!</v>
      </c>
      <c r="AC57" s="4" t="e">
        <f t="shared" si="34"/>
        <v>#VALUE!</v>
      </c>
      <c r="AD57" s="4" t="e">
        <f t="shared" si="34"/>
        <v>#VALUE!</v>
      </c>
      <c r="AE57" s="4" t="e">
        <f t="shared" si="34"/>
        <v>#VALUE!</v>
      </c>
      <c r="AF57" s="4" t="e">
        <f t="shared" si="34"/>
        <v>#VALUE!</v>
      </c>
      <c r="AG57" s="4" t="e">
        <f t="shared" si="34"/>
        <v>#VALUE!</v>
      </c>
      <c r="AH57" s="4" t="e">
        <f t="shared" si="34"/>
        <v>#NUM!</v>
      </c>
      <c r="AI57" s="4" t="e">
        <f t="shared" si="34"/>
        <v>#NUM!</v>
      </c>
      <c r="AJ57" s="4">
        <f t="shared" si="34"/>
        <v>-1.1107173711631813</v>
      </c>
      <c r="AK57" s="4">
        <f t="shared" si="34"/>
        <v>0.17330251414109904</v>
      </c>
      <c r="AL57" s="4">
        <f t="shared" si="34"/>
        <v>-3.4589551692124227</v>
      </c>
      <c r="AM57" s="4" t="e">
        <f t="shared" si="34"/>
        <v>#VALUE!</v>
      </c>
      <c r="AN57" s="4" t="e">
        <f t="shared" si="34"/>
        <v>#VALUE!</v>
      </c>
      <c r="AO57" s="4" t="e">
        <f t="shared" si="34"/>
        <v>#VALUE!</v>
      </c>
      <c r="AP57" s="61">
        <f t="shared" ref="AP57:AQ57" si="35">_xlfn.STDEV.P(AP39:AP42)</f>
        <v>1.1196871489615341</v>
      </c>
      <c r="AQ57" s="61">
        <f t="shared" si="35"/>
        <v>0.541168432237636</v>
      </c>
      <c r="AR57" s="64">
        <v>136</v>
      </c>
      <c r="AS57" s="4">
        <f>_xlfn.STDEV.P(AS39:AS42)</f>
        <v>8.1950315739682412E-3</v>
      </c>
      <c r="AT57" s="4">
        <f t="shared" ref="AT57:AV57" si="36">_xlfn.STDEV.P(AT39:AT42)</f>
        <v>0.53671713853202263</v>
      </c>
      <c r="AU57" s="4">
        <f t="shared" si="36"/>
        <v>4.1379234155166479E-3</v>
      </c>
      <c r="AV57" s="4">
        <f t="shared" si="36"/>
        <v>0.58153109990650076</v>
      </c>
    </row>
    <row r="58" spans="2:48" s="67" customFormat="1" x14ac:dyDescent="0.25">
      <c r="C58" s="67" t="s">
        <v>106</v>
      </c>
      <c r="D58" s="69">
        <v>2.53E-2</v>
      </c>
      <c r="E58" s="69" t="s">
        <v>107</v>
      </c>
      <c r="F58" s="69" t="s">
        <v>107</v>
      </c>
      <c r="G58" s="69" t="s">
        <v>107</v>
      </c>
      <c r="H58" s="69">
        <v>3.4700000000000002E-2</v>
      </c>
      <c r="I58" s="69">
        <v>1.7399999999999999E-2</v>
      </c>
      <c r="J58" s="69">
        <v>2.3300000000000001E-2</v>
      </c>
      <c r="K58" s="69">
        <v>3.32E-2</v>
      </c>
      <c r="L58" s="69">
        <v>2.8500000000000001E-2</v>
      </c>
      <c r="M58" s="69">
        <v>5.9900000000000002E-2</v>
      </c>
      <c r="N58" s="72">
        <v>7.0499999999999993E-2</v>
      </c>
      <c r="O58" s="69" t="s">
        <v>107</v>
      </c>
      <c r="P58" s="69" t="s">
        <v>107</v>
      </c>
      <c r="Q58" s="72">
        <v>0.12759999999999999</v>
      </c>
      <c r="R58" s="69">
        <v>2.06E-2</v>
      </c>
      <c r="S58" s="69">
        <v>2.4199999999999999E-2</v>
      </c>
      <c r="T58" s="69">
        <v>4.2099999999999999E-2</v>
      </c>
      <c r="U58" s="69">
        <v>5.33E-2</v>
      </c>
      <c r="V58" s="69">
        <v>6.1499999999999999E-2</v>
      </c>
      <c r="W58" s="69">
        <v>7.9100000000000004E-2</v>
      </c>
      <c r="X58" s="69">
        <v>9.7100000000000006E-2</v>
      </c>
      <c r="Y58" s="69" t="s">
        <v>107</v>
      </c>
      <c r="Z58" s="69" t="s">
        <v>107</v>
      </c>
      <c r="AA58" s="69" t="s">
        <v>107</v>
      </c>
      <c r="AB58" s="69" t="s">
        <v>107</v>
      </c>
      <c r="AC58" s="67" t="s">
        <v>107</v>
      </c>
      <c r="AD58" s="69">
        <v>5.4000000000000003E-3</v>
      </c>
      <c r="AE58" s="69">
        <v>2.9100000000000001E-2</v>
      </c>
      <c r="AF58" s="69">
        <v>8.8400000000000006E-2</v>
      </c>
      <c r="AG58" s="69" t="s">
        <v>107</v>
      </c>
      <c r="AH58" s="69" t="s">
        <v>107</v>
      </c>
      <c r="AI58" s="67" t="s">
        <v>107</v>
      </c>
      <c r="AJ58" s="69">
        <v>2.46E-2</v>
      </c>
      <c r="AK58" s="69">
        <v>3.5999999999999997E-2</v>
      </c>
      <c r="AL58" s="69">
        <v>5.7700000000000001E-2</v>
      </c>
      <c r="AM58" s="69">
        <v>0.16589999999999999</v>
      </c>
      <c r="AN58" s="72">
        <v>0.33119999999999999</v>
      </c>
      <c r="AO58" s="72">
        <v>0.4254</v>
      </c>
      <c r="AP58" s="70"/>
      <c r="AQ58" s="70"/>
      <c r="AR58" s="70"/>
    </row>
    <row r="59" spans="2:48" x14ac:dyDescent="0.25">
      <c r="B59" t="s">
        <v>40</v>
      </c>
      <c r="C59">
        <v>1</v>
      </c>
      <c r="D59" s="4">
        <f t="shared" ref="D59:AO59" si="37">LN(D25)</f>
        <v>-0.84520247220701794</v>
      </c>
      <c r="E59" s="4">
        <f t="shared" si="37"/>
        <v>-4.9541257347469632</v>
      </c>
      <c r="F59" s="4" t="e">
        <f t="shared" si="37"/>
        <v>#VALUE!</v>
      </c>
      <c r="G59" s="4" t="e">
        <f t="shared" si="37"/>
        <v>#VALUE!</v>
      </c>
      <c r="H59" s="4">
        <f t="shared" si="37"/>
        <v>-4.1992350088493007</v>
      </c>
      <c r="I59" s="4">
        <f t="shared" si="37"/>
        <v>-5.915336803645034</v>
      </c>
      <c r="J59" s="4">
        <f t="shared" si="37"/>
        <v>-2.7378234107157269</v>
      </c>
      <c r="K59" s="4">
        <f t="shared" si="37"/>
        <v>-3.5934195183288962</v>
      </c>
      <c r="L59" s="4">
        <f t="shared" si="37"/>
        <v>-3.750482543458757</v>
      </c>
      <c r="M59" s="4">
        <f t="shared" si="37"/>
        <v>-4.9029605065607527</v>
      </c>
      <c r="N59" s="4">
        <f t="shared" si="37"/>
        <v>-5.8532667973758654</v>
      </c>
      <c r="O59" s="4" t="e">
        <f t="shared" si="37"/>
        <v>#VALUE!</v>
      </c>
      <c r="P59" s="4" t="e">
        <f t="shared" si="37"/>
        <v>#VALUE!</v>
      </c>
      <c r="Q59" s="4">
        <f t="shared" si="37"/>
        <v>-4.350858941651941</v>
      </c>
      <c r="R59" s="4">
        <f t="shared" si="37"/>
        <v>-4.4628534592023303</v>
      </c>
      <c r="S59" s="4">
        <f t="shared" si="37"/>
        <v>2.3126243723141418</v>
      </c>
      <c r="T59" s="4">
        <f t="shared" si="37"/>
        <v>2.0376579064300517</v>
      </c>
      <c r="U59" s="4">
        <f t="shared" si="37"/>
        <v>1.3203757618592205</v>
      </c>
      <c r="V59" s="4">
        <f t="shared" si="37"/>
        <v>-1.248473565476516</v>
      </c>
      <c r="W59" s="4">
        <f t="shared" si="37"/>
        <v>-2.0658559984840554</v>
      </c>
      <c r="X59" s="4">
        <f t="shared" si="37"/>
        <v>-3.8369859330492218</v>
      </c>
      <c r="Y59" s="4" t="e">
        <f t="shared" si="37"/>
        <v>#NUM!</v>
      </c>
      <c r="Z59" s="4" t="e">
        <f t="shared" si="37"/>
        <v>#NUM!</v>
      </c>
      <c r="AA59" s="4" t="e">
        <f t="shared" si="37"/>
        <v>#VALUE!</v>
      </c>
      <c r="AB59" s="4" t="e">
        <f t="shared" si="37"/>
        <v>#VALUE!</v>
      </c>
      <c r="AC59" s="4" t="e">
        <f t="shared" si="37"/>
        <v>#VALUE!</v>
      </c>
      <c r="AD59" s="4">
        <f t="shared" si="37"/>
        <v>-4.5125265128149916</v>
      </c>
      <c r="AE59" s="4">
        <f t="shared" si="37"/>
        <v>-3.5243762268766035</v>
      </c>
      <c r="AF59" s="4">
        <f t="shared" si="37"/>
        <v>-4.6141300609680593</v>
      </c>
      <c r="AG59" s="4">
        <f t="shared" si="37"/>
        <v>-5.1957037714217371</v>
      </c>
      <c r="AH59" s="4" t="e">
        <f t="shared" si="37"/>
        <v>#NUM!</v>
      </c>
      <c r="AI59" s="4" t="e">
        <f t="shared" si="37"/>
        <v>#NUM!</v>
      </c>
      <c r="AJ59" s="4">
        <f t="shared" si="37"/>
        <v>0.50582984980591328</v>
      </c>
      <c r="AK59" s="4">
        <f t="shared" si="37"/>
        <v>2.790677601187765</v>
      </c>
      <c r="AL59" s="4">
        <f t="shared" si="37"/>
        <v>0.92913757782931194</v>
      </c>
      <c r="AM59" s="4">
        <f t="shared" si="37"/>
        <v>-0.30657562850164649</v>
      </c>
      <c r="AN59" s="4">
        <f t="shared" si="37"/>
        <v>-1.9911572282426362</v>
      </c>
      <c r="AO59" s="4">
        <f t="shared" si="37"/>
        <v>-3.0145966033680378</v>
      </c>
      <c r="AP59" s="61"/>
      <c r="AQ59" s="61"/>
      <c r="AR59" s="61"/>
    </row>
    <row r="60" spans="2:48" x14ac:dyDescent="0.25">
      <c r="C60">
        <v>5</v>
      </c>
      <c r="D60" s="4">
        <f t="shared" ref="D60:AO60" si="38">LN(D29)</f>
        <v>-4.6550573365001107</v>
      </c>
      <c r="E60" s="4" t="e">
        <f t="shared" si="38"/>
        <v>#VALUE!</v>
      </c>
      <c r="F60" s="4" t="e">
        <f t="shared" si="38"/>
        <v>#VALUE!</v>
      </c>
      <c r="G60" s="4" t="e">
        <f t="shared" si="38"/>
        <v>#VALUE!</v>
      </c>
      <c r="H60" s="4">
        <f t="shared" si="38"/>
        <v>-6.2473761424079779</v>
      </c>
      <c r="I60" s="4">
        <f t="shared" si="38"/>
        <v>-5.9816155892674505</v>
      </c>
      <c r="J60" s="4">
        <f t="shared" si="38"/>
        <v>-3.0553666810449425</v>
      </c>
      <c r="K60" s="4">
        <f t="shared" si="38"/>
        <v>-3.825899605055473</v>
      </c>
      <c r="L60" s="4">
        <f t="shared" si="38"/>
        <v>-4.1186242638067947</v>
      </c>
      <c r="M60" s="4">
        <f t="shared" si="38"/>
        <v>-5.172321682238219</v>
      </c>
      <c r="N60" s="4" t="e">
        <f t="shared" si="38"/>
        <v>#VALUE!</v>
      </c>
      <c r="O60" s="4" t="e">
        <f t="shared" si="38"/>
        <v>#VALUE!</v>
      </c>
      <c r="P60" s="4" t="e">
        <f t="shared" si="38"/>
        <v>#VALUE!</v>
      </c>
      <c r="Q60" s="4">
        <f t="shared" si="38"/>
        <v>-5.1200934743716733</v>
      </c>
      <c r="R60" s="4">
        <f t="shared" si="38"/>
        <v>-4.8279879605978797</v>
      </c>
      <c r="S60" s="4">
        <f t="shared" si="38"/>
        <v>1.994208216818653</v>
      </c>
      <c r="T60" s="4">
        <f t="shared" si="38"/>
        <v>1.576621206350866</v>
      </c>
      <c r="U60" s="4">
        <f t="shared" si="38"/>
        <v>0.64777159289120256</v>
      </c>
      <c r="V60" s="4">
        <f t="shared" si="38"/>
        <v>-1.8688867888418628</v>
      </c>
      <c r="W60" s="4">
        <f t="shared" si="38"/>
        <v>-2.6566210620215513</v>
      </c>
      <c r="X60" s="4">
        <f t="shared" si="38"/>
        <v>-4.3062004934971716</v>
      </c>
      <c r="Y60" s="4" t="e">
        <f t="shared" si="38"/>
        <v>#NUM!</v>
      </c>
      <c r="Z60" s="4" t="e">
        <f t="shared" si="38"/>
        <v>#NUM!</v>
      </c>
      <c r="AA60" s="4" t="e">
        <f t="shared" si="38"/>
        <v>#VALUE!</v>
      </c>
      <c r="AB60" s="4" t="e">
        <f t="shared" si="38"/>
        <v>#VALUE!</v>
      </c>
      <c r="AC60" s="4" t="e">
        <f t="shared" si="38"/>
        <v>#VALUE!</v>
      </c>
      <c r="AD60" s="4">
        <f t="shared" si="38"/>
        <v>-4.7373249151534411</v>
      </c>
      <c r="AE60" s="4">
        <f t="shared" si="38"/>
        <v>-3.7909544211089981</v>
      </c>
      <c r="AF60" s="4">
        <f t="shared" si="38"/>
        <v>-5.0495460245802102</v>
      </c>
      <c r="AG60" s="4" t="e">
        <f t="shared" si="38"/>
        <v>#VALUE!</v>
      </c>
      <c r="AH60" s="4" t="e">
        <f t="shared" si="38"/>
        <v>#NUM!</v>
      </c>
      <c r="AI60" s="4" t="e">
        <f t="shared" si="38"/>
        <v>#NUM!</v>
      </c>
      <c r="AJ60" s="4">
        <f t="shared" si="38"/>
        <v>-4.7703847292987094E-2</v>
      </c>
      <c r="AK60" s="4">
        <f t="shared" si="38"/>
        <v>2.0688077853485125</v>
      </c>
      <c r="AL60" s="4">
        <f t="shared" si="38"/>
        <v>1.9503009799876934E-2</v>
      </c>
      <c r="AM60" s="4">
        <f t="shared" si="38"/>
        <v>-1.4625226374465863</v>
      </c>
      <c r="AN60" s="4">
        <f t="shared" si="38"/>
        <v>-3.6051058885428811</v>
      </c>
      <c r="AO60" s="4" t="e">
        <f t="shared" si="38"/>
        <v>#VALUE!</v>
      </c>
      <c r="AP60" s="61"/>
      <c r="AQ60" s="61"/>
      <c r="AR60" s="61"/>
    </row>
    <row r="61" spans="2:48" x14ac:dyDescent="0.25">
      <c r="C61">
        <v>17</v>
      </c>
      <c r="D61" s="4">
        <f t="shared" ref="D61:AO61" si="39">LN(D33)</f>
        <v>-4.8648401264643368</v>
      </c>
      <c r="E61" s="4" t="e">
        <f t="shared" si="39"/>
        <v>#VALUE!</v>
      </c>
      <c r="F61" s="4" t="e">
        <f t="shared" si="39"/>
        <v>#VALUE!</v>
      </c>
      <c r="G61" s="4" t="e">
        <f t="shared" si="39"/>
        <v>#VALUE!</v>
      </c>
      <c r="H61" s="4">
        <f t="shared" si="39"/>
        <v>-6.0242683177467908</v>
      </c>
      <c r="I61" s="4">
        <f t="shared" si="39"/>
        <v>-6.1656869657073425</v>
      </c>
      <c r="J61" s="4">
        <f t="shared" si="39"/>
        <v>-2.6761012906671655</v>
      </c>
      <c r="K61" s="4">
        <f t="shared" si="39"/>
        <v>-3.4592971422540457</v>
      </c>
      <c r="L61" s="4">
        <f t="shared" si="39"/>
        <v>-4.1275375413384232</v>
      </c>
      <c r="M61" s="4">
        <f t="shared" si="39"/>
        <v>-5.4623815241100617</v>
      </c>
      <c r="N61" s="4" t="e">
        <f t="shared" si="39"/>
        <v>#VALUE!</v>
      </c>
      <c r="O61" s="4" t="e">
        <f t="shared" si="39"/>
        <v>#VALUE!</v>
      </c>
      <c r="P61" s="4" t="e">
        <f t="shared" si="39"/>
        <v>#VALUE!</v>
      </c>
      <c r="Q61" s="4" t="e">
        <f t="shared" si="39"/>
        <v>#VALUE!</v>
      </c>
      <c r="R61" s="4">
        <f t="shared" si="39"/>
        <v>-4.7796054382554205</v>
      </c>
      <c r="S61" s="4">
        <f t="shared" si="39"/>
        <v>2.348215973559276</v>
      </c>
      <c r="T61" s="4">
        <f t="shared" si="39"/>
        <v>1.9275215656491633</v>
      </c>
      <c r="U61" s="4">
        <f t="shared" si="39"/>
        <v>0.57756234608384194</v>
      </c>
      <c r="V61" s="4">
        <f t="shared" si="39"/>
        <v>-2.4325393738871717</v>
      </c>
      <c r="W61" s="4">
        <f t="shared" si="39"/>
        <v>-3.5389600450265761</v>
      </c>
      <c r="X61" s="4">
        <f t="shared" si="39"/>
        <v>-5.1268895936209491</v>
      </c>
      <c r="Y61" s="4" t="e">
        <f t="shared" si="39"/>
        <v>#NUM!</v>
      </c>
      <c r="Z61" s="4" t="e">
        <f t="shared" si="39"/>
        <v>#NUM!</v>
      </c>
      <c r="AA61" s="4" t="e">
        <f t="shared" si="39"/>
        <v>#VALUE!</v>
      </c>
      <c r="AB61" s="4" t="e">
        <f t="shared" si="39"/>
        <v>#VALUE!</v>
      </c>
      <c r="AC61" s="4" t="e">
        <f t="shared" si="39"/>
        <v>#VALUE!</v>
      </c>
      <c r="AD61" s="4">
        <f t="shared" si="39"/>
        <v>-4.3172454863155076</v>
      </c>
      <c r="AE61" s="4">
        <f t="shared" si="39"/>
        <v>-3.767889595999371</v>
      </c>
      <c r="AF61" s="4">
        <f t="shared" si="39"/>
        <v>-5.6115610146260222</v>
      </c>
      <c r="AG61" s="4" t="e">
        <f t="shared" si="39"/>
        <v>#VALUE!</v>
      </c>
      <c r="AH61" s="4" t="e">
        <f t="shared" si="39"/>
        <v>#NUM!</v>
      </c>
      <c r="AI61" s="4" t="e">
        <f t="shared" si="39"/>
        <v>#NUM!</v>
      </c>
      <c r="AJ61" s="4">
        <f t="shared" si="39"/>
        <v>0.34167549047639528</v>
      </c>
      <c r="AK61" s="4">
        <f t="shared" si="39"/>
        <v>2.5326123722161937</v>
      </c>
      <c r="AL61" s="4">
        <f t="shared" si="39"/>
        <v>-0.19924214747521912</v>
      </c>
      <c r="AM61" s="4">
        <f t="shared" si="39"/>
        <v>-3.1398482664673528</v>
      </c>
      <c r="AN61" s="4" t="e">
        <f t="shared" si="39"/>
        <v>#VALUE!</v>
      </c>
      <c r="AO61" s="4" t="e">
        <f t="shared" si="39"/>
        <v>#VALUE!</v>
      </c>
      <c r="AP61" s="61"/>
      <c r="AQ61" s="61"/>
      <c r="AR61" s="61"/>
    </row>
    <row r="62" spans="2:48" x14ac:dyDescent="0.25">
      <c r="C62">
        <v>45</v>
      </c>
      <c r="D62" s="4">
        <f t="shared" ref="D62:AO62" si="40">LN(D37)</f>
        <v>-4.2745989997720528</v>
      </c>
      <c r="E62" s="4" t="e">
        <f t="shared" si="40"/>
        <v>#VALUE!</v>
      </c>
      <c r="F62" s="4" t="e">
        <f t="shared" si="40"/>
        <v>#VALUE!</v>
      </c>
      <c r="G62" s="4" t="e">
        <f t="shared" si="40"/>
        <v>#VALUE!</v>
      </c>
      <c r="H62" s="4" t="e">
        <f t="shared" si="40"/>
        <v>#VALUE!</v>
      </c>
      <c r="I62" s="4" t="e">
        <f t="shared" si="40"/>
        <v>#VALUE!</v>
      </c>
      <c r="J62" s="4">
        <f t="shared" si="40"/>
        <v>-3.2522267919813399</v>
      </c>
      <c r="K62" s="4">
        <f t="shared" si="40"/>
        <v>-4.4041488473927268</v>
      </c>
      <c r="L62" s="4">
        <f t="shared" si="40"/>
        <v>-5.2698292948069447</v>
      </c>
      <c r="M62" s="4" t="e">
        <f t="shared" si="40"/>
        <v>#VALUE!</v>
      </c>
      <c r="N62" s="4" t="e">
        <f t="shared" si="40"/>
        <v>#VALUE!</v>
      </c>
      <c r="O62" s="4" t="e">
        <f t="shared" si="40"/>
        <v>#VALUE!</v>
      </c>
      <c r="P62" s="4" t="e">
        <f t="shared" si="40"/>
        <v>#VALUE!</v>
      </c>
      <c r="Q62" s="4" t="e">
        <f t="shared" si="40"/>
        <v>#VALUE!</v>
      </c>
      <c r="R62" s="4" t="e">
        <f t="shared" si="40"/>
        <v>#VALUE!</v>
      </c>
      <c r="S62" s="4">
        <f t="shared" si="40"/>
        <v>1.7563093742477158</v>
      </c>
      <c r="T62" s="4">
        <f t="shared" si="40"/>
        <v>0.82931254256059084</v>
      </c>
      <c r="U62" s="4">
        <f t="shared" si="40"/>
        <v>-0.93845781385858829</v>
      </c>
      <c r="V62" s="4">
        <f t="shared" si="40"/>
        <v>-4.0321489991546846</v>
      </c>
      <c r="W62" s="4">
        <f t="shared" si="40"/>
        <v>-5.2339295840671092</v>
      </c>
      <c r="X62" s="4" t="e">
        <f t="shared" si="40"/>
        <v>#VALUE!</v>
      </c>
      <c r="Y62" s="4" t="e">
        <f t="shared" si="40"/>
        <v>#NUM!</v>
      </c>
      <c r="Z62" s="4" t="e">
        <f t="shared" si="40"/>
        <v>#NUM!</v>
      </c>
      <c r="AA62" s="4" t="e">
        <f t="shared" si="40"/>
        <v>#VALUE!</v>
      </c>
      <c r="AB62" s="4" t="e">
        <f t="shared" si="40"/>
        <v>#VALUE!</v>
      </c>
      <c r="AC62" s="4" t="e">
        <f t="shared" si="40"/>
        <v>#VALUE!</v>
      </c>
      <c r="AD62" s="4">
        <f t="shared" si="40"/>
        <v>-4.8647733156069402</v>
      </c>
      <c r="AE62" s="4">
        <f t="shared" si="40"/>
        <v>-4.9131853712355564</v>
      </c>
      <c r="AF62" s="4" t="e">
        <f t="shared" si="40"/>
        <v>#VALUE!</v>
      </c>
      <c r="AG62" s="4" t="e">
        <f t="shared" si="40"/>
        <v>#VALUE!</v>
      </c>
      <c r="AH62" s="4" t="e">
        <f t="shared" si="40"/>
        <v>#NUM!</v>
      </c>
      <c r="AI62" s="4" t="e">
        <f t="shared" si="40"/>
        <v>#NUM!</v>
      </c>
      <c r="AJ62" s="4">
        <f t="shared" si="40"/>
        <v>-0.23864724059933712</v>
      </c>
      <c r="AK62" s="4">
        <f t="shared" si="40"/>
        <v>1.7007896433004066</v>
      </c>
      <c r="AL62" s="4">
        <f t="shared" si="40"/>
        <v>-1.766334595797759</v>
      </c>
      <c r="AM62" s="4" t="e">
        <f t="shared" si="40"/>
        <v>#VALUE!</v>
      </c>
      <c r="AN62" s="4" t="e">
        <f t="shared" si="40"/>
        <v>#VALUE!</v>
      </c>
      <c r="AO62" s="4" t="e">
        <f t="shared" si="40"/>
        <v>#VALUE!</v>
      </c>
      <c r="AP62" s="61"/>
      <c r="AQ62" s="61"/>
      <c r="AR62" s="61"/>
    </row>
    <row r="63" spans="2:48" x14ac:dyDescent="0.25">
      <c r="C63">
        <v>80</v>
      </c>
      <c r="D63" s="4">
        <f t="shared" ref="D63:AO63" si="41">LN(D41)</f>
        <v>-5.2370069789773286</v>
      </c>
      <c r="E63" s="4" t="e">
        <f t="shared" si="41"/>
        <v>#VALUE!</v>
      </c>
      <c r="F63" s="4" t="e">
        <f t="shared" si="41"/>
        <v>#VALUE!</v>
      </c>
      <c r="G63" s="4" t="e">
        <f t="shared" si="41"/>
        <v>#VALUE!</v>
      </c>
      <c r="H63" s="4" t="e">
        <f t="shared" si="41"/>
        <v>#VALUE!</v>
      </c>
      <c r="I63" s="4" t="e">
        <f t="shared" si="41"/>
        <v>#VALUE!</v>
      </c>
      <c r="J63" s="4" t="e">
        <f t="shared" si="41"/>
        <v>#VALUE!</v>
      </c>
      <c r="K63" s="4" t="e">
        <f t="shared" si="41"/>
        <v>#VALUE!</v>
      </c>
      <c r="L63" s="4" t="e">
        <f t="shared" si="41"/>
        <v>#VALUE!</v>
      </c>
      <c r="M63" s="4" t="e">
        <f t="shared" si="41"/>
        <v>#VALUE!</v>
      </c>
      <c r="N63" s="4" t="e">
        <f t="shared" si="41"/>
        <v>#VALUE!</v>
      </c>
      <c r="O63" s="4" t="e">
        <f t="shared" si="41"/>
        <v>#VALUE!</v>
      </c>
      <c r="P63" s="4" t="e">
        <f t="shared" si="41"/>
        <v>#VALUE!</v>
      </c>
      <c r="Q63" s="4" t="e">
        <f t="shared" si="41"/>
        <v>#VALUE!</v>
      </c>
      <c r="R63" s="4" t="e">
        <f t="shared" si="41"/>
        <v>#VALUE!</v>
      </c>
      <c r="S63" s="4">
        <f t="shared" si="41"/>
        <v>0.23413668596591899</v>
      </c>
      <c r="T63" s="4">
        <f t="shared" si="41"/>
        <v>-1.681008366506662</v>
      </c>
      <c r="U63" s="4">
        <f t="shared" si="41"/>
        <v>-3.9920687201946801</v>
      </c>
      <c r="V63" s="4" t="e">
        <f t="shared" si="41"/>
        <v>#VALUE!</v>
      </c>
      <c r="W63" s="4" t="e">
        <f t="shared" si="41"/>
        <v>#VALUE!</v>
      </c>
      <c r="X63" s="4" t="e">
        <f t="shared" si="41"/>
        <v>#VALUE!</v>
      </c>
      <c r="Y63" s="4" t="e">
        <f t="shared" si="41"/>
        <v>#NUM!</v>
      </c>
      <c r="Z63" s="4" t="e">
        <f t="shared" si="41"/>
        <v>#NUM!</v>
      </c>
      <c r="AA63" s="4" t="e">
        <f t="shared" si="41"/>
        <v>#VALUE!</v>
      </c>
      <c r="AB63" s="4" t="e">
        <f t="shared" si="41"/>
        <v>#VALUE!</v>
      </c>
      <c r="AC63" s="4" t="e">
        <f t="shared" si="41"/>
        <v>#VALUE!</v>
      </c>
      <c r="AD63" s="4" t="e">
        <f t="shared" si="41"/>
        <v>#VALUE!</v>
      </c>
      <c r="AE63" s="4" t="e">
        <f t="shared" si="41"/>
        <v>#VALUE!</v>
      </c>
      <c r="AF63" s="4" t="e">
        <f t="shared" si="41"/>
        <v>#VALUE!</v>
      </c>
      <c r="AG63" s="4" t="e">
        <f t="shared" si="41"/>
        <v>#VALUE!</v>
      </c>
      <c r="AH63" s="4" t="e">
        <f t="shared" si="41"/>
        <v>#NUM!</v>
      </c>
      <c r="AI63" s="4" t="e">
        <f t="shared" si="41"/>
        <v>#NUM!</v>
      </c>
      <c r="AJ63" s="4">
        <f t="shared" si="41"/>
        <v>-1.6291045540260416</v>
      </c>
      <c r="AK63" s="4">
        <f t="shared" si="41"/>
        <v>-0.37033332350064729</v>
      </c>
      <c r="AL63" s="4">
        <f t="shared" si="41"/>
        <v>-3.8006314205323446</v>
      </c>
      <c r="AM63" s="4" t="e">
        <f t="shared" si="41"/>
        <v>#VALUE!</v>
      </c>
      <c r="AN63" s="4" t="e">
        <f t="shared" si="41"/>
        <v>#VALUE!</v>
      </c>
      <c r="AO63" s="4" t="e">
        <f t="shared" si="41"/>
        <v>#VALUE!</v>
      </c>
      <c r="AP63" s="61"/>
      <c r="AQ63" s="61"/>
      <c r="AR63" s="61"/>
    </row>
    <row r="64" spans="2:48" s="67" customFormat="1" x14ac:dyDescent="0.25">
      <c r="C64" s="67" t="s">
        <v>106</v>
      </c>
      <c r="D64" s="69">
        <v>2.98E-2</v>
      </c>
      <c r="E64" s="69" t="s">
        <v>107</v>
      </c>
      <c r="F64" s="69" t="s">
        <v>107</v>
      </c>
      <c r="G64" s="69" t="s">
        <v>107</v>
      </c>
      <c r="H64" s="69">
        <v>8.3500000000000005E-2</v>
      </c>
      <c r="I64" s="69">
        <v>1.5599999999999999E-2</v>
      </c>
      <c r="J64" s="69">
        <v>8.8999999999999999E-3</v>
      </c>
      <c r="K64" s="69">
        <v>1.6799999999999999E-2</v>
      </c>
      <c r="L64" s="69">
        <v>3.2199999999999999E-2</v>
      </c>
      <c r="M64" s="69">
        <v>3.2500000000000001E-2</v>
      </c>
      <c r="N64" s="69" t="s">
        <v>107</v>
      </c>
      <c r="O64" s="69" t="s">
        <v>107</v>
      </c>
      <c r="P64" s="69" t="s">
        <v>107</v>
      </c>
      <c r="Q64" s="72">
        <v>0.1923</v>
      </c>
      <c r="R64" s="69">
        <v>1.43E-2</v>
      </c>
      <c r="S64" s="69">
        <v>2.4299999999999999E-2</v>
      </c>
      <c r="T64" s="69">
        <v>4.4299999999999999E-2</v>
      </c>
      <c r="U64" s="69">
        <v>6.3500000000000001E-2</v>
      </c>
      <c r="V64" s="69">
        <v>5.9499999999999997E-2</v>
      </c>
      <c r="W64" s="69">
        <v>6.8900000000000003E-2</v>
      </c>
      <c r="X64" s="69">
        <v>7.7799999999999994E-2</v>
      </c>
      <c r="Y64" s="69" t="s">
        <v>107</v>
      </c>
      <c r="Z64" s="69" t="s">
        <v>107</v>
      </c>
      <c r="AA64" s="69" t="s">
        <v>107</v>
      </c>
      <c r="AB64" s="69" t="s">
        <v>107</v>
      </c>
      <c r="AC64" s="67" t="s">
        <v>107</v>
      </c>
      <c r="AD64" s="69">
        <v>6.1000000000000004E-3</v>
      </c>
      <c r="AE64" s="69">
        <v>3.0099999999999998E-2</v>
      </c>
      <c r="AF64" s="69">
        <v>5.8799999999999998E-2</v>
      </c>
      <c r="AG64" s="69" t="s">
        <v>107</v>
      </c>
      <c r="AH64" s="69" t="s">
        <v>107</v>
      </c>
      <c r="AI64" s="67" t="s">
        <v>107</v>
      </c>
      <c r="AJ64" s="69">
        <v>2.3699999999999999E-2</v>
      </c>
      <c r="AK64" s="69">
        <v>3.56E-2</v>
      </c>
      <c r="AL64" s="69">
        <v>5.5800000000000002E-2</v>
      </c>
      <c r="AM64" s="69">
        <v>0.16850000000000001</v>
      </c>
      <c r="AN64" s="72">
        <v>0.40350000000000003</v>
      </c>
      <c r="AO64" s="69" t="s">
        <v>107</v>
      </c>
      <c r="AP64" s="70"/>
      <c r="AQ64" s="70"/>
      <c r="AR64" s="70"/>
    </row>
    <row r="65" spans="1:44" x14ac:dyDescent="0.25">
      <c r="B65" t="s">
        <v>41</v>
      </c>
      <c r="C65">
        <v>1</v>
      </c>
      <c r="D65" s="4">
        <f t="shared" ref="D65:AO65" si="42">LN(D26)</f>
        <v>-1.1328773559729652</v>
      </c>
      <c r="E65" s="4">
        <f t="shared" si="42"/>
        <v>-5.0094834386385276</v>
      </c>
      <c r="F65" s="4" t="e">
        <f t="shared" si="42"/>
        <v>#VALUE!</v>
      </c>
      <c r="G65" s="4" t="e">
        <f t="shared" si="42"/>
        <v>#VALUE!</v>
      </c>
      <c r="H65" s="4">
        <f t="shared" si="42"/>
        <v>-4.4877089083837189</v>
      </c>
      <c r="I65" s="4">
        <f t="shared" si="42"/>
        <v>-5.7979859440224324</v>
      </c>
      <c r="J65" s="4">
        <f t="shared" si="42"/>
        <v>-2.1009701593652621</v>
      </c>
      <c r="K65" s="4">
        <f t="shared" si="42"/>
        <v>-2.8893790634267078</v>
      </c>
      <c r="L65" s="4">
        <f t="shared" si="42"/>
        <v>-3.3359730080096623</v>
      </c>
      <c r="M65" s="4">
        <f t="shared" si="42"/>
        <v>-4.4756029924697485</v>
      </c>
      <c r="N65" s="4">
        <f t="shared" si="42"/>
        <v>-5.7693882047263916</v>
      </c>
      <c r="O65" s="4" t="e">
        <f t="shared" si="42"/>
        <v>#VALUE!</v>
      </c>
      <c r="P65" s="4" t="e">
        <f t="shared" si="42"/>
        <v>#VALUE!</v>
      </c>
      <c r="Q65" s="4">
        <f t="shared" si="42"/>
        <v>-4.3954080403470863</v>
      </c>
      <c r="R65" s="4">
        <f t="shared" si="42"/>
        <v>-4.0389057998733717</v>
      </c>
      <c r="S65" s="4">
        <f t="shared" si="42"/>
        <v>2.8777191813668237</v>
      </c>
      <c r="T65" s="4">
        <f t="shared" si="42"/>
        <v>2.6111413483475969</v>
      </c>
      <c r="U65" s="4">
        <f t="shared" si="42"/>
        <v>1.3836354561962569</v>
      </c>
      <c r="V65" s="4">
        <f t="shared" si="42"/>
        <v>-1.0208607420105906</v>
      </c>
      <c r="W65" s="4">
        <f t="shared" si="42"/>
        <v>-1.8029776995287297</v>
      </c>
      <c r="X65" s="4">
        <f t="shared" si="42"/>
        <v>-3.6925421492789123</v>
      </c>
      <c r="Y65" s="4" t="e">
        <f t="shared" si="42"/>
        <v>#NUM!</v>
      </c>
      <c r="Z65" s="4" t="e">
        <f t="shared" si="42"/>
        <v>#NUM!</v>
      </c>
      <c r="AA65" s="4" t="e">
        <f t="shared" si="42"/>
        <v>#VALUE!</v>
      </c>
      <c r="AB65" s="4" t="e">
        <f t="shared" si="42"/>
        <v>#VALUE!</v>
      </c>
      <c r="AC65" s="4" t="e">
        <f t="shared" si="42"/>
        <v>#VALUE!</v>
      </c>
      <c r="AD65" s="4">
        <f t="shared" si="42"/>
        <v>-3.7350115330109737</v>
      </c>
      <c r="AE65" s="4">
        <f t="shared" si="42"/>
        <v>-2.7974817259370783</v>
      </c>
      <c r="AF65" s="4">
        <f t="shared" si="42"/>
        <v>-3.8968573389059786</v>
      </c>
      <c r="AG65" s="4">
        <f t="shared" si="42"/>
        <v>-5.2650404147978929</v>
      </c>
      <c r="AH65" s="4" t="e">
        <f t="shared" si="42"/>
        <v>#NUM!</v>
      </c>
      <c r="AI65" s="4" t="e">
        <f t="shared" si="42"/>
        <v>#NUM!</v>
      </c>
      <c r="AJ65" s="4">
        <f t="shared" si="42"/>
        <v>1.1625192502189985</v>
      </c>
      <c r="AK65" s="4">
        <f t="shared" si="42"/>
        <v>3.377923752436772</v>
      </c>
      <c r="AL65" s="4">
        <f t="shared" si="42"/>
        <v>1.0093712585120553</v>
      </c>
      <c r="AM65" s="4">
        <f t="shared" si="42"/>
        <v>-0.16269256932870674</v>
      </c>
      <c r="AN65" s="4">
        <f t="shared" si="42"/>
        <v>-1.9789635050619432</v>
      </c>
      <c r="AO65" s="4">
        <f t="shared" si="42"/>
        <v>-3.0766956233003016</v>
      </c>
      <c r="AP65" s="61"/>
      <c r="AQ65" s="61"/>
      <c r="AR65" s="61"/>
    </row>
    <row r="66" spans="1:44" x14ac:dyDescent="0.25">
      <c r="C66">
        <v>5</v>
      </c>
      <c r="D66" s="4">
        <f t="shared" ref="D66:AO66" si="43">LN(D30)</f>
        <v>-4.7153282636553362</v>
      </c>
      <c r="E66" s="4" t="e">
        <f t="shared" si="43"/>
        <v>#VALUE!</v>
      </c>
      <c r="F66" s="4" t="e">
        <f t="shared" si="43"/>
        <v>#VALUE!</v>
      </c>
      <c r="G66" s="4" t="e">
        <f t="shared" si="43"/>
        <v>#VALUE!</v>
      </c>
      <c r="H66" s="4">
        <f t="shared" si="43"/>
        <v>-6.3904830575746718</v>
      </c>
      <c r="I66" s="4">
        <f t="shared" si="43"/>
        <v>-6.3750213963439917</v>
      </c>
      <c r="J66" s="4">
        <f t="shared" si="43"/>
        <v>-2.3968618091618135</v>
      </c>
      <c r="K66" s="4">
        <f t="shared" si="43"/>
        <v>-3.2054272838610336</v>
      </c>
      <c r="L66" s="4">
        <f t="shared" si="43"/>
        <v>-3.6879301523816648</v>
      </c>
      <c r="M66" s="4">
        <f t="shared" si="43"/>
        <v>-4.9220828945440394</v>
      </c>
      <c r="N66" s="4" t="e">
        <f t="shared" si="43"/>
        <v>#VALUE!</v>
      </c>
      <c r="O66" s="4" t="e">
        <f t="shared" si="43"/>
        <v>#VALUE!</v>
      </c>
      <c r="P66" s="4" t="e">
        <f t="shared" si="43"/>
        <v>#VALUE!</v>
      </c>
      <c r="Q66" s="4">
        <f t="shared" si="43"/>
        <v>-5.1952352949120133</v>
      </c>
      <c r="R66" s="4">
        <f t="shared" si="43"/>
        <v>-4.3888760943502163</v>
      </c>
      <c r="S66" s="4">
        <f t="shared" si="43"/>
        <v>2.6177343791089531</v>
      </c>
      <c r="T66" s="4">
        <f t="shared" si="43"/>
        <v>2.3099066218634325</v>
      </c>
      <c r="U66" s="4">
        <f t="shared" si="43"/>
        <v>0.86726221990022478</v>
      </c>
      <c r="V66" s="4">
        <f t="shared" si="43"/>
        <v>-1.8450028430556311</v>
      </c>
      <c r="W66" s="4">
        <f t="shared" si="43"/>
        <v>-2.6339278492201719</v>
      </c>
      <c r="X66" s="4">
        <f t="shared" si="43"/>
        <v>-4.3100500784697218</v>
      </c>
      <c r="Y66" s="4" t="e">
        <f t="shared" si="43"/>
        <v>#NUM!</v>
      </c>
      <c r="Z66" s="4" t="e">
        <f t="shared" si="43"/>
        <v>#NUM!</v>
      </c>
      <c r="AA66" s="4" t="e">
        <f t="shared" si="43"/>
        <v>#VALUE!</v>
      </c>
      <c r="AB66" s="4" t="e">
        <f t="shared" si="43"/>
        <v>#VALUE!</v>
      </c>
      <c r="AC66" s="4" t="e">
        <f t="shared" si="43"/>
        <v>#VALUE!</v>
      </c>
      <c r="AD66" s="4">
        <f t="shared" si="43"/>
        <v>-4.0167346759968821</v>
      </c>
      <c r="AE66" s="4">
        <f t="shared" si="43"/>
        <v>-3.195988428490157</v>
      </c>
      <c r="AF66" s="4">
        <f t="shared" si="43"/>
        <v>-4.8790464657608474</v>
      </c>
      <c r="AG66" s="4" t="e">
        <f t="shared" si="43"/>
        <v>#VALUE!</v>
      </c>
      <c r="AH66" s="4" t="e">
        <f t="shared" si="43"/>
        <v>#NUM!</v>
      </c>
      <c r="AI66" s="4" t="e">
        <f t="shared" si="43"/>
        <v>#NUM!</v>
      </c>
      <c r="AJ66" s="4">
        <f t="shared" si="43"/>
        <v>0.81891072489451178</v>
      </c>
      <c r="AK66" s="4">
        <f t="shared" si="43"/>
        <v>2.9741121647113844</v>
      </c>
      <c r="AL66" s="4">
        <f t="shared" si="43"/>
        <v>0.31541364836989155</v>
      </c>
      <c r="AM66" s="4">
        <f t="shared" si="43"/>
        <v>-1.4284732632980106</v>
      </c>
      <c r="AN66" s="4">
        <f t="shared" si="43"/>
        <v>-3.7206742981029439</v>
      </c>
      <c r="AO66" s="4" t="e">
        <f t="shared" si="43"/>
        <v>#VALUE!</v>
      </c>
      <c r="AP66" s="61"/>
      <c r="AQ66" s="61"/>
      <c r="AR66" s="61"/>
    </row>
    <row r="67" spans="1:44" x14ac:dyDescent="0.25">
      <c r="C67">
        <v>17</v>
      </c>
      <c r="D67" s="4">
        <f t="shared" ref="D67:AO67" si="44">LN(D34)</f>
        <v>-4.7696530234111858</v>
      </c>
      <c r="E67" s="4" t="e">
        <f t="shared" si="44"/>
        <v>#VALUE!</v>
      </c>
      <c r="F67" s="4" t="e">
        <f t="shared" si="44"/>
        <v>#VALUE!</v>
      </c>
      <c r="G67" s="4" t="e">
        <f t="shared" si="44"/>
        <v>#VALUE!</v>
      </c>
      <c r="H67" s="4">
        <f t="shared" si="44"/>
        <v>-6.0046713207412328</v>
      </c>
      <c r="I67" s="4">
        <f t="shared" si="44"/>
        <v>-6.3019703917499434</v>
      </c>
      <c r="J67" s="4">
        <f t="shared" si="44"/>
        <v>-2.3188468256035719</v>
      </c>
      <c r="K67" s="4">
        <f t="shared" si="44"/>
        <v>-3.3579898032453359</v>
      </c>
      <c r="L67" s="4">
        <f t="shared" si="44"/>
        <v>-4.1187961131596049</v>
      </c>
      <c r="M67" s="4">
        <f t="shared" si="44"/>
        <v>-5.5268740957418494</v>
      </c>
      <c r="N67" s="4" t="e">
        <f t="shared" si="44"/>
        <v>#VALUE!</v>
      </c>
      <c r="O67" s="4" t="e">
        <f t="shared" si="44"/>
        <v>#VALUE!</v>
      </c>
      <c r="P67" s="4" t="e">
        <f t="shared" si="44"/>
        <v>#VALUE!</v>
      </c>
      <c r="Q67" s="4" t="e">
        <f t="shared" si="44"/>
        <v>#VALUE!</v>
      </c>
      <c r="R67" s="4">
        <f t="shared" si="44"/>
        <v>-4.6764159626262067</v>
      </c>
      <c r="S67" s="4">
        <f t="shared" si="44"/>
        <v>2.549124554050294</v>
      </c>
      <c r="T67" s="4">
        <f t="shared" si="44"/>
        <v>2.1258900819253186</v>
      </c>
      <c r="U67" s="4">
        <f t="shared" si="44"/>
        <v>0.34311423497056837</v>
      </c>
      <c r="V67" s="4">
        <f t="shared" si="44"/>
        <v>-2.4954265717563229</v>
      </c>
      <c r="W67" s="4">
        <f t="shared" si="44"/>
        <v>-3.4935685355271042</v>
      </c>
      <c r="X67" s="4">
        <f t="shared" si="44"/>
        <v>-4.9320441973161433</v>
      </c>
      <c r="Y67" s="4" t="e">
        <f t="shared" si="44"/>
        <v>#NUM!</v>
      </c>
      <c r="Z67" s="4" t="e">
        <f t="shared" si="44"/>
        <v>#NUM!</v>
      </c>
      <c r="AA67" s="4" t="e">
        <f t="shared" si="44"/>
        <v>#VALUE!</v>
      </c>
      <c r="AB67" s="4" t="e">
        <f t="shared" si="44"/>
        <v>#VALUE!</v>
      </c>
      <c r="AC67" s="4" t="e">
        <f t="shared" si="44"/>
        <v>#VALUE!</v>
      </c>
      <c r="AD67" s="4">
        <f t="shared" si="44"/>
        <v>-3.9276292763341747</v>
      </c>
      <c r="AE67" s="4">
        <f t="shared" si="44"/>
        <v>-3.5694302159896441</v>
      </c>
      <c r="AF67" s="4" t="e">
        <f t="shared" si="44"/>
        <v>#VALUE!</v>
      </c>
      <c r="AG67" s="4" t="e">
        <f t="shared" si="44"/>
        <v>#VALUE!</v>
      </c>
      <c r="AH67" s="4" t="e">
        <f t="shared" si="44"/>
        <v>#NUM!</v>
      </c>
      <c r="AI67" s="4" t="e">
        <f t="shared" si="44"/>
        <v>#NUM!</v>
      </c>
      <c r="AJ67" s="4">
        <f t="shared" si="44"/>
        <v>0.73699322197267814</v>
      </c>
      <c r="AK67" s="4">
        <f t="shared" si="44"/>
        <v>2.7925577529661241</v>
      </c>
      <c r="AL67" s="4">
        <f t="shared" si="44"/>
        <v>-0.35812256448909097</v>
      </c>
      <c r="AM67" s="4" t="e">
        <f t="shared" si="44"/>
        <v>#VALUE!</v>
      </c>
      <c r="AN67" s="4" t="e">
        <f t="shared" si="44"/>
        <v>#VALUE!</v>
      </c>
      <c r="AO67" s="4" t="e">
        <f t="shared" si="44"/>
        <v>#VALUE!</v>
      </c>
      <c r="AP67" s="61"/>
      <c r="AQ67" s="61"/>
      <c r="AR67" s="61"/>
    </row>
    <row r="68" spans="1:44" x14ac:dyDescent="0.25">
      <c r="C68">
        <v>45</v>
      </c>
      <c r="D68" s="4">
        <f t="shared" ref="D68:AO68" si="45">LN(D38)</f>
        <v>-4.3789186163637304</v>
      </c>
      <c r="E68" s="4" t="e">
        <f t="shared" si="45"/>
        <v>#VALUE!</v>
      </c>
      <c r="F68" s="4" t="e">
        <f t="shared" si="45"/>
        <v>#VALUE!</v>
      </c>
      <c r="G68" s="4" t="e">
        <f t="shared" si="45"/>
        <v>#VALUE!</v>
      </c>
      <c r="H68" s="4" t="e">
        <f t="shared" si="45"/>
        <v>#VALUE!</v>
      </c>
      <c r="I68" s="4" t="e">
        <f t="shared" si="45"/>
        <v>#VALUE!</v>
      </c>
      <c r="J68" s="4">
        <f t="shared" si="45"/>
        <v>-3.1998713078155112</v>
      </c>
      <c r="K68" s="4">
        <f t="shared" si="45"/>
        <v>-4.3446031780650696</v>
      </c>
      <c r="L68" s="4" t="e">
        <f t="shared" si="45"/>
        <v>#VALUE!</v>
      </c>
      <c r="M68" s="4" t="e">
        <f t="shared" si="45"/>
        <v>#VALUE!</v>
      </c>
      <c r="N68" s="4" t="e">
        <f t="shared" si="45"/>
        <v>#VALUE!</v>
      </c>
      <c r="O68" s="4" t="e">
        <f t="shared" si="45"/>
        <v>#VALUE!</v>
      </c>
      <c r="P68" s="4" t="e">
        <f t="shared" si="45"/>
        <v>#VALUE!</v>
      </c>
      <c r="Q68" s="4" t="e">
        <f t="shared" si="45"/>
        <v>#VALUE!</v>
      </c>
      <c r="R68" s="4">
        <f t="shared" si="45"/>
        <v>-5.8336207594949281</v>
      </c>
      <c r="S68" s="4">
        <f t="shared" si="45"/>
        <v>1.8386378847230889</v>
      </c>
      <c r="T68" s="4">
        <f t="shared" si="45"/>
        <v>0.78818146020468483</v>
      </c>
      <c r="U68" s="4">
        <f t="shared" si="45"/>
        <v>-1.2500998724298178</v>
      </c>
      <c r="V68" s="4" t="e">
        <f t="shared" si="45"/>
        <v>#VALUE!</v>
      </c>
      <c r="W68" s="4">
        <f t="shared" si="45"/>
        <v>-5.5135757227877331</v>
      </c>
      <c r="X68" s="4" t="e">
        <f t="shared" si="45"/>
        <v>#VALUE!</v>
      </c>
      <c r="Y68" s="4" t="e">
        <f t="shared" si="45"/>
        <v>#NUM!</v>
      </c>
      <c r="Z68" s="4" t="e">
        <f t="shared" si="45"/>
        <v>#NUM!</v>
      </c>
      <c r="AA68" s="4" t="e">
        <f t="shared" si="45"/>
        <v>#VALUE!</v>
      </c>
      <c r="AB68" s="4" t="e">
        <f t="shared" si="45"/>
        <v>#VALUE!</v>
      </c>
      <c r="AC68" s="4" t="e">
        <f t="shared" si="45"/>
        <v>#VALUE!</v>
      </c>
      <c r="AD68" s="4">
        <f t="shared" si="45"/>
        <v>-4.4991723785981668</v>
      </c>
      <c r="AE68" s="4">
        <f t="shared" si="45"/>
        <v>-4.4905729827324397</v>
      </c>
      <c r="AF68" s="4" t="e">
        <f t="shared" si="45"/>
        <v>#VALUE!</v>
      </c>
      <c r="AG68" s="4" t="e">
        <f t="shared" si="45"/>
        <v>#VALUE!</v>
      </c>
      <c r="AH68" s="4" t="e">
        <f t="shared" si="45"/>
        <v>#NUM!</v>
      </c>
      <c r="AI68" s="4" t="e">
        <f t="shared" si="45"/>
        <v>#NUM!</v>
      </c>
      <c r="AJ68" s="4">
        <f t="shared" si="45"/>
        <v>-0.12112333852882573</v>
      </c>
      <c r="AK68" s="4">
        <f t="shared" si="45"/>
        <v>1.7249884480771271</v>
      </c>
      <c r="AL68" s="4">
        <f t="shared" si="45"/>
        <v>-1.8836262347759176</v>
      </c>
      <c r="AM68" s="4" t="e">
        <f t="shared" si="45"/>
        <v>#VALUE!</v>
      </c>
      <c r="AN68" s="4" t="e">
        <f t="shared" si="45"/>
        <v>#VALUE!</v>
      </c>
      <c r="AO68" s="4" t="e">
        <f t="shared" si="45"/>
        <v>#VALUE!</v>
      </c>
      <c r="AP68" s="61"/>
      <c r="AQ68" s="61"/>
      <c r="AR68" s="61"/>
    </row>
    <row r="69" spans="1:44" x14ac:dyDescent="0.25">
      <c r="C69">
        <v>80</v>
      </c>
      <c r="D69" s="4">
        <f t="shared" ref="D69:AO69" si="46">LN(D42)</f>
        <v>-4.6630826723545944</v>
      </c>
      <c r="E69" s="4" t="e">
        <f t="shared" si="46"/>
        <v>#VALUE!</v>
      </c>
      <c r="F69" s="4" t="e">
        <f t="shared" si="46"/>
        <v>#VALUE!</v>
      </c>
      <c r="G69" s="4" t="e">
        <f t="shared" si="46"/>
        <v>#VALUE!</v>
      </c>
      <c r="H69" s="4" t="e">
        <f t="shared" si="46"/>
        <v>#VALUE!</v>
      </c>
      <c r="I69" s="4" t="e">
        <f t="shared" si="46"/>
        <v>#VALUE!</v>
      </c>
      <c r="J69" s="4">
        <f t="shared" si="46"/>
        <v>-4.5047775036184143</v>
      </c>
      <c r="K69" s="4" t="e">
        <f t="shared" si="46"/>
        <v>#VALUE!</v>
      </c>
      <c r="L69" s="4" t="e">
        <f t="shared" si="46"/>
        <v>#VALUE!</v>
      </c>
      <c r="M69" s="4" t="e">
        <f t="shared" si="46"/>
        <v>#VALUE!</v>
      </c>
      <c r="N69" s="4" t="e">
        <f t="shared" si="46"/>
        <v>#VALUE!</v>
      </c>
      <c r="O69" s="4" t="e">
        <f t="shared" si="46"/>
        <v>#VALUE!</v>
      </c>
      <c r="P69" s="4" t="e">
        <f t="shared" si="46"/>
        <v>#VALUE!</v>
      </c>
      <c r="Q69" s="4" t="e">
        <f t="shared" si="46"/>
        <v>#VALUE!</v>
      </c>
      <c r="R69" s="4" t="e">
        <f t="shared" si="46"/>
        <v>#VALUE!</v>
      </c>
      <c r="S69" s="4">
        <f t="shared" si="46"/>
        <v>0.68801462675763347</v>
      </c>
      <c r="T69" s="4">
        <f t="shared" si="46"/>
        <v>-1.3412803340450474</v>
      </c>
      <c r="U69" s="4">
        <f t="shared" si="46"/>
        <v>-3.9824107584838133</v>
      </c>
      <c r="V69" s="4" t="e">
        <f t="shared" si="46"/>
        <v>#VALUE!</v>
      </c>
      <c r="W69" s="4" t="e">
        <f t="shared" si="46"/>
        <v>#VALUE!</v>
      </c>
      <c r="X69" s="4" t="e">
        <f t="shared" si="46"/>
        <v>#VALUE!</v>
      </c>
      <c r="Y69" s="4" t="e">
        <f t="shared" si="46"/>
        <v>#NUM!</v>
      </c>
      <c r="Z69" s="4" t="e">
        <f t="shared" si="46"/>
        <v>#NUM!</v>
      </c>
      <c r="AA69" s="4" t="e">
        <f t="shared" si="46"/>
        <v>#VALUE!</v>
      </c>
      <c r="AB69" s="4" t="e">
        <f t="shared" si="46"/>
        <v>#VALUE!</v>
      </c>
      <c r="AC69" s="4" t="e">
        <f t="shared" si="46"/>
        <v>#VALUE!</v>
      </c>
      <c r="AD69" s="4" t="e">
        <f t="shared" si="46"/>
        <v>#VALUE!</v>
      </c>
      <c r="AE69" s="4" t="e">
        <f t="shared" si="46"/>
        <v>#VALUE!</v>
      </c>
      <c r="AF69" s="4" t="e">
        <f t="shared" si="46"/>
        <v>#VALUE!</v>
      </c>
      <c r="AG69" s="4" t="e">
        <f t="shared" si="46"/>
        <v>#VALUE!</v>
      </c>
      <c r="AH69" s="4" t="e">
        <f t="shared" si="46"/>
        <v>#NUM!</v>
      </c>
      <c r="AI69" s="4" t="e">
        <f t="shared" si="46"/>
        <v>#NUM!</v>
      </c>
      <c r="AJ69" s="4">
        <f t="shared" si="46"/>
        <v>-1.2395303710360035</v>
      </c>
      <c r="AK69" s="4">
        <f t="shared" si="46"/>
        <v>0.22132159136997484</v>
      </c>
      <c r="AL69" s="4">
        <f t="shared" si="46"/>
        <v>-3.6667998475324528</v>
      </c>
      <c r="AM69" s="4" t="e">
        <f t="shared" si="46"/>
        <v>#VALUE!</v>
      </c>
      <c r="AN69" s="4" t="e">
        <f t="shared" si="46"/>
        <v>#VALUE!</v>
      </c>
      <c r="AO69" s="4" t="e">
        <f t="shared" si="46"/>
        <v>#VALUE!</v>
      </c>
      <c r="AP69" s="61"/>
      <c r="AQ69" s="61"/>
      <c r="AR69" s="61"/>
    </row>
    <row r="70" spans="1:44" s="67" customFormat="1" x14ac:dyDescent="0.25">
      <c r="C70" s="67" t="s">
        <v>106</v>
      </c>
      <c r="D70" s="69">
        <v>2.1600000000000001E-2</v>
      </c>
      <c r="E70" s="69" t="s">
        <v>107</v>
      </c>
      <c r="F70" s="69" t="s">
        <v>107</v>
      </c>
      <c r="G70" s="69" t="s">
        <v>107</v>
      </c>
      <c r="H70" s="69">
        <v>6.5500000000000003E-2</v>
      </c>
      <c r="I70" s="69">
        <v>2.2800000000000001E-2</v>
      </c>
      <c r="J70" s="69">
        <v>2.9399999999999999E-2</v>
      </c>
      <c r="K70" s="69">
        <v>3.1199999999999999E-2</v>
      </c>
      <c r="L70" s="69">
        <v>4.5900000000000003E-2</v>
      </c>
      <c r="M70" s="69">
        <v>6.2199999999999998E-2</v>
      </c>
      <c r="N70" s="69" t="s">
        <v>107</v>
      </c>
      <c r="O70" s="69" t="s">
        <v>107</v>
      </c>
      <c r="P70" s="69" t="s">
        <v>107</v>
      </c>
      <c r="Q70" s="72">
        <v>0.2</v>
      </c>
      <c r="R70" s="69">
        <v>3.8899999999999997E-2</v>
      </c>
      <c r="S70" s="69">
        <v>2.6599999999999999E-2</v>
      </c>
      <c r="T70" s="69">
        <v>4.9000000000000002E-2</v>
      </c>
      <c r="U70" s="69">
        <v>6.54E-2</v>
      </c>
      <c r="V70" s="69">
        <v>8.3400000000000002E-2</v>
      </c>
      <c r="W70" s="69">
        <v>7.9299999999999995E-2</v>
      </c>
      <c r="X70" s="69">
        <v>7.1599999999999997E-2</v>
      </c>
      <c r="Y70" s="69" t="s">
        <v>107</v>
      </c>
      <c r="Z70" s="69" t="s">
        <v>107</v>
      </c>
      <c r="AA70" s="69" t="s">
        <v>107</v>
      </c>
      <c r="AB70" s="69" t="s">
        <v>107</v>
      </c>
      <c r="AC70" s="67" t="s">
        <v>107</v>
      </c>
      <c r="AD70" s="69">
        <v>1.52E-2</v>
      </c>
      <c r="AE70" s="69">
        <v>3.5999999999999997E-2</v>
      </c>
      <c r="AF70" s="72">
        <v>0.2455</v>
      </c>
      <c r="AG70" s="69" t="s">
        <v>107</v>
      </c>
      <c r="AH70" s="69" t="s">
        <v>107</v>
      </c>
      <c r="AI70" s="67" t="s">
        <v>107</v>
      </c>
      <c r="AJ70" s="69">
        <v>2.9100000000000001E-2</v>
      </c>
      <c r="AK70" s="69">
        <v>3.8399999999999997E-2</v>
      </c>
      <c r="AL70" s="69">
        <v>5.6399999999999999E-2</v>
      </c>
      <c r="AM70" s="72">
        <v>0.31640000000000001</v>
      </c>
      <c r="AN70" s="72">
        <v>0.43540000000000001</v>
      </c>
      <c r="AO70" s="69" t="s">
        <v>107</v>
      </c>
      <c r="AP70" s="70"/>
      <c r="AQ70" s="70"/>
      <c r="AR70" s="70"/>
    </row>
    <row r="71" spans="1:44" x14ac:dyDescent="0.25">
      <c r="A71" t="s">
        <v>109</v>
      </c>
      <c r="B71" t="s">
        <v>36</v>
      </c>
      <c r="D71" t="e">
        <f>LN(2)/D52</f>
        <v>#VALUE!</v>
      </c>
      <c r="E71" t="e">
        <f t="shared" ref="E71:X71" si="47">LN(2)/E52</f>
        <v>#VALUE!</v>
      </c>
      <c r="F71" t="e">
        <f t="shared" si="47"/>
        <v>#VALUE!</v>
      </c>
      <c r="G71" t="e">
        <f t="shared" si="47"/>
        <v>#VALUE!</v>
      </c>
      <c r="H71" t="e">
        <f t="shared" si="47"/>
        <v>#VALUE!</v>
      </c>
      <c r="I71" t="e">
        <f t="shared" si="47"/>
        <v>#VALUE!</v>
      </c>
      <c r="J71">
        <f t="shared" si="47"/>
        <v>38.723306176533256</v>
      </c>
      <c r="K71">
        <f>LN(2)/K52</f>
        <v>27.949483087094571</v>
      </c>
      <c r="L71">
        <f t="shared" si="47"/>
        <v>22.800894097366623</v>
      </c>
      <c r="M71" t="e">
        <f t="shared" si="47"/>
        <v>#VALUE!</v>
      </c>
      <c r="N71" t="e">
        <f t="shared" si="47"/>
        <v>#VALUE!</v>
      </c>
      <c r="O71" t="e">
        <f t="shared" si="47"/>
        <v>#VALUE!</v>
      </c>
      <c r="P71" t="e">
        <f t="shared" si="47"/>
        <v>#VALUE!</v>
      </c>
      <c r="Q71" s="30">
        <f t="shared" si="47"/>
        <v>3.6948143953088772</v>
      </c>
      <c r="R71">
        <f t="shared" si="47"/>
        <v>21.865841658042438</v>
      </c>
      <c r="S71">
        <f t="shared" si="47"/>
        <v>37.066694147590653</v>
      </c>
      <c r="T71">
        <f t="shared" si="47"/>
        <v>21.327605555690624</v>
      </c>
      <c r="U71">
        <f t="shared" si="47"/>
        <v>15.576341136178547</v>
      </c>
      <c r="V71">
        <f t="shared" si="47"/>
        <v>12.859873479776349</v>
      </c>
      <c r="W71">
        <f t="shared" si="47"/>
        <v>10.360944402988718</v>
      </c>
      <c r="X71">
        <f t="shared" si="47"/>
        <v>14.747812352339261</v>
      </c>
      <c r="Y71" t="e">
        <f t="shared" ref="Y71:AO71" si="48">LN(2)/Y52</f>
        <v>#VALUE!</v>
      </c>
      <c r="Z71" t="e">
        <f t="shared" si="48"/>
        <v>#VALUE!</v>
      </c>
      <c r="AA71">
        <f t="shared" si="48"/>
        <v>48.471830808387779</v>
      </c>
      <c r="AB71" t="e">
        <f t="shared" si="48"/>
        <v>#VALUE!</v>
      </c>
      <c r="AC71">
        <f t="shared" si="48"/>
        <v>22.951893396024676</v>
      </c>
      <c r="AD71">
        <f t="shared" si="48"/>
        <v>70.729304138769933</v>
      </c>
      <c r="AE71">
        <f t="shared" si="48"/>
        <v>25.767553180667111</v>
      </c>
      <c r="AF71">
        <f t="shared" si="48"/>
        <v>10.50223000848402</v>
      </c>
      <c r="AG71">
        <f t="shared" si="48"/>
        <v>4.1283334160806753</v>
      </c>
      <c r="AH71" t="e">
        <f t="shared" si="48"/>
        <v>#VALUE!</v>
      </c>
      <c r="AI71" t="e">
        <f t="shared" si="48"/>
        <v>#VALUE!</v>
      </c>
      <c r="AJ71">
        <f t="shared" si="48"/>
        <v>42.786862997527486</v>
      </c>
      <c r="AK71">
        <f t="shared" si="48"/>
        <v>27.182242374899818</v>
      </c>
      <c r="AL71">
        <f t="shared" si="48"/>
        <v>16.582468434448455</v>
      </c>
      <c r="AM71">
        <f t="shared" si="48"/>
        <v>7.4853907187899056</v>
      </c>
      <c r="AN71">
        <f t="shared" si="48"/>
        <v>3.3729789808269848</v>
      </c>
      <c r="AO71">
        <f t="shared" si="48"/>
        <v>4.7935489665279754</v>
      </c>
    </row>
    <row r="72" spans="1:44" x14ac:dyDescent="0.25">
      <c r="B72" t="s">
        <v>39</v>
      </c>
      <c r="D72">
        <f>LN(2)/D58</f>
        <v>27.39712176126266</v>
      </c>
      <c r="E72" t="e">
        <f t="shared" ref="E72:X72" si="49">LN(2)/E58</f>
        <v>#VALUE!</v>
      </c>
      <c r="F72" t="e">
        <f t="shared" si="49"/>
        <v>#VALUE!</v>
      </c>
      <c r="G72" t="e">
        <f t="shared" si="49"/>
        <v>#VALUE!</v>
      </c>
      <c r="H72">
        <f t="shared" si="49"/>
        <v>19.975423070891793</v>
      </c>
      <c r="I72">
        <f t="shared" si="49"/>
        <v>39.836044859766972</v>
      </c>
      <c r="J72">
        <f t="shared" si="49"/>
        <v>29.748806032615676</v>
      </c>
      <c r="K72">
        <f>LN(2)/K58</f>
        <v>20.877927125299557</v>
      </c>
      <c r="L72">
        <f t="shared" si="49"/>
        <v>24.320953703857729</v>
      </c>
      <c r="M72">
        <f t="shared" si="49"/>
        <v>11.571739241401424</v>
      </c>
      <c r="N72" s="30">
        <f t="shared" si="49"/>
        <v>9.8318749015595088</v>
      </c>
      <c r="O72" t="e">
        <f t="shared" si="49"/>
        <v>#VALUE!</v>
      </c>
      <c r="P72" t="e">
        <f t="shared" si="49"/>
        <v>#VALUE!</v>
      </c>
      <c r="Q72" s="30">
        <f t="shared" si="49"/>
        <v>5.4321879354227693</v>
      </c>
      <c r="R72">
        <f t="shared" si="49"/>
        <v>33.647921386405109</v>
      </c>
      <c r="S72">
        <f t="shared" si="49"/>
        <v>28.64244547768369</v>
      </c>
      <c r="T72">
        <f t="shared" si="49"/>
        <v>16.464303576245733</v>
      </c>
      <c r="U72">
        <f t="shared" si="49"/>
        <v>13.004637533957698</v>
      </c>
      <c r="V72">
        <f t="shared" si="49"/>
        <v>11.270685862763338</v>
      </c>
      <c r="W72">
        <f t="shared" si="49"/>
        <v>8.7629226366617612</v>
      </c>
      <c r="X72">
        <f t="shared" si="49"/>
        <v>7.1384879563331127</v>
      </c>
      <c r="Y72" t="e">
        <f t="shared" ref="Y72:AO72" si="50">LN(2)/Y58</f>
        <v>#VALUE!</v>
      </c>
      <c r="Z72" t="e">
        <f t="shared" si="50"/>
        <v>#VALUE!</v>
      </c>
      <c r="AA72" t="e">
        <f t="shared" si="50"/>
        <v>#VALUE!</v>
      </c>
      <c r="AB72" t="e">
        <f t="shared" si="50"/>
        <v>#VALUE!</v>
      </c>
      <c r="AC72" t="e">
        <f t="shared" si="50"/>
        <v>#VALUE!</v>
      </c>
      <c r="AD72">
        <f t="shared" si="50"/>
        <v>128.36058899258245</v>
      </c>
      <c r="AE72">
        <f t="shared" si="50"/>
        <v>23.819490740891588</v>
      </c>
      <c r="AF72">
        <f t="shared" si="50"/>
        <v>7.8410314542980233</v>
      </c>
      <c r="AG72" t="e">
        <f t="shared" si="50"/>
        <v>#VALUE!</v>
      </c>
      <c r="AH72" t="e">
        <f t="shared" si="50"/>
        <v>#VALUE!</v>
      </c>
      <c r="AI72" t="e">
        <f t="shared" si="50"/>
        <v>#VALUE!</v>
      </c>
      <c r="AJ72">
        <f t="shared" si="50"/>
        <v>28.176714656908345</v>
      </c>
      <c r="AK72">
        <f t="shared" si="50"/>
        <v>19.254088348887372</v>
      </c>
      <c r="AL72">
        <f t="shared" si="50"/>
        <v>12.012949403118636</v>
      </c>
      <c r="AM72">
        <f t="shared" si="50"/>
        <v>4.1781023541889413</v>
      </c>
      <c r="AN72" s="30">
        <f t="shared" si="50"/>
        <v>2.0928356900964533</v>
      </c>
      <c r="AO72" s="30">
        <f t="shared" si="50"/>
        <v>1.6294009886223444</v>
      </c>
    </row>
    <row r="73" spans="1:44" x14ac:dyDescent="0.25">
      <c r="B73" t="s">
        <v>40</v>
      </c>
      <c r="D73">
        <f>LN(2)/D64</f>
        <v>23.259972502011586</v>
      </c>
      <c r="E73" t="e">
        <f t="shared" ref="E73:X73" si="51">LN(2)/E64</f>
        <v>#VALUE!</v>
      </c>
      <c r="F73" t="e">
        <f t="shared" si="51"/>
        <v>#VALUE!</v>
      </c>
      <c r="G73" t="e">
        <f t="shared" si="51"/>
        <v>#VALUE!</v>
      </c>
      <c r="H73">
        <f t="shared" si="51"/>
        <v>8.3011638390412603</v>
      </c>
      <c r="I73">
        <f t="shared" si="51"/>
        <v>44.432511574355466</v>
      </c>
      <c r="J73">
        <f t="shared" si="51"/>
        <v>77.881705680892736</v>
      </c>
      <c r="K73">
        <f t="shared" si="51"/>
        <v>41.258760747615796</v>
      </c>
      <c r="L73">
        <f t="shared" si="51"/>
        <v>21.526309955277803</v>
      </c>
      <c r="M73">
        <f t="shared" si="51"/>
        <v>21.327605555690624</v>
      </c>
      <c r="N73" t="e">
        <f t="shared" si="51"/>
        <v>#VALUE!</v>
      </c>
      <c r="O73" t="e">
        <f t="shared" si="51"/>
        <v>#VALUE!</v>
      </c>
      <c r="P73" t="e">
        <f t="shared" si="51"/>
        <v>#VALUE!</v>
      </c>
      <c r="Q73" s="30">
        <f t="shared" si="51"/>
        <v>3.6045095192924874</v>
      </c>
      <c r="R73">
        <f t="shared" si="51"/>
        <v>48.471830808387779</v>
      </c>
      <c r="S73">
        <f t="shared" si="51"/>
        <v>28.524575331684993</v>
      </c>
      <c r="T73">
        <f t="shared" si="51"/>
        <v>15.646663218057457</v>
      </c>
      <c r="U73">
        <f t="shared" si="51"/>
        <v>10.915703630865281</v>
      </c>
      <c r="V73">
        <f t="shared" si="51"/>
        <v>11.649532446385635</v>
      </c>
      <c r="W73">
        <f t="shared" si="51"/>
        <v>10.060191299854068</v>
      </c>
      <c r="X73">
        <f t="shared" si="51"/>
        <v>8.9093467938296325</v>
      </c>
      <c r="Y73" t="e">
        <f t="shared" ref="Y73:AO73" si="52">LN(2)/Y64</f>
        <v>#VALUE!</v>
      </c>
      <c r="Z73" t="e">
        <f t="shared" si="52"/>
        <v>#VALUE!</v>
      </c>
      <c r="AA73" t="e">
        <f t="shared" si="52"/>
        <v>#VALUE!</v>
      </c>
      <c r="AB73" t="e">
        <f t="shared" si="52"/>
        <v>#VALUE!</v>
      </c>
      <c r="AC73" t="e">
        <f t="shared" si="52"/>
        <v>#VALUE!</v>
      </c>
      <c r="AD73">
        <f t="shared" si="52"/>
        <v>113.63068533769594</v>
      </c>
      <c r="AE73">
        <f t="shared" si="52"/>
        <v>23.028145533553001</v>
      </c>
      <c r="AF73">
        <f t="shared" si="52"/>
        <v>11.788217356461654</v>
      </c>
      <c r="AG73" t="e">
        <f t="shared" si="52"/>
        <v>#VALUE!</v>
      </c>
      <c r="AH73" t="e">
        <f t="shared" si="52"/>
        <v>#VALUE!</v>
      </c>
      <c r="AI73" t="e">
        <f t="shared" si="52"/>
        <v>#VALUE!</v>
      </c>
      <c r="AJ73">
        <f t="shared" si="52"/>
        <v>29.246716479322586</v>
      </c>
      <c r="AK73">
        <f t="shared" si="52"/>
        <v>19.470426420223184</v>
      </c>
      <c r="AL73">
        <f t="shared" si="52"/>
        <v>12.42199248315314</v>
      </c>
      <c r="AM73">
        <f t="shared" si="52"/>
        <v>4.1136331190501201</v>
      </c>
      <c r="AN73" s="30">
        <f t="shared" si="52"/>
        <v>1.7178368787111407</v>
      </c>
      <c r="AO73" t="e">
        <f t="shared" si="52"/>
        <v>#VALUE!</v>
      </c>
    </row>
    <row r="74" spans="1:44" x14ac:dyDescent="0.25">
      <c r="B74" t="s">
        <v>41</v>
      </c>
      <c r="D74">
        <f>LN(2)/D70</f>
        <v>32.090147248145612</v>
      </c>
      <c r="E74" t="e">
        <f t="shared" ref="E74:X74" si="53">LN(2)/E70</f>
        <v>#VALUE!</v>
      </c>
      <c r="F74" t="e">
        <f t="shared" si="53"/>
        <v>#VALUE!</v>
      </c>
      <c r="G74" t="e">
        <f t="shared" si="53"/>
        <v>#VALUE!</v>
      </c>
      <c r="H74">
        <f t="shared" si="53"/>
        <v>10.582399703205271</v>
      </c>
      <c r="I74">
        <f t="shared" si="53"/>
        <v>30.40119212982216</v>
      </c>
      <c r="J74">
        <f t="shared" si="53"/>
        <v>23.576434712923309</v>
      </c>
      <c r="K74">
        <f t="shared" si="53"/>
        <v>22.216255787177733</v>
      </c>
      <c r="L74">
        <f t="shared" si="53"/>
        <v>15.10124576383323</v>
      </c>
      <c r="M74">
        <f t="shared" si="53"/>
        <v>11.143845346622914</v>
      </c>
      <c r="N74" t="e">
        <f t="shared" si="53"/>
        <v>#VALUE!</v>
      </c>
      <c r="O74" t="e">
        <f t="shared" si="53"/>
        <v>#VALUE!</v>
      </c>
      <c r="P74" t="e">
        <f t="shared" si="53"/>
        <v>#VALUE!</v>
      </c>
      <c r="Q74" s="30">
        <f t="shared" si="53"/>
        <v>3.4657359027997261</v>
      </c>
      <c r="R74">
        <f t="shared" si="53"/>
        <v>17.818693587659265</v>
      </c>
      <c r="S74">
        <f t="shared" si="53"/>
        <v>26.05816468270471</v>
      </c>
      <c r="T74">
        <f t="shared" si="53"/>
        <v>14.145860827753985</v>
      </c>
      <c r="U74">
        <f t="shared" si="53"/>
        <v>10.598580742506808</v>
      </c>
      <c r="V74">
        <f t="shared" si="53"/>
        <v>8.3111172729010221</v>
      </c>
      <c r="W74">
        <f t="shared" si="53"/>
        <v>8.7408219490535348</v>
      </c>
      <c r="X74">
        <f t="shared" si="53"/>
        <v>9.6808265441333141</v>
      </c>
      <c r="Y74" t="e">
        <f t="shared" ref="Y74:AO74" si="54">LN(2)/Y70</f>
        <v>#VALUE!</v>
      </c>
      <c r="Z74" t="e">
        <f t="shared" si="54"/>
        <v>#VALUE!</v>
      </c>
      <c r="AA74" t="e">
        <f t="shared" si="54"/>
        <v>#VALUE!</v>
      </c>
      <c r="AB74" t="e">
        <f t="shared" si="54"/>
        <v>#VALUE!</v>
      </c>
      <c r="AC74" t="e">
        <f t="shared" si="54"/>
        <v>#VALUE!</v>
      </c>
      <c r="AD74">
        <f t="shared" si="54"/>
        <v>45.601788194733246</v>
      </c>
      <c r="AE74">
        <f t="shared" si="54"/>
        <v>19.254088348887372</v>
      </c>
      <c r="AF74" s="30">
        <f t="shared" si="54"/>
        <v>2.82341010411383</v>
      </c>
      <c r="AG74" t="e">
        <f t="shared" si="54"/>
        <v>#VALUE!</v>
      </c>
      <c r="AH74" t="e">
        <f t="shared" si="54"/>
        <v>#VALUE!</v>
      </c>
      <c r="AI74" t="e">
        <f t="shared" si="54"/>
        <v>#VALUE!</v>
      </c>
      <c r="AJ74">
        <f t="shared" si="54"/>
        <v>23.819490740891588</v>
      </c>
      <c r="AK74">
        <f t="shared" si="54"/>
        <v>18.050707827081911</v>
      </c>
      <c r="AL74">
        <f t="shared" si="54"/>
        <v>12.289843626949384</v>
      </c>
      <c r="AM74" s="30">
        <f t="shared" si="54"/>
        <v>2.1907306591654403</v>
      </c>
      <c r="AN74" s="30">
        <f t="shared" si="54"/>
        <v>1.5919779066604163</v>
      </c>
      <c r="AO74" t="e">
        <f t="shared" si="54"/>
        <v>#VALUE!</v>
      </c>
    </row>
    <row r="75" spans="1:44" x14ac:dyDescent="0.25">
      <c r="A75" t="s">
        <v>127</v>
      </c>
      <c r="D75" t="s">
        <v>39</v>
      </c>
      <c r="E75" t="s">
        <v>40</v>
      </c>
      <c r="F75" t="s">
        <v>41</v>
      </c>
      <c r="G75" t="s">
        <v>36</v>
      </c>
    </row>
    <row r="76" spans="1:44" x14ac:dyDescent="0.25">
      <c r="A76" t="s">
        <v>42</v>
      </c>
      <c r="B76" s="2">
        <v>45068</v>
      </c>
      <c r="C76" s="27">
        <v>1</v>
      </c>
      <c r="D76">
        <v>1.1000000000000001</v>
      </c>
      <c r="E76">
        <v>1.2</v>
      </c>
      <c r="F76">
        <v>1.5</v>
      </c>
      <c r="G76">
        <v>1.3</v>
      </c>
      <c r="H76">
        <f>AVERAGE(D76:G76)</f>
        <v>1.2749999999999999</v>
      </c>
    </row>
    <row r="77" spans="1:44" x14ac:dyDescent="0.25">
      <c r="B77" s="2">
        <v>45069</v>
      </c>
      <c r="C77" s="27">
        <v>2</v>
      </c>
      <c r="D77">
        <v>0.65</v>
      </c>
      <c r="E77">
        <v>0.95</v>
      </c>
      <c r="F77">
        <v>1.1000000000000001</v>
      </c>
      <c r="G77">
        <v>1.1000000000000001</v>
      </c>
      <c r="H77">
        <f t="shared" ref="H77:H79" si="55">AVERAGE(D77:G77)</f>
        <v>0.95000000000000007</v>
      </c>
    </row>
    <row r="78" spans="1:44" x14ac:dyDescent="0.25">
      <c r="B78" s="2">
        <v>45070</v>
      </c>
      <c r="C78" s="27">
        <v>3</v>
      </c>
      <c r="D78">
        <v>0.64</v>
      </c>
      <c r="E78">
        <v>0.95</v>
      </c>
      <c r="F78">
        <v>1.08</v>
      </c>
      <c r="G78">
        <v>1.05</v>
      </c>
      <c r="H78">
        <f t="shared" si="55"/>
        <v>0.92999999999999994</v>
      </c>
    </row>
    <row r="79" spans="1:44" x14ac:dyDescent="0.25">
      <c r="B79" s="2">
        <v>45071</v>
      </c>
      <c r="C79" s="27">
        <v>4</v>
      </c>
      <c r="D79">
        <v>0.68</v>
      </c>
      <c r="E79">
        <v>0.9</v>
      </c>
      <c r="F79">
        <v>1.1000000000000001</v>
      </c>
      <c r="G79">
        <v>1.08</v>
      </c>
      <c r="H79">
        <f t="shared" si="55"/>
        <v>0.94000000000000006</v>
      </c>
    </row>
    <row r="80" spans="1:44" x14ac:dyDescent="0.25">
      <c r="B80" s="2">
        <v>45072</v>
      </c>
      <c r="C80" s="27">
        <v>5</v>
      </c>
      <c r="D80">
        <v>0.56000000000000005</v>
      </c>
      <c r="E80">
        <v>0.88</v>
      </c>
      <c r="F80">
        <v>1</v>
      </c>
      <c r="G80">
        <v>1.1000000000000001</v>
      </c>
      <c r="H80">
        <f>AVERAGE(D80:G80)</f>
        <v>0.88500000000000001</v>
      </c>
    </row>
    <row r="81" spans="1:7" x14ac:dyDescent="0.25">
      <c r="B81" s="2">
        <v>45073</v>
      </c>
      <c r="C81" s="27">
        <v>6</v>
      </c>
      <c r="D81">
        <v>0.59</v>
      </c>
      <c r="E81">
        <v>0.82</v>
      </c>
      <c r="F81">
        <v>1.23</v>
      </c>
      <c r="G81">
        <v>1.04</v>
      </c>
    </row>
    <row r="82" spans="1:7" x14ac:dyDescent="0.25">
      <c r="B82" s="2">
        <v>45074</v>
      </c>
      <c r="C82" s="27">
        <v>7</v>
      </c>
      <c r="D82">
        <v>0.42</v>
      </c>
      <c r="E82">
        <v>0.66</v>
      </c>
      <c r="F82">
        <v>1.06</v>
      </c>
      <c r="G82">
        <v>1.05</v>
      </c>
    </row>
    <row r="83" spans="1:7" x14ac:dyDescent="0.25">
      <c r="A83" t="s">
        <v>43</v>
      </c>
      <c r="B83" s="2">
        <v>45075</v>
      </c>
      <c r="C83" s="27">
        <v>8</v>
      </c>
      <c r="D83">
        <v>0.4</v>
      </c>
      <c r="E83">
        <v>0.76</v>
      </c>
      <c r="F83">
        <v>0.9</v>
      </c>
      <c r="G83">
        <v>1.1200000000000001</v>
      </c>
    </row>
    <row r="84" spans="1:7" x14ac:dyDescent="0.25">
      <c r="B84" s="2">
        <v>45076</v>
      </c>
      <c r="C84" s="27">
        <v>9</v>
      </c>
      <c r="D84">
        <v>0.4</v>
      </c>
      <c r="E84">
        <v>0.8</v>
      </c>
      <c r="F84">
        <v>0.9</v>
      </c>
      <c r="G84">
        <v>1.1000000000000001</v>
      </c>
    </row>
    <row r="85" spans="1:7" x14ac:dyDescent="0.25">
      <c r="B85" s="2">
        <v>45077</v>
      </c>
      <c r="C85" s="27">
        <v>10</v>
      </c>
      <c r="D85">
        <v>0.5</v>
      </c>
      <c r="E85">
        <v>0.7</v>
      </c>
      <c r="F85">
        <v>0.9</v>
      </c>
      <c r="G85">
        <v>1.4</v>
      </c>
    </row>
    <row r="86" spans="1:7" x14ac:dyDescent="0.25">
      <c r="B86" s="2">
        <v>45078</v>
      </c>
      <c r="C86" s="27">
        <v>11</v>
      </c>
      <c r="D86">
        <v>0.5</v>
      </c>
      <c r="E86">
        <v>0.7</v>
      </c>
      <c r="F86">
        <v>0.9</v>
      </c>
      <c r="G86">
        <v>1.1000000000000001</v>
      </c>
    </row>
    <row r="87" spans="1:7" x14ac:dyDescent="0.25">
      <c r="B87" s="2">
        <v>45079</v>
      </c>
      <c r="C87" s="27">
        <v>12</v>
      </c>
      <c r="D87">
        <v>0.5</v>
      </c>
      <c r="E87">
        <v>0.7</v>
      </c>
      <c r="F87">
        <v>0.9</v>
      </c>
      <c r="G87">
        <v>0.9</v>
      </c>
    </row>
    <row r="88" spans="1:7" x14ac:dyDescent="0.25">
      <c r="B88" s="2">
        <v>45080</v>
      </c>
      <c r="C88" s="27">
        <v>13</v>
      </c>
      <c r="D88">
        <v>0.5</v>
      </c>
      <c r="E88">
        <v>0.8</v>
      </c>
      <c r="F88">
        <v>0.9</v>
      </c>
      <c r="G88">
        <v>1</v>
      </c>
    </row>
    <row r="89" spans="1:7" x14ac:dyDescent="0.25">
      <c r="B89" s="2">
        <v>45081</v>
      </c>
      <c r="C89" s="27">
        <v>14</v>
      </c>
      <c r="D89">
        <v>0.5</v>
      </c>
      <c r="E89">
        <v>0.7</v>
      </c>
      <c r="F89">
        <v>0.8</v>
      </c>
      <c r="G89">
        <v>1</v>
      </c>
    </row>
    <row r="90" spans="1:7" x14ac:dyDescent="0.25">
      <c r="A90" t="s">
        <v>44</v>
      </c>
      <c r="B90" s="2">
        <v>45082</v>
      </c>
      <c r="C90" s="27">
        <v>15</v>
      </c>
      <c r="D90">
        <v>0.6</v>
      </c>
      <c r="E90">
        <v>0.6</v>
      </c>
      <c r="F90">
        <v>0.8</v>
      </c>
      <c r="G90">
        <v>1</v>
      </c>
    </row>
    <row r="91" spans="1:7" x14ac:dyDescent="0.25">
      <c r="B91" s="2">
        <v>45083</v>
      </c>
      <c r="C91" s="27">
        <v>16</v>
      </c>
      <c r="D91">
        <v>0.6</v>
      </c>
      <c r="E91">
        <v>0.6</v>
      </c>
      <c r="F91">
        <v>0.9</v>
      </c>
      <c r="G91">
        <v>1</v>
      </c>
    </row>
    <row r="92" spans="1:7" x14ac:dyDescent="0.25">
      <c r="B92" s="2">
        <v>45084</v>
      </c>
      <c r="C92" s="27">
        <v>17</v>
      </c>
      <c r="D92">
        <v>0.5</v>
      </c>
      <c r="E92">
        <v>0.7</v>
      </c>
      <c r="F92">
        <v>1</v>
      </c>
      <c r="G92">
        <v>1</v>
      </c>
    </row>
    <row r="93" spans="1:7" x14ac:dyDescent="0.25">
      <c r="B93" s="2">
        <v>45085</v>
      </c>
      <c r="C93" s="27">
        <v>18</v>
      </c>
      <c r="D93">
        <v>0.6</v>
      </c>
      <c r="E93">
        <v>0.7</v>
      </c>
      <c r="F93">
        <v>0.8</v>
      </c>
      <c r="G93">
        <v>1</v>
      </c>
    </row>
    <row r="94" spans="1:7" x14ac:dyDescent="0.25">
      <c r="B94" s="2">
        <v>45086</v>
      </c>
      <c r="C94" s="27">
        <v>19</v>
      </c>
      <c r="D94">
        <v>0.6</v>
      </c>
      <c r="E94">
        <v>0.7</v>
      </c>
      <c r="F94">
        <v>0.8</v>
      </c>
      <c r="G94">
        <v>1</v>
      </c>
    </row>
    <row r="95" spans="1:7" x14ac:dyDescent="0.25">
      <c r="B95" s="2">
        <v>45087</v>
      </c>
      <c r="C95" s="27">
        <v>20</v>
      </c>
      <c r="D95">
        <v>0.7</v>
      </c>
      <c r="E95">
        <v>0.6</v>
      </c>
      <c r="F95">
        <v>0.9</v>
      </c>
      <c r="G95">
        <v>0.96</v>
      </c>
    </row>
    <row r="96" spans="1:7" x14ac:dyDescent="0.25">
      <c r="B96" s="2">
        <v>45088</v>
      </c>
      <c r="C96" s="27">
        <v>21</v>
      </c>
      <c r="D96">
        <v>0.7</v>
      </c>
      <c r="E96">
        <v>0.66</v>
      </c>
      <c r="F96">
        <v>0.8</v>
      </c>
      <c r="G96">
        <v>0.9</v>
      </c>
    </row>
    <row r="97" spans="1:7" x14ac:dyDescent="0.25">
      <c r="A97" t="s">
        <v>45</v>
      </c>
      <c r="B97" s="2">
        <v>45089</v>
      </c>
      <c r="C97" s="27">
        <v>22</v>
      </c>
      <c r="D97">
        <v>0.6</v>
      </c>
      <c r="E97">
        <v>0.5</v>
      </c>
      <c r="F97">
        <v>0.8</v>
      </c>
      <c r="G97">
        <v>0.9</v>
      </c>
    </row>
    <row r="98" spans="1:7" x14ac:dyDescent="0.25">
      <c r="B98" s="2">
        <v>45090</v>
      </c>
      <c r="C98" s="27">
        <v>23</v>
      </c>
      <c r="D98">
        <v>0.7</v>
      </c>
      <c r="E98">
        <v>0.6</v>
      </c>
      <c r="F98">
        <v>0.9</v>
      </c>
      <c r="G98">
        <v>1</v>
      </c>
    </row>
    <row r="99" spans="1:7" x14ac:dyDescent="0.25">
      <c r="B99" s="2">
        <v>45091</v>
      </c>
      <c r="C99" s="27">
        <v>24</v>
      </c>
      <c r="D99">
        <v>0.6</v>
      </c>
      <c r="E99">
        <v>0.5</v>
      </c>
      <c r="F99">
        <v>0.8</v>
      </c>
      <c r="G99">
        <v>0.9</v>
      </c>
    </row>
    <row r="100" spans="1:7" x14ac:dyDescent="0.25">
      <c r="B100" s="2">
        <v>45092</v>
      </c>
      <c r="C100" s="27">
        <v>25</v>
      </c>
      <c r="D100">
        <v>0.6</v>
      </c>
      <c r="E100">
        <v>0.6</v>
      </c>
      <c r="F100">
        <v>0.8</v>
      </c>
      <c r="G100">
        <v>0.9</v>
      </c>
    </row>
    <row r="101" spans="1:7" x14ac:dyDescent="0.25">
      <c r="B101" s="2">
        <v>45093</v>
      </c>
      <c r="C101" s="27">
        <v>26</v>
      </c>
      <c r="D101">
        <v>0.7</v>
      </c>
      <c r="E101">
        <v>0.5</v>
      </c>
      <c r="F101">
        <v>0.9</v>
      </c>
      <c r="G101">
        <v>0.9</v>
      </c>
    </row>
    <row r="102" spans="1:7" x14ac:dyDescent="0.25">
      <c r="B102" s="2">
        <v>45094</v>
      </c>
      <c r="C102" s="27">
        <v>27</v>
      </c>
      <c r="D102">
        <v>0.6</v>
      </c>
      <c r="E102">
        <v>0.6</v>
      </c>
      <c r="F102">
        <v>0.8</v>
      </c>
      <c r="G102">
        <v>0.9</v>
      </c>
    </row>
    <row r="103" spans="1:7" x14ac:dyDescent="0.25">
      <c r="B103" s="2">
        <v>45095</v>
      </c>
      <c r="C103" s="27">
        <v>28</v>
      </c>
      <c r="D103">
        <v>0.6</v>
      </c>
      <c r="E103">
        <v>0.5</v>
      </c>
      <c r="F103">
        <v>0.8</v>
      </c>
      <c r="G103">
        <v>0.9</v>
      </c>
    </row>
    <row r="104" spans="1:7" x14ac:dyDescent="0.25">
      <c r="A104" t="s">
        <v>46</v>
      </c>
      <c r="B104" s="2">
        <v>45096</v>
      </c>
      <c r="C104" s="27">
        <v>29</v>
      </c>
      <c r="D104">
        <v>0.6</v>
      </c>
      <c r="E104">
        <v>0.5</v>
      </c>
      <c r="F104">
        <v>0.9</v>
      </c>
      <c r="G104">
        <v>1</v>
      </c>
    </row>
    <row r="105" spans="1:7" x14ac:dyDescent="0.25">
      <c r="B105" s="2">
        <v>45097</v>
      </c>
      <c r="C105" s="27">
        <v>30</v>
      </c>
      <c r="D105">
        <v>0.7</v>
      </c>
      <c r="E105">
        <v>0.6</v>
      </c>
      <c r="F105">
        <v>0.8</v>
      </c>
      <c r="G105">
        <v>1</v>
      </c>
    </row>
    <row r="106" spans="1:7" x14ac:dyDescent="0.25">
      <c r="B106" s="2">
        <v>45098</v>
      </c>
      <c r="C106" s="27">
        <v>31</v>
      </c>
      <c r="D106">
        <v>0.7</v>
      </c>
      <c r="E106">
        <v>0.6</v>
      </c>
      <c r="F106">
        <v>0.9</v>
      </c>
      <c r="G106">
        <v>1.1000000000000001</v>
      </c>
    </row>
    <row r="107" spans="1:7" x14ac:dyDescent="0.25">
      <c r="B107" s="2">
        <v>45099</v>
      </c>
      <c r="C107" s="27">
        <v>32</v>
      </c>
      <c r="D107">
        <v>0.7</v>
      </c>
      <c r="E107">
        <v>0.6</v>
      </c>
      <c r="F107">
        <v>0.9</v>
      </c>
      <c r="G107">
        <v>1.1000000000000001</v>
      </c>
    </row>
    <row r="108" spans="1:7" x14ac:dyDescent="0.25">
      <c r="B108" s="2">
        <v>45100</v>
      </c>
      <c r="C108" s="27">
        <v>33</v>
      </c>
      <c r="D108">
        <v>0.7</v>
      </c>
      <c r="E108">
        <v>0.6</v>
      </c>
      <c r="F108">
        <v>0.9</v>
      </c>
      <c r="G108">
        <v>1</v>
      </c>
    </row>
    <row r="109" spans="1:7" x14ac:dyDescent="0.25">
      <c r="B109" s="2">
        <v>45101</v>
      </c>
      <c r="C109" s="27">
        <v>34</v>
      </c>
      <c r="D109">
        <v>0.8</v>
      </c>
      <c r="E109">
        <v>0.6</v>
      </c>
      <c r="F109">
        <v>0.9</v>
      </c>
      <c r="G109">
        <v>1</v>
      </c>
    </row>
    <row r="110" spans="1:7" x14ac:dyDescent="0.25">
      <c r="B110" s="2">
        <v>45102</v>
      </c>
      <c r="C110" s="27">
        <v>35</v>
      </c>
      <c r="D110">
        <v>0.8</v>
      </c>
      <c r="E110">
        <v>0.6</v>
      </c>
      <c r="F110">
        <v>0.9</v>
      </c>
      <c r="G110">
        <v>1</v>
      </c>
    </row>
    <row r="111" spans="1:7" x14ac:dyDescent="0.25">
      <c r="A111" t="s">
        <v>47</v>
      </c>
      <c r="B111" s="2">
        <v>45103</v>
      </c>
      <c r="C111" s="27">
        <v>36</v>
      </c>
      <c r="D111">
        <v>0.8</v>
      </c>
      <c r="E111">
        <v>0.66</v>
      </c>
      <c r="F111">
        <v>0.9</v>
      </c>
      <c r="G111">
        <v>1</v>
      </c>
    </row>
    <row r="112" spans="1:7" x14ac:dyDescent="0.25">
      <c r="B112" s="2">
        <v>45104</v>
      </c>
      <c r="C112" s="27">
        <v>37</v>
      </c>
      <c r="D112">
        <v>0.75</v>
      </c>
      <c r="E112">
        <v>0.6</v>
      </c>
      <c r="F112">
        <v>0.94</v>
      </c>
      <c r="G112">
        <v>1.1000000000000001</v>
      </c>
    </row>
    <row r="113" spans="1:7" x14ac:dyDescent="0.25">
      <c r="B113" s="2">
        <v>45105</v>
      </c>
      <c r="C113" s="27">
        <v>38</v>
      </c>
      <c r="D113">
        <v>0.8</v>
      </c>
      <c r="E113">
        <v>0.7</v>
      </c>
      <c r="F113">
        <v>0.86</v>
      </c>
      <c r="G113">
        <v>1.1000000000000001</v>
      </c>
    </row>
    <row r="114" spans="1:7" x14ac:dyDescent="0.25">
      <c r="B114" s="2">
        <v>45106</v>
      </c>
      <c r="C114" s="27">
        <v>39</v>
      </c>
      <c r="D114">
        <v>0.78</v>
      </c>
      <c r="E114">
        <v>0.64</v>
      </c>
      <c r="F114">
        <v>0.9</v>
      </c>
      <c r="G114">
        <v>1.04</v>
      </c>
    </row>
    <row r="115" spans="1:7" x14ac:dyDescent="0.25">
      <c r="B115" s="2">
        <v>45107</v>
      </c>
      <c r="C115" s="27">
        <v>40</v>
      </c>
      <c r="D115">
        <v>0.8</v>
      </c>
      <c r="E115">
        <v>0.7</v>
      </c>
      <c r="F115">
        <v>0.94</v>
      </c>
      <c r="G115">
        <v>1</v>
      </c>
    </row>
    <row r="116" spans="1:7" x14ac:dyDescent="0.25">
      <c r="B116" s="2">
        <v>45108</v>
      </c>
      <c r="C116" s="27">
        <v>41</v>
      </c>
      <c r="D116">
        <v>0.76</v>
      </c>
      <c r="E116">
        <v>0.74</v>
      </c>
      <c r="F116">
        <v>0.9</v>
      </c>
      <c r="G116">
        <v>1.1499999999999999</v>
      </c>
    </row>
    <row r="117" spans="1:7" x14ac:dyDescent="0.25">
      <c r="B117" s="2">
        <v>45109</v>
      </c>
      <c r="C117" s="27">
        <v>42</v>
      </c>
      <c r="D117">
        <v>0.7</v>
      </c>
      <c r="E117">
        <v>0.7</v>
      </c>
      <c r="F117">
        <v>0.9</v>
      </c>
      <c r="G117">
        <v>1</v>
      </c>
    </row>
    <row r="118" spans="1:7" x14ac:dyDescent="0.25">
      <c r="A118" t="s">
        <v>48</v>
      </c>
      <c r="B118" s="2">
        <v>45110</v>
      </c>
      <c r="C118" s="27">
        <v>43</v>
      </c>
      <c r="D118">
        <v>0.7</v>
      </c>
      <c r="E118">
        <v>0.8</v>
      </c>
      <c r="F118">
        <v>0.9</v>
      </c>
      <c r="G118">
        <v>1</v>
      </c>
    </row>
    <row r="119" spans="1:7" x14ac:dyDescent="0.25">
      <c r="B119" s="2">
        <v>45111</v>
      </c>
      <c r="C119" s="27">
        <v>44</v>
      </c>
      <c r="D119">
        <v>0.7</v>
      </c>
      <c r="E119">
        <v>0.7</v>
      </c>
      <c r="F119">
        <v>0.9</v>
      </c>
      <c r="G119">
        <v>1</v>
      </c>
    </row>
    <row r="120" spans="1:7" x14ac:dyDescent="0.25">
      <c r="B120" s="2">
        <v>45112</v>
      </c>
      <c r="C120" s="27">
        <v>45</v>
      </c>
      <c r="D120">
        <v>0.7</v>
      </c>
      <c r="E120">
        <v>0.7</v>
      </c>
      <c r="F120">
        <v>0.9</v>
      </c>
      <c r="G120">
        <v>1</v>
      </c>
    </row>
    <row r="121" spans="1:7" x14ac:dyDescent="0.25">
      <c r="B121" s="2">
        <v>45113</v>
      </c>
      <c r="C121" s="27">
        <v>46</v>
      </c>
      <c r="D121">
        <v>0.7</v>
      </c>
      <c r="E121">
        <v>0.6</v>
      </c>
      <c r="F121">
        <v>0.8</v>
      </c>
      <c r="G121">
        <v>0.9</v>
      </c>
    </row>
    <row r="122" spans="1:7" x14ac:dyDescent="0.25">
      <c r="B122" s="2">
        <v>45114</v>
      </c>
      <c r="C122" s="27">
        <v>47</v>
      </c>
      <c r="D122">
        <v>0.7</v>
      </c>
      <c r="E122">
        <v>0.8</v>
      </c>
      <c r="F122">
        <v>0.8</v>
      </c>
      <c r="G122">
        <v>1</v>
      </c>
    </row>
    <row r="123" spans="1:7" x14ac:dyDescent="0.25">
      <c r="B123" s="2">
        <v>45115</v>
      </c>
      <c r="C123" s="27">
        <v>48</v>
      </c>
      <c r="D123">
        <v>0.7</v>
      </c>
      <c r="E123">
        <v>0.5</v>
      </c>
      <c r="F123">
        <v>0.8</v>
      </c>
      <c r="G123">
        <v>1</v>
      </c>
    </row>
    <row r="124" spans="1:7" x14ac:dyDescent="0.25">
      <c r="B124" s="2">
        <v>45116</v>
      </c>
      <c r="C124" s="27">
        <v>49</v>
      </c>
      <c r="D124">
        <v>0.7</v>
      </c>
      <c r="E124">
        <v>0.6</v>
      </c>
      <c r="F124">
        <v>0.7</v>
      </c>
    </row>
    <row r="125" spans="1:7" x14ac:dyDescent="0.25">
      <c r="A125" t="s">
        <v>49</v>
      </c>
      <c r="B125" s="2">
        <v>45117</v>
      </c>
      <c r="C125" s="27">
        <v>50</v>
      </c>
      <c r="D125">
        <v>0.7</v>
      </c>
      <c r="E125">
        <v>0.6</v>
      </c>
      <c r="F125">
        <v>0.9</v>
      </c>
      <c r="G125">
        <v>1</v>
      </c>
    </row>
    <row r="126" spans="1:7" x14ac:dyDescent="0.25">
      <c r="B126" s="2">
        <v>45118</v>
      </c>
      <c r="C126" s="27">
        <v>51</v>
      </c>
      <c r="D126">
        <v>0.8</v>
      </c>
      <c r="E126">
        <v>0.6</v>
      </c>
      <c r="F126">
        <v>0.9</v>
      </c>
      <c r="G126">
        <v>1</v>
      </c>
    </row>
    <row r="127" spans="1:7" x14ac:dyDescent="0.25">
      <c r="B127" s="2">
        <v>45119</v>
      </c>
      <c r="C127" s="27">
        <v>52</v>
      </c>
      <c r="D127">
        <v>0.8</v>
      </c>
      <c r="E127">
        <v>0.6</v>
      </c>
      <c r="F127">
        <v>0.8</v>
      </c>
      <c r="G127">
        <v>1</v>
      </c>
    </row>
    <row r="128" spans="1:7" x14ac:dyDescent="0.25">
      <c r="B128" s="2">
        <v>45120</v>
      </c>
      <c r="C128" s="27">
        <v>53</v>
      </c>
      <c r="D128">
        <v>0.8</v>
      </c>
      <c r="E128">
        <v>0.6</v>
      </c>
      <c r="F128">
        <v>0.8</v>
      </c>
      <c r="G128">
        <v>1</v>
      </c>
    </row>
    <row r="129" spans="1:7" x14ac:dyDescent="0.25">
      <c r="B129" s="2">
        <v>45121</v>
      </c>
      <c r="C129" s="27">
        <v>54</v>
      </c>
      <c r="D129">
        <v>0.7</v>
      </c>
      <c r="E129">
        <v>0.7</v>
      </c>
      <c r="F129">
        <v>0.9</v>
      </c>
      <c r="G129">
        <v>1</v>
      </c>
    </row>
    <row r="130" spans="1:7" x14ac:dyDescent="0.25">
      <c r="B130" s="2">
        <v>45122</v>
      </c>
      <c r="C130" s="27">
        <v>55</v>
      </c>
      <c r="D130">
        <v>0.8</v>
      </c>
      <c r="E130">
        <v>0.7</v>
      </c>
      <c r="F130">
        <v>0.9</v>
      </c>
      <c r="G130">
        <v>0.9</v>
      </c>
    </row>
    <row r="131" spans="1:7" x14ac:dyDescent="0.25">
      <c r="B131" s="2">
        <v>45123</v>
      </c>
      <c r="C131" s="27">
        <v>56</v>
      </c>
      <c r="D131">
        <v>0.8</v>
      </c>
      <c r="E131">
        <v>0.7</v>
      </c>
      <c r="F131">
        <v>1</v>
      </c>
      <c r="G131">
        <v>1.1000000000000001</v>
      </c>
    </row>
    <row r="132" spans="1:7" x14ac:dyDescent="0.25">
      <c r="A132" t="s">
        <v>50</v>
      </c>
      <c r="B132" s="2">
        <v>45124</v>
      </c>
      <c r="C132" s="27">
        <v>57</v>
      </c>
      <c r="D132">
        <v>0.6</v>
      </c>
      <c r="E132">
        <v>0.8</v>
      </c>
      <c r="F132">
        <v>0.9</v>
      </c>
      <c r="G132">
        <v>1</v>
      </c>
    </row>
    <row r="133" spans="1:7" x14ac:dyDescent="0.25">
      <c r="B133" s="2">
        <v>45125</v>
      </c>
      <c r="C133" s="27">
        <v>58</v>
      </c>
      <c r="D133">
        <v>0.6</v>
      </c>
      <c r="E133">
        <v>0.7</v>
      </c>
      <c r="F133">
        <v>1</v>
      </c>
      <c r="G133">
        <v>1</v>
      </c>
    </row>
    <row r="134" spans="1:7" x14ac:dyDescent="0.25">
      <c r="B134" s="2">
        <v>45126</v>
      </c>
      <c r="C134" s="27">
        <v>59</v>
      </c>
      <c r="D134">
        <v>0.6</v>
      </c>
      <c r="E134">
        <v>0.8</v>
      </c>
      <c r="F134">
        <v>1.2</v>
      </c>
      <c r="G134">
        <v>1.1000000000000001</v>
      </c>
    </row>
    <row r="135" spans="1:7" x14ac:dyDescent="0.25">
      <c r="B135" s="2">
        <v>45127</v>
      </c>
      <c r="C135" s="27">
        <v>60</v>
      </c>
      <c r="D135">
        <v>0.6</v>
      </c>
      <c r="E135">
        <v>0.9</v>
      </c>
      <c r="F135">
        <v>1.1000000000000001</v>
      </c>
      <c r="G135">
        <v>1.18</v>
      </c>
    </row>
    <row r="136" spans="1:7" x14ac:dyDescent="0.25">
      <c r="B136" s="2">
        <v>45128</v>
      </c>
      <c r="C136" s="27">
        <v>61</v>
      </c>
      <c r="D136">
        <v>0.7</v>
      </c>
      <c r="E136">
        <v>0.9</v>
      </c>
      <c r="F136">
        <v>1.08</v>
      </c>
      <c r="G136">
        <v>1.08</v>
      </c>
    </row>
    <row r="137" spans="1:7" x14ac:dyDescent="0.25">
      <c r="B137" s="2">
        <v>45129</v>
      </c>
      <c r="C137" s="27">
        <v>62</v>
      </c>
      <c r="D137">
        <v>0.7</v>
      </c>
      <c r="E137">
        <v>0.98</v>
      </c>
      <c r="F137">
        <v>1.1000000000000001</v>
      </c>
      <c r="G137">
        <v>1.08</v>
      </c>
    </row>
    <row r="138" spans="1:7" x14ac:dyDescent="0.25">
      <c r="B138" s="2">
        <v>45130</v>
      </c>
      <c r="C138" s="27">
        <v>63</v>
      </c>
      <c r="D138">
        <v>0.7</v>
      </c>
      <c r="E138">
        <v>1</v>
      </c>
      <c r="F138">
        <v>1.1000000000000001</v>
      </c>
      <c r="G138">
        <v>1.2</v>
      </c>
    </row>
    <row r="139" spans="1:7" x14ac:dyDescent="0.25">
      <c r="A139" t="s">
        <v>51</v>
      </c>
      <c r="B139" s="2">
        <v>45131</v>
      </c>
      <c r="C139" s="27">
        <v>64</v>
      </c>
      <c r="D139">
        <v>1</v>
      </c>
      <c r="E139">
        <v>1</v>
      </c>
      <c r="F139">
        <v>1</v>
      </c>
      <c r="G139">
        <v>1</v>
      </c>
    </row>
    <row r="140" spans="1:7" x14ac:dyDescent="0.25">
      <c r="B140" s="2">
        <v>45132</v>
      </c>
      <c r="C140" s="27">
        <v>65</v>
      </c>
      <c r="D140">
        <v>1</v>
      </c>
      <c r="E140">
        <v>1</v>
      </c>
      <c r="F140">
        <v>1</v>
      </c>
      <c r="G140">
        <v>1</v>
      </c>
    </row>
    <row r="141" spans="1:7" x14ac:dyDescent="0.25">
      <c r="B141" s="2">
        <v>45133</v>
      </c>
      <c r="C141" s="27">
        <v>66</v>
      </c>
      <c r="D141">
        <v>1.1000000000000001</v>
      </c>
      <c r="E141">
        <v>1.1000000000000001</v>
      </c>
      <c r="F141">
        <v>1.1000000000000001</v>
      </c>
      <c r="G141">
        <v>1.2</v>
      </c>
    </row>
    <row r="142" spans="1:7" x14ac:dyDescent="0.25">
      <c r="B142" s="2">
        <v>45134</v>
      </c>
      <c r="C142" s="27">
        <v>67</v>
      </c>
      <c r="D142">
        <v>1.1000000000000001</v>
      </c>
      <c r="E142">
        <v>1.1000000000000001</v>
      </c>
      <c r="F142">
        <v>1.1000000000000001</v>
      </c>
      <c r="G142">
        <v>1.1000000000000001</v>
      </c>
    </row>
    <row r="143" spans="1:7" x14ac:dyDescent="0.25">
      <c r="B143" s="2">
        <v>45135</v>
      </c>
      <c r="C143" s="27">
        <v>68</v>
      </c>
      <c r="D143">
        <v>1</v>
      </c>
      <c r="E143">
        <v>1.2</v>
      </c>
      <c r="F143">
        <v>1</v>
      </c>
      <c r="G143">
        <v>1.1000000000000001</v>
      </c>
    </row>
    <row r="144" spans="1:7" x14ac:dyDescent="0.25">
      <c r="B144" s="2">
        <v>45136</v>
      </c>
      <c r="C144" s="27">
        <v>69</v>
      </c>
      <c r="D144">
        <v>1.2</v>
      </c>
      <c r="E144">
        <v>1.2</v>
      </c>
      <c r="F144">
        <v>1.1000000000000001</v>
      </c>
      <c r="G144">
        <v>1.1000000000000001</v>
      </c>
    </row>
    <row r="145" spans="1:7" x14ac:dyDescent="0.25">
      <c r="B145" s="2">
        <v>45137</v>
      </c>
      <c r="C145" s="27">
        <v>70</v>
      </c>
      <c r="D145">
        <v>1.1000000000000001</v>
      </c>
      <c r="E145">
        <v>1.1000000000000001</v>
      </c>
      <c r="F145">
        <v>1</v>
      </c>
      <c r="G145">
        <v>1.1000000000000001</v>
      </c>
    </row>
    <row r="146" spans="1:7" x14ac:dyDescent="0.25">
      <c r="A146" t="s">
        <v>52</v>
      </c>
      <c r="B146" s="2">
        <v>45138</v>
      </c>
      <c r="C146" s="27">
        <v>71</v>
      </c>
      <c r="D146">
        <v>1.2</v>
      </c>
      <c r="E146">
        <v>1.1000000000000001</v>
      </c>
      <c r="F146">
        <v>1.1000000000000001</v>
      </c>
      <c r="G146">
        <v>1.1000000000000001</v>
      </c>
    </row>
    <row r="147" spans="1:7" x14ac:dyDescent="0.25">
      <c r="B147" s="2">
        <v>45139</v>
      </c>
      <c r="C147" s="27">
        <v>72</v>
      </c>
      <c r="D147">
        <v>1.1000000000000001</v>
      </c>
      <c r="E147">
        <v>1.3</v>
      </c>
      <c r="F147">
        <v>1.1000000000000001</v>
      </c>
      <c r="G147">
        <v>1</v>
      </c>
    </row>
    <row r="148" spans="1:7" x14ac:dyDescent="0.25">
      <c r="B148" s="2">
        <v>45140</v>
      </c>
      <c r="C148" s="27">
        <v>73</v>
      </c>
      <c r="D148">
        <v>1.2</v>
      </c>
      <c r="E148">
        <v>1.2</v>
      </c>
      <c r="F148">
        <v>1</v>
      </c>
      <c r="G148">
        <v>1.1000000000000001</v>
      </c>
    </row>
    <row r="149" spans="1:7" x14ac:dyDescent="0.25">
      <c r="B149" s="2">
        <v>45141</v>
      </c>
      <c r="C149" s="27">
        <v>74</v>
      </c>
      <c r="D149">
        <v>1.2</v>
      </c>
      <c r="E149">
        <v>1.3</v>
      </c>
      <c r="F149">
        <v>1.19</v>
      </c>
      <c r="G149">
        <v>1.2</v>
      </c>
    </row>
    <row r="150" spans="1:7" x14ac:dyDescent="0.25">
      <c r="B150" s="2">
        <v>45142</v>
      </c>
      <c r="C150" s="27">
        <v>75</v>
      </c>
      <c r="D150">
        <v>1.1000000000000001</v>
      </c>
      <c r="E150">
        <v>1.1000000000000001</v>
      </c>
      <c r="F150">
        <v>1.2</v>
      </c>
      <c r="G150">
        <v>1.2</v>
      </c>
    </row>
    <row r="151" spans="1:7" x14ac:dyDescent="0.25">
      <c r="B151" s="2">
        <v>45143</v>
      </c>
      <c r="C151" s="27">
        <v>76</v>
      </c>
      <c r="D151">
        <v>1.3</v>
      </c>
      <c r="E151">
        <v>1.2</v>
      </c>
      <c r="F151">
        <v>1</v>
      </c>
      <c r="G151">
        <v>1.2</v>
      </c>
    </row>
    <row r="152" spans="1:7" x14ac:dyDescent="0.25">
      <c r="B152" s="2">
        <v>45144</v>
      </c>
      <c r="C152" s="27">
        <v>77</v>
      </c>
      <c r="D152">
        <v>1.2</v>
      </c>
      <c r="E152">
        <v>1.3</v>
      </c>
      <c r="F152">
        <v>1.1000000000000001</v>
      </c>
      <c r="G152">
        <v>1</v>
      </c>
    </row>
    <row r="153" spans="1:7" x14ac:dyDescent="0.25">
      <c r="A153" t="s">
        <v>53</v>
      </c>
      <c r="B153" s="2">
        <v>45145</v>
      </c>
      <c r="C153" s="27">
        <v>78</v>
      </c>
      <c r="D153">
        <v>1.2</v>
      </c>
      <c r="E153">
        <v>1.2</v>
      </c>
      <c r="F153">
        <v>1</v>
      </c>
      <c r="G153">
        <v>1</v>
      </c>
    </row>
    <row r="154" spans="1:7" x14ac:dyDescent="0.25">
      <c r="B154" s="2">
        <v>45146</v>
      </c>
      <c r="C154" s="27">
        <v>79</v>
      </c>
      <c r="D154">
        <v>1.2</v>
      </c>
      <c r="E154">
        <v>1.2</v>
      </c>
      <c r="F154">
        <v>1</v>
      </c>
      <c r="G154">
        <v>1.1000000000000001</v>
      </c>
    </row>
    <row r="155" spans="1:7" x14ac:dyDescent="0.25">
      <c r="B155" s="2">
        <v>45147</v>
      </c>
      <c r="C155" s="27">
        <v>80</v>
      </c>
      <c r="D155">
        <v>1.2</v>
      </c>
      <c r="E155">
        <v>1.3</v>
      </c>
      <c r="F155">
        <v>1.1000000000000001</v>
      </c>
      <c r="G155">
        <v>1.1000000000000001</v>
      </c>
    </row>
    <row r="156" spans="1:7" x14ac:dyDescent="0.25">
      <c r="B156" s="2">
        <v>45148</v>
      </c>
      <c r="C156" s="27">
        <v>81</v>
      </c>
      <c r="D156">
        <v>1.2</v>
      </c>
      <c r="E156">
        <v>1.2</v>
      </c>
      <c r="F156">
        <v>1</v>
      </c>
      <c r="G156">
        <v>1</v>
      </c>
    </row>
    <row r="157" spans="1:7" x14ac:dyDescent="0.25">
      <c r="B157" s="2">
        <v>45149</v>
      </c>
      <c r="C157" s="27">
        <v>82</v>
      </c>
      <c r="D157">
        <v>1.2</v>
      </c>
      <c r="E157">
        <v>1.3</v>
      </c>
      <c r="F157">
        <v>0.82</v>
      </c>
      <c r="G157">
        <v>1</v>
      </c>
    </row>
    <row r="158" spans="1:7" x14ac:dyDescent="0.25">
      <c r="B158" s="2">
        <v>45150</v>
      </c>
      <c r="C158" s="27">
        <v>83</v>
      </c>
      <c r="D158">
        <v>1.3</v>
      </c>
      <c r="E158">
        <v>1.3</v>
      </c>
      <c r="F158">
        <v>1</v>
      </c>
      <c r="G158">
        <v>1.1000000000000001</v>
      </c>
    </row>
    <row r="159" spans="1:7" x14ac:dyDescent="0.25">
      <c r="B159" s="2">
        <v>45151</v>
      </c>
      <c r="C159" s="27">
        <v>84</v>
      </c>
      <c r="D159">
        <v>1.3</v>
      </c>
      <c r="E159">
        <v>1.4</v>
      </c>
      <c r="F159">
        <v>1</v>
      </c>
      <c r="G159">
        <v>1.1000000000000001</v>
      </c>
    </row>
    <row r="160" spans="1:7" x14ac:dyDescent="0.25">
      <c r="A160" t="s">
        <v>54</v>
      </c>
      <c r="B160" s="2">
        <v>45152</v>
      </c>
      <c r="C160" s="27">
        <v>85</v>
      </c>
      <c r="D160">
        <v>1.3</v>
      </c>
      <c r="E160">
        <v>1.4</v>
      </c>
      <c r="F160">
        <v>1</v>
      </c>
      <c r="G160">
        <v>1.1000000000000001</v>
      </c>
    </row>
    <row r="161" spans="1:7" x14ac:dyDescent="0.25">
      <c r="B161" s="2">
        <v>45153</v>
      </c>
      <c r="C161" s="27">
        <v>86</v>
      </c>
      <c r="D161">
        <v>1.3</v>
      </c>
      <c r="E161">
        <v>1.4</v>
      </c>
      <c r="F161">
        <v>0.9</v>
      </c>
      <c r="G161">
        <v>1</v>
      </c>
    </row>
    <row r="162" spans="1:7" x14ac:dyDescent="0.25">
      <c r="B162" s="2">
        <v>45154</v>
      </c>
      <c r="C162" s="27">
        <v>87</v>
      </c>
      <c r="D162">
        <v>1.2</v>
      </c>
      <c r="E162">
        <v>1.4</v>
      </c>
      <c r="F162">
        <v>1</v>
      </c>
      <c r="G162">
        <v>1</v>
      </c>
    </row>
    <row r="163" spans="1:7" x14ac:dyDescent="0.25">
      <c r="B163" s="2">
        <v>45155</v>
      </c>
      <c r="C163" s="27">
        <v>88</v>
      </c>
      <c r="D163">
        <v>1.3</v>
      </c>
      <c r="E163">
        <v>1.4</v>
      </c>
      <c r="F163">
        <v>1.2</v>
      </c>
      <c r="G163">
        <v>1.1000000000000001</v>
      </c>
    </row>
    <row r="164" spans="1:7" x14ac:dyDescent="0.25">
      <c r="B164" s="2">
        <v>45156</v>
      </c>
      <c r="C164" s="27">
        <v>89</v>
      </c>
      <c r="D164">
        <v>1.3</v>
      </c>
      <c r="E164">
        <v>1.4</v>
      </c>
      <c r="F164">
        <v>1.1000000000000001</v>
      </c>
      <c r="G164">
        <v>1.1000000000000001</v>
      </c>
    </row>
    <row r="165" spans="1:7" x14ac:dyDescent="0.25">
      <c r="B165" s="2">
        <v>45157</v>
      </c>
      <c r="C165" s="27">
        <v>90</v>
      </c>
      <c r="D165">
        <v>1.3</v>
      </c>
      <c r="E165">
        <v>1.3</v>
      </c>
      <c r="F165">
        <v>1.06</v>
      </c>
      <c r="G165">
        <v>1.1000000000000001</v>
      </c>
    </row>
    <row r="166" spans="1:7" x14ac:dyDescent="0.25">
      <c r="B166" s="2">
        <v>45158</v>
      </c>
      <c r="C166" s="27">
        <v>91</v>
      </c>
      <c r="D166">
        <v>1.3</v>
      </c>
      <c r="E166">
        <v>1.4</v>
      </c>
      <c r="F166">
        <v>1.1000000000000001</v>
      </c>
      <c r="G166">
        <v>1.1000000000000001</v>
      </c>
    </row>
    <row r="167" spans="1:7" x14ac:dyDescent="0.25">
      <c r="A167" t="s">
        <v>55</v>
      </c>
      <c r="B167" s="2">
        <v>45159</v>
      </c>
      <c r="C167" s="27">
        <v>92</v>
      </c>
      <c r="D167">
        <v>1.4</v>
      </c>
      <c r="E167">
        <v>1.5</v>
      </c>
      <c r="F167">
        <v>1.1000000000000001</v>
      </c>
      <c r="G167">
        <v>1.1000000000000001</v>
      </c>
    </row>
    <row r="168" spans="1:7" x14ac:dyDescent="0.25">
      <c r="B168" s="2">
        <v>45160</v>
      </c>
      <c r="C168" s="27">
        <v>93</v>
      </c>
      <c r="D168">
        <v>1.3</v>
      </c>
      <c r="E168">
        <v>1.4</v>
      </c>
      <c r="F168">
        <v>1</v>
      </c>
      <c r="G168">
        <v>1.1000000000000001</v>
      </c>
    </row>
    <row r="169" spans="1:7" x14ac:dyDescent="0.25">
      <c r="B169" s="2">
        <v>45161</v>
      </c>
      <c r="C169" s="27">
        <v>94</v>
      </c>
      <c r="D169">
        <v>1.3</v>
      </c>
      <c r="E169">
        <v>1.5</v>
      </c>
      <c r="F169">
        <v>1.1000000000000001</v>
      </c>
      <c r="G169">
        <v>1.1000000000000001</v>
      </c>
    </row>
    <row r="170" spans="1:7" x14ac:dyDescent="0.25">
      <c r="B170" s="2">
        <v>45162</v>
      </c>
      <c r="C170" s="27">
        <v>95</v>
      </c>
      <c r="D170">
        <v>1.4</v>
      </c>
      <c r="E170">
        <v>1.5</v>
      </c>
      <c r="F170">
        <v>1.1000000000000001</v>
      </c>
      <c r="G170">
        <v>1.1000000000000001</v>
      </c>
    </row>
    <row r="171" spans="1:7" x14ac:dyDescent="0.25">
      <c r="B171" s="2">
        <v>45163</v>
      </c>
      <c r="C171" s="27">
        <v>96</v>
      </c>
      <c r="D171">
        <v>1.3</v>
      </c>
      <c r="E171">
        <v>1.6</v>
      </c>
      <c r="F171">
        <v>1</v>
      </c>
      <c r="G171">
        <v>1</v>
      </c>
    </row>
    <row r="172" spans="1:7" x14ac:dyDescent="0.25">
      <c r="B172" s="2">
        <v>45164</v>
      </c>
      <c r="C172" s="27">
        <v>97</v>
      </c>
      <c r="D172">
        <v>1.3</v>
      </c>
      <c r="E172">
        <v>1.5</v>
      </c>
      <c r="F172">
        <v>1</v>
      </c>
      <c r="G172">
        <v>1</v>
      </c>
    </row>
    <row r="173" spans="1:7" x14ac:dyDescent="0.25">
      <c r="B173" s="2">
        <v>45165</v>
      </c>
      <c r="C173" s="27">
        <v>98</v>
      </c>
      <c r="D173">
        <v>1.3</v>
      </c>
      <c r="E173">
        <v>1.5</v>
      </c>
      <c r="F173">
        <v>1</v>
      </c>
      <c r="G173">
        <v>1.1000000000000001</v>
      </c>
    </row>
    <row r="174" spans="1:7" x14ac:dyDescent="0.25">
      <c r="A174" t="s">
        <v>56</v>
      </c>
      <c r="B174" s="2">
        <v>45166</v>
      </c>
      <c r="C174" s="27">
        <v>99</v>
      </c>
      <c r="D174">
        <v>1.2</v>
      </c>
      <c r="E174">
        <v>1.4</v>
      </c>
      <c r="F174">
        <v>0.9</v>
      </c>
      <c r="G174">
        <v>0.9</v>
      </c>
    </row>
    <row r="175" spans="1:7" x14ac:dyDescent="0.25">
      <c r="B175" s="2">
        <v>45167</v>
      </c>
      <c r="C175" s="27">
        <v>100</v>
      </c>
      <c r="D175">
        <v>1.2</v>
      </c>
      <c r="E175">
        <v>1.3</v>
      </c>
      <c r="F175">
        <v>1</v>
      </c>
      <c r="G175">
        <v>0.9</v>
      </c>
    </row>
    <row r="176" spans="1:7" x14ac:dyDescent="0.25">
      <c r="B176" s="2">
        <v>45168</v>
      </c>
      <c r="C176" s="27">
        <v>101</v>
      </c>
      <c r="D176">
        <v>1.3</v>
      </c>
      <c r="E176">
        <v>1.4</v>
      </c>
      <c r="F176">
        <v>1</v>
      </c>
      <c r="G176">
        <v>1</v>
      </c>
    </row>
    <row r="177" spans="1:7" x14ac:dyDescent="0.25">
      <c r="B177" s="2">
        <v>45169</v>
      </c>
      <c r="C177" s="27">
        <v>102</v>
      </c>
      <c r="D177">
        <v>1.3</v>
      </c>
      <c r="E177">
        <v>1.4</v>
      </c>
      <c r="F177">
        <v>1.1000000000000001</v>
      </c>
      <c r="G177">
        <v>1</v>
      </c>
    </row>
    <row r="178" spans="1:7" x14ac:dyDescent="0.25">
      <c r="B178" s="2">
        <v>45170</v>
      </c>
      <c r="C178" s="27">
        <v>103</v>
      </c>
      <c r="D178">
        <v>1.4</v>
      </c>
      <c r="E178">
        <v>1.4</v>
      </c>
      <c r="F178">
        <v>1</v>
      </c>
      <c r="G178">
        <v>1</v>
      </c>
    </row>
    <row r="179" spans="1:7" x14ac:dyDescent="0.25">
      <c r="B179" s="2">
        <v>45171</v>
      </c>
      <c r="C179" s="27">
        <v>104</v>
      </c>
      <c r="D179">
        <v>1.4</v>
      </c>
      <c r="E179">
        <v>1.2</v>
      </c>
      <c r="F179">
        <v>0.8</v>
      </c>
      <c r="G179">
        <v>0.9</v>
      </c>
    </row>
    <row r="180" spans="1:7" x14ac:dyDescent="0.25">
      <c r="B180" s="2">
        <v>45172</v>
      </c>
      <c r="C180" s="27">
        <v>105</v>
      </c>
      <c r="D180">
        <v>1.2</v>
      </c>
      <c r="E180">
        <v>1.2</v>
      </c>
      <c r="F180">
        <v>0.8</v>
      </c>
      <c r="G180">
        <v>0.9</v>
      </c>
    </row>
    <row r="181" spans="1:7" x14ac:dyDescent="0.25">
      <c r="A181" t="s">
        <v>57</v>
      </c>
      <c r="B181" s="2">
        <v>45173</v>
      </c>
      <c r="C181" s="27">
        <v>106</v>
      </c>
      <c r="D181">
        <v>1.1000000000000001</v>
      </c>
      <c r="E181">
        <v>1.3</v>
      </c>
      <c r="F181">
        <v>0.8</v>
      </c>
      <c r="G181">
        <v>0.9</v>
      </c>
    </row>
    <row r="182" spans="1:7" x14ac:dyDescent="0.25">
      <c r="B182" s="2">
        <v>45174</v>
      </c>
      <c r="C182" s="27">
        <v>107</v>
      </c>
      <c r="D182">
        <v>1.1000000000000001</v>
      </c>
      <c r="E182">
        <v>1.3</v>
      </c>
      <c r="F182">
        <v>0.9</v>
      </c>
      <c r="G182">
        <v>0.8</v>
      </c>
    </row>
    <row r="183" spans="1:7" x14ac:dyDescent="0.25">
      <c r="B183" s="2">
        <v>45175</v>
      </c>
      <c r="C183" s="27">
        <v>108</v>
      </c>
      <c r="D183">
        <v>1.3</v>
      </c>
      <c r="E183">
        <v>1.3</v>
      </c>
      <c r="F183">
        <v>1.1000000000000001</v>
      </c>
      <c r="G183">
        <v>0.9</v>
      </c>
    </row>
    <row r="184" spans="1:7" x14ac:dyDescent="0.25">
      <c r="B184" s="2">
        <v>45176</v>
      </c>
      <c r="C184" s="27">
        <v>109</v>
      </c>
      <c r="D184">
        <v>1.4</v>
      </c>
      <c r="E184">
        <v>1.4</v>
      </c>
      <c r="F184">
        <v>1</v>
      </c>
      <c r="G184">
        <v>1</v>
      </c>
    </row>
    <row r="185" spans="1:7" x14ac:dyDescent="0.25">
      <c r="B185" s="2">
        <v>45177</v>
      </c>
      <c r="C185" s="27">
        <v>110</v>
      </c>
      <c r="D185">
        <v>1.3</v>
      </c>
      <c r="E185">
        <v>1.2</v>
      </c>
      <c r="F185">
        <v>0.9</v>
      </c>
      <c r="G185">
        <v>0.9</v>
      </c>
    </row>
    <row r="186" spans="1:7" x14ac:dyDescent="0.25">
      <c r="B186" s="2">
        <v>45178</v>
      </c>
      <c r="C186" s="27">
        <v>111</v>
      </c>
      <c r="D186">
        <v>1.1000000000000001</v>
      </c>
      <c r="E186">
        <v>1.2</v>
      </c>
      <c r="F186">
        <v>0.8</v>
      </c>
      <c r="G186">
        <v>0.7</v>
      </c>
    </row>
    <row r="187" spans="1:7" x14ac:dyDescent="0.25">
      <c r="B187" s="2">
        <v>45179</v>
      </c>
      <c r="C187" s="27">
        <v>112</v>
      </c>
      <c r="D187">
        <v>1.1000000000000001</v>
      </c>
      <c r="E187">
        <v>1.2</v>
      </c>
      <c r="F187">
        <v>0.7</v>
      </c>
      <c r="G187">
        <v>0.9</v>
      </c>
    </row>
    <row r="188" spans="1:7" x14ac:dyDescent="0.25">
      <c r="A188" t="s">
        <v>58</v>
      </c>
      <c r="B188" s="2">
        <v>45180</v>
      </c>
      <c r="C188" s="27">
        <v>113</v>
      </c>
      <c r="D188">
        <v>1</v>
      </c>
      <c r="E188">
        <v>1.2</v>
      </c>
      <c r="F188">
        <v>1</v>
      </c>
      <c r="G188">
        <v>0.8</v>
      </c>
    </row>
    <row r="189" spans="1:7" x14ac:dyDescent="0.25">
      <c r="B189" s="2">
        <v>45181</v>
      </c>
      <c r="C189" s="27">
        <v>114</v>
      </c>
      <c r="D189">
        <v>1.2</v>
      </c>
      <c r="E189">
        <v>1.3</v>
      </c>
      <c r="F189">
        <v>1</v>
      </c>
      <c r="G189">
        <v>0.9</v>
      </c>
    </row>
    <row r="190" spans="1:7" x14ac:dyDescent="0.25">
      <c r="B190" s="2">
        <v>45182</v>
      </c>
      <c r="C190" s="27">
        <v>115</v>
      </c>
      <c r="D190">
        <v>1.2</v>
      </c>
      <c r="E190">
        <v>1.3</v>
      </c>
      <c r="F190">
        <v>1</v>
      </c>
      <c r="G190">
        <v>1</v>
      </c>
    </row>
    <row r="191" spans="1:7" x14ac:dyDescent="0.25">
      <c r="B191" s="2">
        <v>45183</v>
      </c>
      <c r="C191" s="27">
        <v>116</v>
      </c>
      <c r="D191">
        <v>1.2</v>
      </c>
      <c r="E191">
        <v>1.2</v>
      </c>
      <c r="F191">
        <v>0.9</v>
      </c>
      <c r="G191">
        <v>0.9</v>
      </c>
    </row>
    <row r="192" spans="1:7" x14ac:dyDescent="0.25">
      <c r="B192" s="2">
        <v>45184</v>
      </c>
      <c r="C192" s="27">
        <v>117</v>
      </c>
      <c r="D192">
        <v>1.2</v>
      </c>
      <c r="E192">
        <v>1.1000000000000001</v>
      </c>
      <c r="F192">
        <v>0.8</v>
      </c>
      <c r="G192">
        <v>0.8</v>
      </c>
    </row>
    <row r="193" spans="1:7" x14ac:dyDescent="0.25">
      <c r="B193" s="2">
        <v>45185</v>
      </c>
      <c r="C193" s="27">
        <v>118</v>
      </c>
      <c r="D193">
        <v>1.2</v>
      </c>
      <c r="E193">
        <v>1.2</v>
      </c>
      <c r="F193">
        <v>0.8</v>
      </c>
      <c r="G193">
        <v>0.8</v>
      </c>
    </row>
    <row r="194" spans="1:7" x14ac:dyDescent="0.25">
      <c r="B194" s="2">
        <v>45186</v>
      </c>
      <c r="C194" s="27">
        <v>119</v>
      </c>
      <c r="D194">
        <v>1.1000000000000001</v>
      </c>
      <c r="E194">
        <v>1.1000000000000001</v>
      </c>
      <c r="F194">
        <v>0.7</v>
      </c>
      <c r="G194">
        <v>0.8</v>
      </c>
    </row>
    <row r="195" spans="1:7" x14ac:dyDescent="0.25">
      <c r="A195" t="s">
        <v>59</v>
      </c>
      <c r="B195" s="2">
        <v>45187</v>
      </c>
      <c r="C195" s="27">
        <v>120</v>
      </c>
      <c r="D195">
        <v>1.2</v>
      </c>
      <c r="E195">
        <v>1</v>
      </c>
      <c r="F195">
        <v>0.8</v>
      </c>
      <c r="G195">
        <v>0.9</v>
      </c>
    </row>
    <row r="196" spans="1:7" x14ac:dyDescent="0.25">
      <c r="B196" s="2">
        <v>45188</v>
      </c>
      <c r="C196" s="27">
        <v>121</v>
      </c>
      <c r="D196">
        <v>1.1000000000000001</v>
      </c>
      <c r="E196">
        <v>1.1000000000000001</v>
      </c>
      <c r="F196">
        <v>0.8</v>
      </c>
      <c r="G196">
        <v>0.7</v>
      </c>
    </row>
    <row r="197" spans="1:7" x14ac:dyDescent="0.25">
      <c r="B197" s="2">
        <v>45189</v>
      </c>
      <c r="C197" s="27">
        <v>122</v>
      </c>
      <c r="D197">
        <v>1.1000000000000001</v>
      </c>
      <c r="E197">
        <v>1.1000000000000001</v>
      </c>
      <c r="F197">
        <v>0.8</v>
      </c>
      <c r="G197">
        <v>0.9</v>
      </c>
    </row>
    <row r="198" spans="1:7" x14ac:dyDescent="0.25">
      <c r="B198" s="2">
        <v>45190</v>
      </c>
      <c r="C198" s="27">
        <v>123</v>
      </c>
      <c r="D198">
        <v>1.1000000000000001</v>
      </c>
      <c r="E198">
        <v>1</v>
      </c>
      <c r="F198">
        <v>0.8</v>
      </c>
      <c r="G198">
        <v>0.8</v>
      </c>
    </row>
    <row r="199" spans="1:7" x14ac:dyDescent="0.25">
      <c r="B199" s="2">
        <v>45191</v>
      </c>
      <c r="C199" s="27">
        <v>124</v>
      </c>
      <c r="D199">
        <v>1.1000000000000001</v>
      </c>
      <c r="E199">
        <v>1</v>
      </c>
      <c r="F199">
        <v>0.8</v>
      </c>
      <c r="G199">
        <v>0.8</v>
      </c>
    </row>
    <row r="200" spans="1:7" x14ac:dyDescent="0.25">
      <c r="B200" s="2">
        <v>45192</v>
      </c>
      <c r="C200" s="27">
        <v>125</v>
      </c>
      <c r="D200">
        <v>1.1000000000000001</v>
      </c>
      <c r="E200">
        <v>1</v>
      </c>
      <c r="F200">
        <v>0.7</v>
      </c>
      <c r="G200">
        <v>0.8</v>
      </c>
    </row>
    <row r="201" spans="1:7" x14ac:dyDescent="0.25">
      <c r="B201" s="2">
        <v>45193</v>
      </c>
      <c r="C201" s="27">
        <v>126</v>
      </c>
      <c r="D201">
        <v>1.1000000000000001</v>
      </c>
      <c r="E201">
        <v>1</v>
      </c>
      <c r="F201">
        <v>0.7</v>
      </c>
      <c r="G201">
        <v>0.7</v>
      </c>
    </row>
    <row r="202" spans="1:7" x14ac:dyDescent="0.25">
      <c r="A202" t="s">
        <v>60</v>
      </c>
      <c r="B202" s="2">
        <v>45194</v>
      </c>
      <c r="C202" s="27">
        <v>127</v>
      </c>
      <c r="D202">
        <v>1.1000000000000001</v>
      </c>
      <c r="E202">
        <v>0.92</v>
      </c>
      <c r="F202">
        <v>0.7</v>
      </c>
      <c r="G202">
        <v>0.8</v>
      </c>
    </row>
    <row r="203" spans="1:7" x14ac:dyDescent="0.25">
      <c r="B203" s="2">
        <v>45195</v>
      </c>
      <c r="C203" s="27">
        <v>128</v>
      </c>
      <c r="D203">
        <v>1.1000000000000001</v>
      </c>
      <c r="E203">
        <v>0.9</v>
      </c>
      <c r="F203">
        <v>0.7</v>
      </c>
      <c r="G203">
        <v>0.7</v>
      </c>
    </row>
    <row r="204" spans="1:7" x14ac:dyDescent="0.25">
      <c r="B204" s="2">
        <v>45196</v>
      </c>
      <c r="C204" s="27">
        <v>129</v>
      </c>
      <c r="D204">
        <v>1.1000000000000001</v>
      </c>
      <c r="E204">
        <v>0.9</v>
      </c>
      <c r="F204">
        <v>0.7</v>
      </c>
      <c r="G204">
        <v>0.7</v>
      </c>
    </row>
    <row r="205" spans="1:7" x14ac:dyDescent="0.25">
      <c r="B205" s="2">
        <v>45197</v>
      </c>
      <c r="C205" s="27">
        <v>130</v>
      </c>
      <c r="D205">
        <v>1.1000000000000001</v>
      </c>
      <c r="E205">
        <v>0.9</v>
      </c>
      <c r="F205">
        <v>0.7</v>
      </c>
      <c r="G205">
        <v>0.6</v>
      </c>
    </row>
    <row r="206" spans="1:7" x14ac:dyDescent="0.25">
      <c r="B206" s="2">
        <v>45198</v>
      </c>
      <c r="C206" s="27">
        <v>131</v>
      </c>
      <c r="D206">
        <v>1.1000000000000001</v>
      </c>
      <c r="E206">
        <v>0.8</v>
      </c>
      <c r="F206">
        <v>0.7</v>
      </c>
      <c r="G206">
        <v>0.7</v>
      </c>
    </row>
    <row r="207" spans="1:7" x14ac:dyDescent="0.25">
      <c r="B207" s="2">
        <v>45199</v>
      </c>
      <c r="C207" s="27">
        <v>132</v>
      </c>
      <c r="D207">
        <v>1</v>
      </c>
      <c r="E207">
        <v>0.8</v>
      </c>
      <c r="F207">
        <v>0.7</v>
      </c>
      <c r="G207">
        <v>0.5</v>
      </c>
    </row>
    <row r="208" spans="1:7" x14ac:dyDescent="0.25">
      <c r="B208" s="2">
        <v>45200</v>
      </c>
      <c r="C208" s="27">
        <v>133</v>
      </c>
      <c r="D208">
        <v>1.1000000000000001</v>
      </c>
      <c r="E208">
        <v>0.8</v>
      </c>
      <c r="F208">
        <v>0.6</v>
      </c>
      <c r="G208">
        <v>0.6</v>
      </c>
    </row>
    <row r="209" spans="1:7" x14ac:dyDescent="0.25">
      <c r="A209" t="s">
        <v>61</v>
      </c>
      <c r="B209" s="2">
        <v>45201</v>
      </c>
      <c r="C209" s="27">
        <v>134</v>
      </c>
      <c r="D209">
        <v>1</v>
      </c>
      <c r="E209">
        <v>0.8</v>
      </c>
      <c r="F209">
        <v>0.8</v>
      </c>
      <c r="G209">
        <v>0.7</v>
      </c>
    </row>
    <row r="210" spans="1:7" x14ac:dyDescent="0.25">
      <c r="B210" s="2">
        <v>45202</v>
      </c>
      <c r="C210" s="27">
        <v>135</v>
      </c>
      <c r="D210">
        <v>1</v>
      </c>
      <c r="E210">
        <v>0.8</v>
      </c>
      <c r="F210">
        <v>0.7</v>
      </c>
      <c r="G210">
        <v>0.7</v>
      </c>
    </row>
    <row r="211" spans="1:7" x14ac:dyDescent="0.25">
      <c r="B211" s="2">
        <v>45203</v>
      </c>
      <c r="C211" s="27">
        <v>136</v>
      </c>
      <c r="D211">
        <v>1</v>
      </c>
      <c r="E211">
        <v>0.8</v>
      </c>
      <c r="F211">
        <v>0.8</v>
      </c>
      <c r="G211">
        <v>0.7</v>
      </c>
    </row>
    <row r="212" spans="1:7" x14ac:dyDescent="0.25">
      <c r="B212" s="2">
        <v>45204</v>
      </c>
      <c r="C212" s="27">
        <v>137</v>
      </c>
      <c r="D212">
        <v>1</v>
      </c>
      <c r="E212">
        <v>0.8</v>
      </c>
      <c r="F212">
        <v>0.8</v>
      </c>
      <c r="G212">
        <v>0.7</v>
      </c>
    </row>
    <row r="213" spans="1:7" x14ac:dyDescent="0.25">
      <c r="B213" s="2">
        <v>45205</v>
      </c>
      <c r="C213" s="27">
        <v>138</v>
      </c>
      <c r="D213">
        <v>1</v>
      </c>
      <c r="E213">
        <v>0.8</v>
      </c>
      <c r="F213">
        <v>0.7</v>
      </c>
      <c r="G213">
        <v>0.7</v>
      </c>
    </row>
    <row r="214" spans="1:7" x14ac:dyDescent="0.25">
      <c r="B214" s="2">
        <v>45206</v>
      </c>
      <c r="C214" s="27">
        <v>139</v>
      </c>
      <c r="D214">
        <v>1</v>
      </c>
      <c r="E214">
        <v>0.8</v>
      </c>
      <c r="F214">
        <v>0.7</v>
      </c>
      <c r="G214">
        <v>0.7</v>
      </c>
    </row>
    <row r="215" spans="1:7" x14ac:dyDescent="0.25">
      <c r="B215" s="2">
        <v>45207</v>
      </c>
      <c r="C215" s="27">
        <v>140</v>
      </c>
      <c r="D215">
        <v>1</v>
      </c>
      <c r="E215">
        <v>0.7</v>
      </c>
      <c r="F215">
        <v>0.6</v>
      </c>
      <c r="G215">
        <v>0.7</v>
      </c>
    </row>
  </sheetData>
  <phoneticPr fontId="4" type="noConversion"/>
  <conditionalFormatting sqref="D71:AO74">
    <cfRule type="colorScale" priority="2">
      <colorScale>
        <cfvo type="min"/>
        <cfvo type="percentile" val="50"/>
        <cfvo type="max"/>
        <color rgb="FF63BE7B"/>
        <color rgb="FFFFEB84"/>
        <color rgb="FFF8696B"/>
      </colorScale>
    </cfRule>
  </conditionalFormatting>
  <conditionalFormatting sqref="D3:AO42">
    <cfRule type="colorScale" priority="1">
      <colorScale>
        <cfvo type="min"/>
        <cfvo type="percentile" val="50"/>
        <cfvo type="max"/>
        <color rgb="FF63BE7B"/>
        <color rgb="FFFFEB84"/>
        <color rgb="FFF8696B"/>
      </colorScale>
    </cfRule>
  </conditionalFormatting>
  <pageMargins left="0.7" right="0.7" top="0.78740157499999996" bottom="0.78740157499999996"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FBD09E-EA15-41AD-B695-9CC59C9636AB}">
  <dimension ref="A2:CO80"/>
  <sheetViews>
    <sheetView zoomScale="90" zoomScaleNormal="90" workbookViewId="0">
      <pane xSplit="3" ySplit="3" topLeftCell="BT36" activePane="bottomRight" state="frozen"/>
      <selection pane="topRight" activeCell="D1" sqref="D1"/>
      <selection pane="bottomLeft" activeCell="A4" sqref="A4"/>
      <selection pane="bottomRight" activeCell="D19" sqref="D19:D22"/>
    </sheetView>
  </sheetViews>
  <sheetFormatPr baseColWidth="10" defaultRowHeight="15" x14ac:dyDescent="0.25"/>
  <cols>
    <col min="2" max="2" width="12.42578125" bestFit="1" customWidth="1"/>
    <col min="81" max="81" width="12" bestFit="1" customWidth="1"/>
    <col min="82" max="82" width="12" customWidth="1"/>
  </cols>
  <sheetData>
    <row r="2" spans="1:93" x14ac:dyDescent="0.25">
      <c r="A2" t="s">
        <v>85</v>
      </c>
      <c r="D2" t="s">
        <v>78</v>
      </c>
      <c r="F2" t="s">
        <v>79</v>
      </c>
      <c r="H2" t="s">
        <v>80</v>
      </c>
      <c r="J2" t="s">
        <v>1</v>
      </c>
      <c r="L2" t="s">
        <v>2</v>
      </c>
      <c r="N2" t="s">
        <v>3</v>
      </c>
      <c r="P2" t="s">
        <v>4</v>
      </c>
      <c r="R2" t="s">
        <v>5</v>
      </c>
      <c r="T2" t="s">
        <v>6</v>
      </c>
      <c r="V2" t="s">
        <v>7</v>
      </c>
      <c r="X2" t="s">
        <v>8</v>
      </c>
      <c r="Z2" t="s">
        <v>81</v>
      </c>
      <c r="AB2" t="s">
        <v>82</v>
      </c>
      <c r="AD2" t="s">
        <v>9</v>
      </c>
      <c r="AF2" t="s">
        <v>10</v>
      </c>
      <c r="AH2" t="s">
        <v>11</v>
      </c>
      <c r="AJ2" t="s">
        <v>12</v>
      </c>
      <c r="AL2" t="s">
        <v>13</v>
      </c>
      <c r="AN2" t="s">
        <v>14</v>
      </c>
      <c r="AP2" t="s">
        <v>15</v>
      </c>
      <c r="AR2" t="s">
        <v>16</v>
      </c>
      <c r="AT2" t="s">
        <v>76</v>
      </c>
      <c r="AV2" t="s">
        <v>18</v>
      </c>
      <c r="AX2" t="s">
        <v>19</v>
      </c>
      <c r="AZ2" t="s">
        <v>20</v>
      </c>
      <c r="BB2" t="s">
        <v>21</v>
      </c>
      <c r="BD2" t="s">
        <v>22</v>
      </c>
      <c r="BF2" t="s">
        <v>23</v>
      </c>
      <c r="BH2" t="s">
        <v>24</v>
      </c>
      <c r="BJ2" t="s">
        <v>25</v>
      </c>
      <c r="BL2" t="s">
        <v>26</v>
      </c>
      <c r="BN2" t="s">
        <v>77</v>
      </c>
      <c r="BP2" t="s">
        <v>27</v>
      </c>
      <c r="BR2" t="s">
        <v>28</v>
      </c>
      <c r="BT2" t="s">
        <v>29</v>
      </c>
      <c r="BV2" t="s">
        <v>30</v>
      </c>
      <c r="BX2" t="s">
        <v>31</v>
      </c>
      <c r="BZ2" t="s">
        <v>32</v>
      </c>
      <c r="CB2" t="s">
        <v>170</v>
      </c>
      <c r="CD2" t="s">
        <v>171</v>
      </c>
      <c r="CF2" t="s">
        <v>350</v>
      </c>
      <c r="CJ2" t="s">
        <v>351</v>
      </c>
    </row>
    <row r="3" spans="1:93" x14ac:dyDescent="0.25">
      <c r="D3" t="s">
        <v>168</v>
      </c>
      <c r="E3" t="s">
        <v>169</v>
      </c>
      <c r="F3" t="s">
        <v>168</v>
      </c>
      <c r="G3" t="s">
        <v>169</v>
      </c>
      <c r="H3" t="s">
        <v>168</v>
      </c>
      <c r="I3" t="s">
        <v>169</v>
      </c>
      <c r="J3" t="s">
        <v>168</v>
      </c>
      <c r="K3" t="s">
        <v>169</v>
      </c>
      <c r="L3" t="s">
        <v>168</v>
      </c>
      <c r="M3" t="s">
        <v>169</v>
      </c>
      <c r="N3" t="s">
        <v>168</v>
      </c>
      <c r="O3" t="s">
        <v>169</v>
      </c>
      <c r="P3" t="s">
        <v>168</v>
      </c>
      <c r="Q3" t="s">
        <v>169</v>
      </c>
      <c r="R3" t="s">
        <v>168</v>
      </c>
      <c r="S3" t="s">
        <v>169</v>
      </c>
      <c r="T3" t="s">
        <v>168</v>
      </c>
      <c r="U3" t="s">
        <v>169</v>
      </c>
      <c r="V3" t="s">
        <v>168</v>
      </c>
      <c r="W3" t="s">
        <v>169</v>
      </c>
      <c r="X3" t="s">
        <v>168</v>
      </c>
      <c r="Y3" t="s">
        <v>169</v>
      </c>
      <c r="Z3" t="s">
        <v>168</v>
      </c>
      <c r="AA3" t="s">
        <v>169</v>
      </c>
      <c r="AB3" t="s">
        <v>168</v>
      </c>
      <c r="AC3" t="s">
        <v>169</v>
      </c>
      <c r="AD3" t="s">
        <v>168</v>
      </c>
      <c r="AE3" t="s">
        <v>169</v>
      </c>
      <c r="AF3" t="s">
        <v>168</v>
      </c>
      <c r="AG3" t="s">
        <v>169</v>
      </c>
      <c r="AH3" t="s">
        <v>168</v>
      </c>
      <c r="AI3" t="s">
        <v>169</v>
      </c>
      <c r="AJ3" t="s">
        <v>168</v>
      </c>
      <c r="AK3" t="s">
        <v>169</v>
      </c>
      <c r="AL3" t="s">
        <v>168</v>
      </c>
      <c r="AM3" t="s">
        <v>169</v>
      </c>
      <c r="AN3" t="s">
        <v>168</v>
      </c>
      <c r="AO3" t="s">
        <v>169</v>
      </c>
      <c r="AP3" t="s">
        <v>168</v>
      </c>
      <c r="AQ3" t="s">
        <v>169</v>
      </c>
      <c r="AR3" t="s">
        <v>168</v>
      </c>
      <c r="AS3" t="s">
        <v>169</v>
      </c>
      <c r="AT3" t="s">
        <v>168</v>
      </c>
      <c r="AU3" t="s">
        <v>169</v>
      </c>
      <c r="AV3" t="s">
        <v>168</v>
      </c>
      <c r="AW3" t="s">
        <v>169</v>
      </c>
      <c r="AX3" t="s">
        <v>168</v>
      </c>
      <c r="AY3" t="s">
        <v>169</v>
      </c>
      <c r="AZ3" t="s">
        <v>168</v>
      </c>
      <c r="BA3" t="s">
        <v>169</v>
      </c>
      <c r="BB3" t="s">
        <v>168</v>
      </c>
      <c r="BC3" t="s">
        <v>169</v>
      </c>
      <c r="BD3" t="s">
        <v>168</v>
      </c>
      <c r="BE3" t="s">
        <v>169</v>
      </c>
      <c r="BF3" t="s">
        <v>168</v>
      </c>
      <c r="BG3" t="s">
        <v>169</v>
      </c>
      <c r="BH3" t="s">
        <v>168</v>
      </c>
      <c r="BI3" t="s">
        <v>169</v>
      </c>
      <c r="BJ3" t="s">
        <v>168</v>
      </c>
      <c r="BK3" t="s">
        <v>169</v>
      </c>
      <c r="BL3" t="s">
        <v>168</v>
      </c>
      <c r="BM3" t="s">
        <v>169</v>
      </c>
      <c r="BN3" t="s">
        <v>168</v>
      </c>
      <c r="BO3" t="s">
        <v>169</v>
      </c>
      <c r="BP3" t="s">
        <v>168</v>
      </c>
      <c r="BQ3" t="s">
        <v>169</v>
      </c>
      <c r="BR3" t="s">
        <v>168</v>
      </c>
      <c r="BS3" t="s">
        <v>169</v>
      </c>
      <c r="BT3" t="s">
        <v>168</v>
      </c>
      <c r="BU3" t="s">
        <v>169</v>
      </c>
      <c r="BV3" t="s">
        <v>168</v>
      </c>
      <c r="BW3" t="s">
        <v>169</v>
      </c>
      <c r="BX3" t="s">
        <v>168</v>
      </c>
      <c r="BY3" t="s">
        <v>169</v>
      </c>
      <c r="BZ3" t="s">
        <v>168</v>
      </c>
      <c r="CA3" t="s">
        <v>169</v>
      </c>
      <c r="CB3" t="s">
        <v>168</v>
      </c>
      <c r="CC3" t="s">
        <v>169</v>
      </c>
      <c r="CD3" t="s">
        <v>168</v>
      </c>
      <c r="CE3" t="s">
        <v>169</v>
      </c>
      <c r="CF3" t="s">
        <v>113</v>
      </c>
      <c r="CG3" t="s">
        <v>114</v>
      </c>
      <c r="CH3" t="s">
        <v>115</v>
      </c>
      <c r="CI3" t="s">
        <v>116</v>
      </c>
      <c r="CJ3" t="s">
        <v>113</v>
      </c>
      <c r="CK3" t="s">
        <v>114</v>
      </c>
      <c r="CL3" t="s">
        <v>115</v>
      </c>
      <c r="CM3" t="s">
        <v>116</v>
      </c>
      <c r="CN3" t="s">
        <v>172</v>
      </c>
      <c r="CO3" t="s">
        <v>173</v>
      </c>
    </row>
    <row r="4" spans="1:93" s="4" customFormat="1" x14ac:dyDescent="0.25">
      <c r="A4">
        <v>1</v>
      </c>
      <c r="B4" s="2">
        <v>45068</v>
      </c>
      <c r="C4" t="s">
        <v>36</v>
      </c>
      <c r="D4" s="36">
        <v>175.13148738084197</v>
      </c>
      <c r="E4" s="4">
        <v>0</v>
      </c>
      <c r="F4" s="36">
        <v>45.88211281386446</v>
      </c>
      <c r="G4" s="4">
        <v>0</v>
      </c>
      <c r="H4" s="36">
        <v>8.7124119817249035</v>
      </c>
      <c r="I4" s="4">
        <v>0</v>
      </c>
      <c r="J4" s="36">
        <v>1.7741933606987483</v>
      </c>
      <c r="K4" s="4">
        <v>0</v>
      </c>
      <c r="L4" s="36">
        <v>32.16488822531398</v>
      </c>
      <c r="M4" s="4">
        <v>0</v>
      </c>
      <c r="N4" s="36">
        <v>0.23764771180023159</v>
      </c>
      <c r="O4" s="4">
        <v>0</v>
      </c>
      <c r="P4" s="36">
        <v>0.50951983149907198</v>
      </c>
      <c r="Q4" s="4">
        <v>0</v>
      </c>
      <c r="R4" s="36">
        <v>0.20437539829463652</v>
      </c>
      <c r="S4" s="4">
        <v>0</v>
      </c>
      <c r="T4" s="36">
        <v>0.2224599815014045</v>
      </c>
      <c r="U4" s="4">
        <v>0</v>
      </c>
      <c r="V4" s="36">
        <v>0.12494068288804061</v>
      </c>
      <c r="W4" s="4">
        <v>0</v>
      </c>
      <c r="X4" s="36">
        <v>0.1068528592497959</v>
      </c>
      <c r="Y4" s="4">
        <v>0</v>
      </c>
      <c r="Z4" s="36">
        <v>0.59723118815503651</v>
      </c>
      <c r="AA4" s="4">
        <v>0</v>
      </c>
      <c r="AB4" s="36">
        <f t="shared" ref="AB4" si="0">AVERAGE(AB5:AB7)</f>
        <v>0</v>
      </c>
      <c r="AC4" s="4">
        <v>0</v>
      </c>
      <c r="AD4" s="36">
        <v>0.81207869601686045</v>
      </c>
      <c r="AE4" s="4">
        <v>0</v>
      </c>
      <c r="AF4" s="36">
        <v>0.27783473863109048</v>
      </c>
      <c r="AG4" s="4">
        <v>0</v>
      </c>
      <c r="AH4" s="36">
        <v>71.734897597717392</v>
      </c>
      <c r="AI4" s="4">
        <v>0</v>
      </c>
      <c r="AJ4" s="36">
        <v>54.79801989165545</v>
      </c>
      <c r="AK4" s="4">
        <v>0</v>
      </c>
      <c r="AL4" s="36">
        <v>65.769455374630837</v>
      </c>
      <c r="AM4" s="4">
        <v>0</v>
      </c>
      <c r="AN4" s="36">
        <v>5.1545900535513098</v>
      </c>
      <c r="AO4" s="4">
        <v>0</v>
      </c>
      <c r="AP4" s="36">
        <v>5.1248101950663552</v>
      </c>
      <c r="AQ4" s="4">
        <v>0</v>
      </c>
      <c r="AR4" s="36">
        <v>1.11056650959105</v>
      </c>
      <c r="AS4" s="4">
        <v>0</v>
      </c>
      <c r="AT4" s="36">
        <f t="shared" ref="AT4" si="1">AVERAGE(AT5:AT7)</f>
        <v>0</v>
      </c>
      <c r="AU4" s="4">
        <v>0</v>
      </c>
      <c r="AV4" s="36">
        <f t="shared" ref="AV4" si="2">AVERAGE(AV5:AV7)</f>
        <v>0.25339484701469767</v>
      </c>
      <c r="AW4" s="4">
        <v>0</v>
      </c>
      <c r="AX4" s="36">
        <f t="shared" ref="AX4" si="3">AVERAGE(AX5:AX7)</f>
        <v>9.1334586376837734</v>
      </c>
      <c r="AY4" s="4">
        <v>5.292122140140798E-5</v>
      </c>
      <c r="AZ4" s="36">
        <f t="shared" ref="AZ4" si="4">AVERAGE(AZ5:AZ7)</f>
        <v>0.11149121068407268</v>
      </c>
      <c r="BA4" s="4">
        <v>0</v>
      </c>
      <c r="BB4" s="36">
        <v>7.9667642206114289E-2</v>
      </c>
      <c r="BC4" s="4">
        <v>0</v>
      </c>
      <c r="BD4" s="36">
        <v>0.18094000342206334</v>
      </c>
      <c r="BE4" s="4">
        <v>0</v>
      </c>
      <c r="BF4" s="36">
        <v>0.56296590274379044</v>
      </c>
      <c r="BG4" s="4">
        <v>0</v>
      </c>
      <c r="BH4" s="36">
        <v>0.38911964545311023</v>
      </c>
      <c r="BI4" s="4">
        <v>0</v>
      </c>
      <c r="BJ4" s="36">
        <v>0.59825597966100985</v>
      </c>
      <c r="BK4" s="4">
        <v>0</v>
      </c>
      <c r="BL4" s="36">
        <v>0.21329475449968902</v>
      </c>
      <c r="BM4" s="4">
        <v>0</v>
      </c>
      <c r="BN4" s="36">
        <v>0</v>
      </c>
      <c r="BO4" s="4">
        <v>0</v>
      </c>
      <c r="BP4" s="36">
        <v>10.880968332931934</v>
      </c>
      <c r="BQ4" s="4">
        <v>0</v>
      </c>
      <c r="BR4" s="36">
        <v>131.76391104288641</v>
      </c>
      <c r="BS4" s="4">
        <v>0</v>
      </c>
      <c r="BT4" s="36">
        <v>64.107897340731</v>
      </c>
      <c r="BU4" s="4">
        <v>0</v>
      </c>
      <c r="BV4" s="36">
        <v>39.589019425693536</v>
      </c>
      <c r="BW4" s="4">
        <v>0</v>
      </c>
      <c r="BX4" s="36">
        <v>19.380412600492964</v>
      </c>
      <c r="BY4" s="4">
        <v>0</v>
      </c>
      <c r="BZ4" s="36">
        <v>20.745425978504301</v>
      </c>
      <c r="CA4" s="4">
        <v>0</v>
      </c>
      <c r="CB4" s="4">
        <f>SUM(J4,N4,P4,R4,T4,V4,X4,Z4,AB4,AF4,AV4,AT4,AZ4,BB4,BD4,BF4,BH4,BJ4,BN4)</f>
        <v>6.2308909839029152</v>
      </c>
      <c r="CC4" s="4">
        <f>SUM(G4,I4,K4,M4,O4,Q4,S4,U4,W4,Y4,AA4,AC4,AE4,AG4,AS4,AU4,AW4,AY4,BA4,BC4,BE4,BG4,BI4,BK4,BM4,BO4,CA4)</f>
        <v>5.292122140140798E-5</v>
      </c>
      <c r="CD4" s="4">
        <f>SUM(D4,F4,H4,J4,L4,N4,P4,R4,T4,V4,X4,Z4,AB4,AD4,AF4,AH4,AJ4,AL4,AN4,AP4,AR4,AT4,AV4,AX4,AZ4,BB4,BD4,BF4,BH4,BJ4,BL4,BN4,BP4,BR4,BT4,BV4,BX4,BZ4)</f>
        <v>768.44059781730095</v>
      </c>
      <c r="CE4" s="4">
        <f>SUM(E4,G4,I4,K4,M4,O4,Q4,S4,U4,W4,Y4,AA4,AC4,AE4,AG4,AI4,AK4,AM4,AO4,AQ4,AS4,AU4,AW4,AY4,BA4,BC4,BE4,BG4,BI4,BK4,BM4,BO4,BQ4,BS4,BU4,BW4,BY4,CA4)</f>
        <v>5.292122140140798E-5</v>
      </c>
      <c r="CF4" s="4">
        <f>SUM(D4,F4,H4,J4,L4,N4,P4,R4,T4,V4,X4)</f>
        <v>265.07089022767724</v>
      </c>
      <c r="CG4" s="4">
        <f>SUM(AT4,AV4,AX4,AZ4,BB4,BD4,BF4,BH4,BJ4)</f>
        <v>11.309293868868634</v>
      </c>
      <c r="CH4" s="4">
        <f>SUM(Z4,AB4,AD4,AF4,AH4,AJ4,AL4,AN4,AP4,AR4)</f>
        <v>205.37948424501539</v>
      </c>
      <c r="CI4" s="4">
        <f>SUM(BL4,BN4,BP4,BR4,BT4,BV4,BX4,BZ4)</f>
        <v>286.68092947573984</v>
      </c>
      <c r="CN4" s="4" t="s">
        <v>174</v>
      </c>
      <c r="CO4" s="4" t="s">
        <v>175</v>
      </c>
    </row>
    <row r="5" spans="1:93" s="4" customFormat="1" x14ac:dyDescent="0.25">
      <c r="A5"/>
      <c r="B5" s="2"/>
      <c r="C5" t="s">
        <v>39</v>
      </c>
      <c r="D5" s="4">
        <v>183.715195503822</v>
      </c>
      <c r="E5" s="4">
        <v>6.9893975387003504E-3</v>
      </c>
      <c r="F5" s="4">
        <v>41.133729815226602</v>
      </c>
      <c r="G5" s="4">
        <v>0</v>
      </c>
      <c r="H5" s="4">
        <v>7.0605104790313797</v>
      </c>
      <c r="I5" s="4">
        <v>0</v>
      </c>
      <c r="J5" s="4">
        <v>1.74232207512491</v>
      </c>
      <c r="K5" s="4">
        <v>0</v>
      </c>
      <c r="L5" s="4">
        <v>24.815758458271098</v>
      </c>
      <c r="M5" s="4">
        <v>0</v>
      </c>
      <c r="N5" s="4">
        <v>0.16632392287637501</v>
      </c>
      <c r="O5" s="4">
        <v>2.33779026822488E-3</v>
      </c>
      <c r="P5" s="4">
        <v>0.31941648933415601</v>
      </c>
      <c r="Q5" s="4">
        <v>1.1790775702605201E-2</v>
      </c>
      <c r="R5" s="4">
        <v>0.22710375832435098</v>
      </c>
      <c r="S5" s="4">
        <v>0</v>
      </c>
      <c r="T5" s="4">
        <v>0.322627153287875</v>
      </c>
      <c r="U5" s="4">
        <v>0</v>
      </c>
      <c r="V5" s="4">
        <v>0.19026868749187098</v>
      </c>
      <c r="W5" s="4">
        <v>0</v>
      </c>
      <c r="X5" s="4">
        <v>0.146413196691808</v>
      </c>
      <c r="Y5" s="4">
        <v>0</v>
      </c>
      <c r="Z5" s="4">
        <v>0.48094979640435004</v>
      </c>
      <c r="AA5" s="4">
        <v>0</v>
      </c>
      <c r="AB5" s="4">
        <v>0</v>
      </c>
      <c r="AC5" s="4">
        <v>0</v>
      </c>
      <c r="AD5" s="4">
        <v>0.73292669317956705</v>
      </c>
      <c r="AE5" s="4">
        <v>0</v>
      </c>
      <c r="AF5" s="4">
        <v>0.15325040557116698</v>
      </c>
      <c r="AG5" s="4">
        <v>0</v>
      </c>
      <c r="AH5" s="4">
        <v>35.705950191041396</v>
      </c>
      <c r="AI5" s="4">
        <v>0</v>
      </c>
      <c r="AJ5" s="4">
        <v>48.888854094551299</v>
      </c>
      <c r="AK5" s="4">
        <v>0</v>
      </c>
      <c r="AL5" s="4">
        <v>92.556353642000104</v>
      </c>
      <c r="AM5" s="4">
        <v>0</v>
      </c>
      <c r="AN5" s="4">
        <v>7.3671795208030701</v>
      </c>
      <c r="AO5" s="4">
        <v>0</v>
      </c>
      <c r="AP5" s="4">
        <v>5.4323566922590301</v>
      </c>
      <c r="AQ5" s="4">
        <v>0</v>
      </c>
      <c r="AR5" s="4">
        <v>1.12891118006028</v>
      </c>
      <c r="AS5" s="4">
        <v>0</v>
      </c>
      <c r="AT5" s="4">
        <v>0</v>
      </c>
      <c r="AU5" s="4">
        <v>0</v>
      </c>
      <c r="AV5" s="4">
        <v>0.23563774615761099</v>
      </c>
      <c r="AW5" s="4">
        <v>0</v>
      </c>
      <c r="AX5" s="4">
        <v>7.3801356471903601</v>
      </c>
      <c r="AY5" s="4">
        <v>0</v>
      </c>
      <c r="AZ5" s="4">
        <v>0</v>
      </c>
      <c r="BA5" s="4">
        <v>0</v>
      </c>
      <c r="BB5" s="4">
        <v>0</v>
      </c>
      <c r="BC5" s="4">
        <v>0</v>
      </c>
      <c r="BD5" s="4">
        <v>0.1043582998498338</v>
      </c>
      <c r="BE5" s="4">
        <v>0</v>
      </c>
      <c r="BF5" s="4">
        <v>0.617079867824055</v>
      </c>
      <c r="BG5" s="4">
        <v>0</v>
      </c>
      <c r="BH5" s="4">
        <v>0.42922141101208799</v>
      </c>
      <c r="BI5" s="4">
        <v>0</v>
      </c>
      <c r="BJ5" s="4">
        <v>0.97525105184534489</v>
      </c>
      <c r="BK5" s="4">
        <v>0</v>
      </c>
      <c r="BL5" s="4">
        <v>0.18009407002049199</v>
      </c>
      <c r="BM5" s="4">
        <v>0</v>
      </c>
      <c r="BN5" s="4">
        <v>0</v>
      </c>
      <c r="BO5" s="4">
        <v>0</v>
      </c>
      <c r="BP5" s="4">
        <v>5.2374938538174849</v>
      </c>
      <c r="BQ5" s="4">
        <v>0</v>
      </c>
      <c r="BR5" s="4">
        <v>74.798609841589212</v>
      </c>
      <c r="BS5" s="4">
        <v>0</v>
      </c>
      <c r="BT5" s="4">
        <v>64.452379474053998</v>
      </c>
      <c r="BU5" s="4">
        <v>0</v>
      </c>
      <c r="BV5" s="4">
        <v>40.401760718644567</v>
      </c>
      <c r="BW5" s="4">
        <v>0</v>
      </c>
      <c r="BX5" s="4">
        <v>23.0890371588569</v>
      </c>
      <c r="BY5" s="4">
        <v>0</v>
      </c>
      <c r="BZ5" s="4">
        <v>25.407376821841591</v>
      </c>
      <c r="CA5" s="4">
        <v>0</v>
      </c>
      <c r="CB5" s="4">
        <f t="shared" ref="CB5:CB47" si="5">SUM(J5,N5,P5,R5,T5,V5,X5,Z5,AB5,AF5,AV5,AT5,AZ5,BB5,BD5,BF5,BH5,BJ5,BN5)</f>
        <v>6.110223861795796</v>
      </c>
      <c r="CC5" s="4">
        <f t="shared" ref="CC5:CC47" si="6">SUM(G5,I5,K5,M5,O5,Q5,S5,U5,W5,Y5,AA5,AC5,AE5,AG5,AS5,AU5,AW5,AY5,BA5,BC5,BE5,BG5,BI5,BK5,BM5,BO5,CA5)</f>
        <v>1.4128565970830082E-2</v>
      </c>
      <c r="CD5" s="4">
        <f t="shared" ref="CD5:CD11" si="7">SUM(D5,F5,H5,J5,L5,N5,P5,R5,T5,V5,X5,Z5,AB5,AD5,AF5,AH5,AJ5,AL5,AN5,AP5,AR5,AT5,AV5,AX5,AZ5,BB5,BD5,BF5,BH5,BJ5,BL5,BN5,BP5,BR5,BT5,BV5,BX5,BZ5)</f>
        <v>695.59483771805628</v>
      </c>
      <c r="CE5" s="4">
        <f t="shared" ref="CD5:CE47" si="8">SUM(E5,G5,I5,K5,M5,O5,Q5,S5,U5,W5,Y5,AA5,AC5,AE5,AG5,AI5,AK5,AM5,AO5,AQ5,AS5,AU5,AW5,AY5,BA5,BC5,BE5,BG5,BI5,BK5,BM5,BO5,BQ5,BS5,BU5,BW5,BY5,CA5)</f>
        <v>2.1117963509530432E-2</v>
      </c>
      <c r="CF5" s="4">
        <f t="shared" ref="CF5:CF47" si="9">SUM(D5,F5,H5,J5,L5,N5,P5,R5,T5,V5,X5)</f>
        <v>259.83966953948249</v>
      </c>
      <c r="CG5" s="4">
        <f t="shared" ref="CG5:CG47" si="10">SUM(AT5,AV5,AX5,AZ5,BB5,BD5,BF5,BH5,BJ5)</f>
        <v>9.7416840238792926</v>
      </c>
      <c r="CH5" s="4">
        <f t="shared" ref="CH5:CH47" si="11">SUM(Z5,AB5,AD5,AF5,AH5,AJ5,AL5,AN5,AP5,AR5)</f>
        <v>192.44673221587024</v>
      </c>
      <c r="CI5" s="4">
        <f t="shared" ref="CI5:CI47" si="12">SUM(BL5,BN5,BP5,BR5,BT5,BV5,BX5,BZ5)</f>
        <v>233.56675193882424</v>
      </c>
    </row>
    <row r="6" spans="1:93" s="4" customFormat="1" x14ac:dyDescent="0.25">
      <c r="A6"/>
      <c r="B6" s="2"/>
      <c r="C6" t="s">
        <v>40</v>
      </c>
      <c r="D6" s="4">
        <v>151.48772204457899</v>
      </c>
      <c r="E6" s="4">
        <v>7.1586165996728795E-3</v>
      </c>
      <c r="F6" s="4">
        <v>37.613566224441101</v>
      </c>
      <c r="G6" s="4">
        <v>0</v>
      </c>
      <c r="H6" s="4">
        <v>7.9584625171677494</v>
      </c>
      <c r="I6" s="4">
        <v>0</v>
      </c>
      <c r="J6" s="4">
        <v>2.1732899991511498</v>
      </c>
      <c r="K6" s="4">
        <v>0</v>
      </c>
      <c r="L6" s="4">
        <v>42.410236081323397</v>
      </c>
      <c r="M6" s="4">
        <v>0</v>
      </c>
      <c r="N6" s="4">
        <v>0.23750897365057302</v>
      </c>
      <c r="O6" s="4">
        <v>1.67825382247219E-3</v>
      </c>
      <c r="P6" s="4">
        <v>0.473804092555351</v>
      </c>
      <c r="Q6" s="4">
        <v>1.38040981363727E-2</v>
      </c>
      <c r="R6" s="4">
        <v>0.23085199517635702</v>
      </c>
      <c r="S6" s="4">
        <v>0</v>
      </c>
      <c r="T6" s="4">
        <v>0.32565460826245801</v>
      </c>
      <c r="U6" s="4">
        <v>0</v>
      </c>
      <c r="V6" s="4">
        <v>0.18123402221625601</v>
      </c>
      <c r="W6" s="4">
        <v>0</v>
      </c>
      <c r="X6" s="4">
        <v>0.12198183869517799</v>
      </c>
      <c r="Y6" s="4">
        <v>0</v>
      </c>
      <c r="Z6" s="4">
        <v>0.46873242532925796</v>
      </c>
      <c r="AA6" s="4">
        <v>0</v>
      </c>
      <c r="AB6" s="4">
        <v>0</v>
      </c>
      <c r="AC6" s="4">
        <v>0</v>
      </c>
      <c r="AD6" s="4">
        <v>1.10767562559663</v>
      </c>
      <c r="AE6" s="4">
        <v>0</v>
      </c>
      <c r="AF6" s="4">
        <v>0.21803603362962301</v>
      </c>
      <c r="AG6" s="4">
        <v>0</v>
      </c>
      <c r="AH6" s="4">
        <v>53.243049614725194</v>
      </c>
      <c r="AI6" s="4">
        <v>0</v>
      </c>
      <c r="AJ6" s="4">
        <v>50.274177614957701</v>
      </c>
      <c r="AK6" s="4">
        <v>0</v>
      </c>
      <c r="AL6" s="4">
        <v>80.236969782557196</v>
      </c>
      <c r="AM6" s="4">
        <v>0</v>
      </c>
      <c r="AN6" s="4">
        <v>7.3445100984320195</v>
      </c>
      <c r="AO6" s="4">
        <v>0</v>
      </c>
      <c r="AP6" s="4">
        <v>6.07612964359876</v>
      </c>
      <c r="AQ6" s="4">
        <v>0</v>
      </c>
      <c r="AR6" s="4">
        <v>0.96957378210697598</v>
      </c>
      <c r="AS6" s="4">
        <v>0</v>
      </c>
      <c r="AT6" s="4">
        <v>0</v>
      </c>
      <c r="AU6" s="4">
        <v>0</v>
      </c>
      <c r="AV6" s="4">
        <v>0.31228725690400799</v>
      </c>
      <c r="AW6" s="4">
        <v>0</v>
      </c>
      <c r="AX6" s="4">
        <v>10.997515203142601</v>
      </c>
      <c r="AY6" s="4">
        <v>0</v>
      </c>
      <c r="AZ6" s="4">
        <v>0.16316230073662999</v>
      </c>
      <c r="BA6" s="4">
        <v>0</v>
      </c>
      <c r="BB6" s="4">
        <v>0</v>
      </c>
      <c r="BC6" s="4">
        <v>0</v>
      </c>
      <c r="BD6" s="4">
        <v>0.16715111585420622</v>
      </c>
      <c r="BE6" s="4">
        <v>0</v>
      </c>
      <c r="BF6" s="4">
        <v>0.65200575536982752</v>
      </c>
      <c r="BG6" s="4">
        <v>0</v>
      </c>
      <c r="BH6" s="4">
        <v>0.47254603547557894</v>
      </c>
      <c r="BI6" s="4">
        <v>0</v>
      </c>
      <c r="BJ6" s="4">
        <v>0.83997360012854605</v>
      </c>
      <c r="BK6" s="4">
        <v>0</v>
      </c>
      <c r="BL6" s="4">
        <v>0.22290501377279001</v>
      </c>
      <c r="BM6" s="4">
        <v>0</v>
      </c>
      <c r="BN6" s="4">
        <v>0</v>
      </c>
      <c r="BO6" s="4">
        <v>0</v>
      </c>
      <c r="BP6" s="4">
        <v>7.7017278543107901</v>
      </c>
      <c r="BQ6" s="4">
        <v>0</v>
      </c>
      <c r="BR6" s="4">
        <v>103.31654059594915</v>
      </c>
      <c r="BS6" s="4">
        <v>0</v>
      </c>
      <c r="BT6" s="4">
        <v>65.775090878807049</v>
      </c>
      <c r="BU6" s="4">
        <v>0</v>
      </c>
      <c r="BV6" s="4">
        <v>38.623011168756847</v>
      </c>
      <c r="BW6" s="4">
        <v>0</v>
      </c>
      <c r="BX6" s="4">
        <v>23.140670871629286</v>
      </c>
      <c r="BY6" s="4">
        <v>0</v>
      </c>
      <c r="BZ6" s="4">
        <v>24.266880789952737</v>
      </c>
      <c r="CA6" s="4">
        <v>0</v>
      </c>
      <c r="CB6" s="4">
        <f t="shared" si="5"/>
        <v>7.0382200531350012</v>
      </c>
      <c r="CC6" s="4">
        <f t="shared" si="6"/>
        <v>1.5482351958844891E-2</v>
      </c>
      <c r="CD6" s="4">
        <f t="shared" si="7"/>
        <v>719.80463545894202</v>
      </c>
      <c r="CE6" s="4">
        <f t="shared" si="8"/>
        <v>2.2640968558517771E-2</v>
      </c>
      <c r="CF6" s="4">
        <f t="shared" si="9"/>
        <v>243.21431239721852</v>
      </c>
      <c r="CG6" s="4">
        <f t="shared" si="10"/>
        <v>13.604641267611401</v>
      </c>
      <c r="CH6" s="4">
        <f t="shared" si="11"/>
        <v>199.93885462093334</v>
      </c>
      <c r="CI6" s="4">
        <f t="shared" si="12"/>
        <v>263.04682717317866</v>
      </c>
    </row>
    <row r="7" spans="1:93" s="4" customFormat="1" x14ac:dyDescent="0.25">
      <c r="A7"/>
      <c r="B7" s="2"/>
      <c r="C7" t="s">
        <v>41</v>
      </c>
      <c r="D7" s="4">
        <v>189.438339835797</v>
      </c>
      <c r="E7" s="4">
        <v>6.5415614056163899E-3</v>
      </c>
      <c r="F7" s="4">
        <v>43.828515465841704</v>
      </c>
      <c r="G7" s="4">
        <v>0</v>
      </c>
      <c r="H7" s="4">
        <v>7.6172608358282794</v>
      </c>
      <c r="I7" s="4">
        <v>0</v>
      </c>
      <c r="J7" s="4">
        <v>1.84653463752277</v>
      </c>
      <c r="K7" s="4">
        <v>0</v>
      </c>
      <c r="L7" s="4">
        <v>32.262519809962399</v>
      </c>
      <c r="M7" s="4">
        <v>1.01335748380402E-3</v>
      </c>
      <c r="N7" s="4">
        <v>0.18634542713487301</v>
      </c>
      <c r="O7" s="4">
        <v>0</v>
      </c>
      <c r="P7" s="4">
        <v>0.33161303338372</v>
      </c>
      <c r="Q7" s="4">
        <v>1.25119338315338E-2</v>
      </c>
      <c r="R7" s="4">
        <v>0.178797371852536</v>
      </c>
      <c r="S7" s="4">
        <v>2.58914829109826E-3</v>
      </c>
      <c r="T7" s="4">
        <v>0.26733272566921801</v>
      </c>
      <c r="U7" s="4">
        <v>0</v>
      </c>
      <c r="V7" s="4">
        <v>0.17327807177406399</v>
      </c>
      <c r="W7" s="4">
        <v>0</v>
      </c>
      <c r="X7" s="4">
        <v>0.117446049833226</v>
      </c>
      <c r="Y7" s="4">
        <v>0</v>
      </c>
      <c r="Z7" s="4">
        <v>0.56623235046863707</v>
      </c>
      <c r="AA7" s="4">
        <v>0</v>
      </c>
      <c r="AB7" s="4">
        <v>0</v>
      </c>
      <c r="AC7" s="4">
        <v>0</v>
      </c>
      <c r="AD7" s="4">
        <v>0.96935151399702901</v>
      </c>
      <c r="AE7" s="4">
        <v>0</v>
      </c>
      <c r="AF7" s="4">
        <v>0.188349142282105</v>
      </c>
      <c r="AG7" s="4">
        <v>0</v>
      </c>
      <c r="AH7" s="4">
        <v>35.868854644259798</v>
      </c>
      <c r="AI7" s="4">
        <v>0</v>
      </c>
      <c r="AJ7" s="4">
        <v>39.690327294783501</v>
      </c>
      <c r="AK7" s="4">
        <v>0</v>
      </c>
      <c r="AL7" s="4">
        <v>71.448528254409496</v>
      </c>
      <c r="AM7" s="4">
        <v>0</v>
      </c>
      <c r="AN7" s="4">
        <v>5.3199238111655003</v>
      </c>
      <c r="AO7" s="4">
        <v>0</v>
      </c>
      <c r="AP7" s="4">
        <v>4.6732711869059607</v>
      </c>
      <c r="AQ7" s="4">
        <v>0</v>
      </c>
      <c r="AR7" s="4">
        <v>0.99338803754930805</v>
      </c>
      <c r="AS7" s="4">
        <v>0</v>
      </c>
      <c r="AT7" s="4">
        <v>0</v>
      </c>
      <c r="AU7" s="4">
        <v>0</v>
      </c>
      <c r="AV7" s="4">
        <v>0.21225953798247399</v>
      </c>
      <c r="AW7" s="4">
        <v>0</v>
      </c>
      <c r="AX7" s="4">
        <v>9.0227250627183597</v>
      </c>
      <c r="AY7" s="4">
        <v>0</v>
      </c>
      <c r="AZ7" s="4">
        <v>0.17131133131558801</v>
      </c>
      <c r="BA7" s="4">
        <v>0</v>
      </c>
      <c r="BB7" s="4">
        <v>0</v>
      </c>
      <c r="BC7" s="4">
        <v>0</v>
      </c>
      <c r="BD7" s="4">
        <v>0.1020626503258122</v>
      </c>
      <c r="BE7" s="4">
        <v>0</v>
      </c>
      <c r="BF7" s="4">
        <v>0.50736883144337652</v>
      </c>
      <c r="BG7" s="4">
        <v>0</v>
      </c>
      <c r="BH7" s="4">
        <v>0.32870767331537953</v>
      </c>
      <c r="BI7" s="4">
        <v>0</v>
      </c>
      <c r="BJ7" s="4">
        <v>0.67990734908173356</v>
      </c>
      <c r="BK7" s="4">
        <v>0</v>
      </c>
      <c r="BL7" s="4">
        <v>0.20722971892855901</v>
      </c>
      <c r="BM7" s="4">
        <v>0</v>
      </c>
      <c r="BN7" s="4">
        <v>0</v>
      </c>
      <c r="BO7" s="4">
        <v>0</v>
      </c>
      <c r="BP7" s="4">
        <v>5.8326498293611948</v>
      </c>
      <c r="BQ7" s="4">
        <v>0</v>
      </c>
      <c r="BR7" s="4">
        <v>72.015279451430644</v>
      </c>
      <c r="BS7" s="4">
        <v>0</v>
      </c>
      <c r="BT7" s="4">
        <v>51.692795257187001</v>
      </c>
      <c r="BU7" s="4">
        <v>0</v>
      </c>
      <c r="BV7" s="4">
        <v>32.60350407020686</v>
      </c>
      <c r="BW7" s="4">
        <v>0</v>
      </c>
      <c r="BX7" s="4">
        <v>18.357528605188293</v>
      </c>
      <c r="BY7" s="4">
        <v>0</v>
      </c>
      <c r="BZ7" s="4">
        <v>19.960991056932549</v>
      </c>
      <c r="CA7" s="4">
        <v>0</v>
      </c>
      <c r="CB7" s="4">
        <f t="shared" si="5"/>
        <v>5.8575461833855131</v>
      </c>
      <c r="CC7" s="4">
        <f t="shared" si="6"/>
        <v>1.611443960643608E-2</v>
      </c>
      <c r="CD7" s="4">
        <f t="shared" si="7"/>
        <v>647.66052992583889</v>
      </c>
      <c r="CE7" s="4">
        <f t="shared" si="8"/>
        <v>2.2656001012052469E-2</v>
      </c>
      <c r="CF7" s="4">
        <f t="shared" si="9"/>
        <v>276.24798326459984</v>
      </c>
      <c r="CG7" s="4">
        <f t="shared" si="10"/>
        <v>11.024342436182724</v>
      </c>
      <c r="CH7" s="4">
        <f t="shared" si="11"/>
        <v>159.71822623582131</v>
      </c>
      <c r="CI7" s="4">
        <f t="shared" si="12"/>
        <v>200.66997798923512</v>
      </c>
    </row>
    <row r="8" spans="1:93" s="4" customFormat="1" x14ac:dyDescent="0.25">
      <c r="A8">
        <v>5</v>
      </c>
      <c r="B8" s="2">
        <v>45072</v>
      </c>
      <c r="C8" t="s">
        <v>36</v>
      </c>
      <c r="D8" s="36">
        <v>160.09850858400452</v>
      </c>
      <c r="E8" s="4">
        <v>9.8164066612928494E-2</v>
      </c>
      <c r="F8" s="36">
        <v>34.982745244573749</v>
      </c>
      <c r="G8" s="4">
        <v>0</v>
      </c>
      <c r="H8" s="36">
        <v>5.8249156723229172</v>
      </c>
      <c r="I8" s="4">
        <v>0</v>
      </c>
      <c r="J8" s="36">
        <v>1.5807706223731133</v>
      </c>
      <c r="K8" s="4">
        <v>0</v>
      </c>
      <c r="L8" s="36">
        <v>23.418870149940382</v>
      </c>
      <c r="M8" s="4">
        <v>4.4426549334355414E-3</v>
      </c>
      <c r="N8" s="36">
        <v>0.21996627641637809</v>
      </c>
      <c r="O8" s="4">
        <v>0</v>
      </c>
      <c r="P8" s="36">
        <v>0.491238312134535</v>
      </c>
      <c r="Q8" s="4">
        <v>0</v>
      </c>
      <c r="R8" s="36">
        <v>0.31220721035104798</v>
      </c>
      <c r="S8" s="4">
        <v>0</v>
      </c>
      <c r="T8" s="36">
        <v>0.49524848527908449</v>
      </c>
      <c r="U8" s="4">
        <v>0</v>
      </c>
      <c r="V8" s="36">
        <v>0.30475222729682561</v>
      </c>
      <c r="W8" s="4">
        <v>0</v>
      </c>
      <c r="X8" s="36">
        <v>0.1831386534389349</v>
      </c>
      <c r="Y8" s="4">
        <v>0</v>
      </c>
      <c r="Z8" s="36">
        <v>0.49607504034632949</v>
      </c>
      <c r="AA8" s="4">
        <v>0</v>
      </c>
      <c r="AB8" s="36">
        <f t="shared" ref="AB8" si="13">AVERAGE(AB9:AB11)</f>
        <v>0</v>
      </c>
      <c r="AC8" s="4">
        <v>0</v>
      </c>
      <c r="AD8" s="36">
        <v>0.575064039001286</v>
      </c>
      <c r="AE8" s="4">
        <v>0</v>
      </c>
      <c r="AF8" s="36">
        <v>0.23908370359831599</v>
      </c>
      <c r="AG8" s="4">
        <v>0</v>
      </c>
      <c r="AH8" s="36">
        <v>57.64842016851275</v>
      </c>
      <c r="AI8" s="4">
        <v>5.3580058831647799E-2</v>
      </c>
      <c r="AJ8" s="36">
        <v>67.493502514298044</v>
      </c>
      <c r="AK8" s="4">
        <v>3.8691960747259301E-2</v>
      </c>
      <c r="AL8" s="36">
        <v>119.21057273880101</v>
      </c>
      <c r="AM8" s="4">
        <v>3.6018150539357897E-2</v>
      </c>
      <c r="AN8" s="36">
        <v>14.236087367519699</v>
      </c>
      <c r="AO8" s="4">
        <v>0</v>
      </c>
      <c r="AP8" s="36">
        <v>13.429859977022399</v>
      </c>
      <c r="AQ8" s="4">
        <v>1.2965405021472E-3</v>
      </c>
      <c r="AR8" s="36">
        <v>3.8312826746942399</v>
      </c>
      <c r="AS8" s="4">
        <v>0</v>
      </c>
      <c r="AT8" s="36">
        <f t="shared" ref="AT8" si="14">AVERAGE(AT9:AT11)</f>
        <v>0</v>
      </c>
      <c r="AU8" s="4">
        <v>0</v>
      </c>
      <c r="AV8" s="36">
        <f t="shared" ref="AV8" si="15">AVERAGE(AV9:AV11)</f>
        <v>0.43714189734942899</v>
      </c>
      <c r="AW8" s="4">
        <v>0</v>
      </c>
      <c r="AX8" s="36">
        <f t="shared" ref="AX8" si="16">AVERAGE(AX9:AX11)</f>
        <v>16.591308447039598</v>
      </c>
      <c r="AY8" s="4">
        <v>4.3670303934443644E-4</v>
      </c>
      <c r="AZ8" s="36">
        <f t="shared" ref="AZ8" si="17">AVERAGE(AZ9:AZ11)</f>
        <v>0.20444843670944568</v>
      </c>
      <c r="BA8" s="4">
        <v>0</v>
      </c>
      <c r="BB8" s="36">
        <v>8.8513719654762957E-2</v>
      </c>
      <c r="BC8" s="4">
        <v>0</v>
      </c>
      <c r="BD8" s="36">
        <v>0.22783584213884414</v>
      </c>
      <c r="BE8" s="4">
        <v>0</v>
      </c>
      <c r="BF8" s="36">
        <v>0.94878887803438539</v>
      </c>
      <c r="BG8" s="4">
        <v>2.8082242722292073E-3</v>
      </c>
      <c r="BH8" s="36">
        <v>0.64324820131787019</v>
      </c>
      <c r="BI8" s="4">
        <v>2.5424562337542854E-4</v>
      </c>
      <c r="BJ8" s="36">
        <v>1.0810078092385447</v>
      </c>
      <c r="BK8" s="4">
        <v>2.5311993405342993E-4</v>
      </c>
      <c r="BL8" s="36">
        <v>0.16827474808249224</v>
      </c>
      <c r="BM8" s="4">
        <v>0</v>
      </c>
      <c r="BN8" s="36">
        <v>0</v>
      </c>
      <c r="BO8" s="4">
        <v>0</v>
      </c>
      <c r="BP8" s="36">
        <v>10.195081585486017</v>
      </c>
      <c r="BQ8" s="4">
        <v>7.5652293876605353E-2</v>
      </c>
      <c r="BR8" s="36">
        <v>138.27965387722111</v>
      </c>
      <c r="BS8" s="4">
        <v>5.4933853295788447E-2</v>
      </c>
      <c r="BT8" s="36">
        <v>94.650934503114684</v>
      </c>
      <c r="BU8" s="4">
        <v>1.7359270346077812E-2</v>
      </c>
      <c r="BV8" s="36">
        <v>79.938250080783149</v>
      </c>
      <c r="BW8" s="4">
        <v>9.3604569100482291E-3</v>
      </c>
      <c r="BX8" s="36">
        <v>45.217102812457121</v>
      </c>
      <c r="BY8" s="4">
        <v>3.235156124643855E-3</v>
      </c>
      <c r="BZ8" s="36">
        <v>52.329593351299479</v>
      </c>
      <c r="CA8" s="4">
        <v>0</v>
      </c>
      <c r="CB8" s="4">
        <f t="shared" si="5"/>
        <v>7.9534653156778461</v>
      </c>
      <c r="CC8" s="4">
        <f t="shared" si="6"/>
        <v>8.1949478024380424E-3</v>
      </c>
      <c r="CD8" s="4">
        <f t="shared" si="7"/>
        <v>946.07349385185262</v>
      </c>
      <c r="CE8" s="4">
        <f t="shared" si="8"/>
        <v>0.39648675558894242</v>
      </c>
      <c r="CF8" s="4">
        <f t="shared" si="9"/>
        <v>227.91236143813151</v>
      </c>
      <c r="CG8" s="4">
        <f t="shared" si="10"/>
        <v>20.222293231482883</v>
      </c>
      <c r="CH8" s="4">
        <f t="shared" si="11"/>
        <v>277.15994822379406</v>
      </c>
      <c r="CI8" s="4">
        <f t="shared" si="12"/>
        <v>420.77889095844404</v>
      </c>
    </row>
    <row r="9" spans="1:93" s="4" customFormat="1" x14ac:dyDescent="0.25">
      <c r="A9"/>
      <c r="B9"/>
      <c r="C9" t="s">
        <v>39</v>
      </c>
      <c r="D9" s="4">
        <v>172.31762562363099</v>
      </c>
      <c r="E9" s="4">
        <v>2.24605963039477</v>
      </c>
      <c r="F9" s="4">
        <v>42.735893966062001</v>
      </c>
      <c r="G9" s="4">
        <v>3.3345659651197401E-2</v>
      </c>
      <c r="H9" s="4">
        <v>9.4835183718490601</v>
      </c>
      <c r="I9" s="4">
        <v>0</v>
      </c>
      <c r="J9" s="4">
        <v>3.2311298239276196</v>
      </c>
      <c r="K9" s="4">
        <v>0</v>
      </c>
      <c r="L9" s="4">
        <v>81.560677232078206</v>
      </c>
      <c r="M9" s="4">
        <v>0.209595663169868</v>
      </c>
      <c r="N9" s="4">
        <v>0.59864316187563993</v>
      </c>
      <c r="O9" s="4">
        <v>8.4797716901868301E-3</v>
      </c>
      <c r="P9" s="4">
        <v>1.39871557219778</v>
      </c>
      <c r="Q9" s="4">
        <v>3.3389069317713203E-2</v>
      </c>
      <c r="R9" s="4">
        <v>0.64554236345781402</v>
      </c>
      <c r="S9" s="4">
        <v>9.360817310340809E-3</v>
      </c>
      <c r="T9" s="4">
        <v>0.80981998582182102</v>
      </c>
      <c r="U9" s="4">
        <v>7.89648505321092E-3</v>
      </c>
      <c r="V9" s="4">
        <v>0.46014645764511697</v>
      </c>
      <c r="W9" s="4">
        <v>0</v>
      </c>
      <c r="X9" s="4">
        <v>0.32573339094130804</v>
      </c>
      <c r="Y9" s="4">
        <v>0</v>
      </c>
      <c r="Z9" s="4">
        <v>0.72297691954581711</v>
      </c>
      <c r="AA9" s="4">
        <v>0</v>
      </c>
      <c r="AB9" s="4">
        <v>0</v>
      </c>
      <c r="AC9" s="4">
        <v>0</v>
      </c>
      <c r="AD9" s="4">
        <v>1.3668923255188599</v>
      </c>
      <c r="AE9" s="4">
        <v>0</v>
      </c>
      <c r="AF9" s="4">
        <v>0.57325504859405707</v>
      </c>
      <c r="AG9" s="4">
        <v>0</v>
      </c>
      <c r="AH9" s="4">
        <v>157.935195604109</v>
      </c>
      <c r="AI9" s="4">
        <v>1.87660381699656</v>
      </c>
      <c r="AJ9" s="4">
        <v>135.396072093388</v>
      </c>
      <c r="AK9" s="4">
        <v>1.0537722752310799</v>
      </c>
      <c r="AL9" s="4">
        <v>202.97334619049502</v>
      </c>
      <c r="AM9" s="4">
        <v>0.61761008805601503</v>
      </c>
      <c r="AN9" s="4">
        <v>20.7113986292795</v>
      </c>
      <c r="AO9" s="4">
        <v>7.0429298677974997E-2</v>
      </c>
      <c r="AP9" s="4">
        <v>15.8415308480061</v>
      </c>
      <c r="AQ9" s="4">
        <v>2.0764918452111397E-2</v>
      </c>
      <c r="AR9" s="4">
        <v>3.64467025903694</v>
      </c>
      <c r="AS9" s="4">
        <v>0</v>
      </c>
      <c r="AT9" s="4">
        <v>0</v>
      </c>
      <c r="AU9" s="4">
        <v>0</v>
      </c>
      <c r="AV9" s="4">
        <v>0.41843719554141401</v>
      </c>
      <c r="AW9" s="4">
        <v>0</v>
      </c>
      <c r="AX9" s="4">
        <v>21.673401033943598</v>
      </c>
      <c r="AY9" s="4">
        <v>1.9610061907035702E-2</v>
      </c>
      <c r="AZ9" s="4">
        <v>0.430647275344888</v>
      </c>
      <c r="BA9" s="4">
        <v>1.64689399004667E-3</v>
      </c>
      <c r="BB9" s="4">
        <v>0.291934448353594</v>
      </c>
      <c r="BC9" s="4">
        <v>0</v>
      </c>
      <c r="BD9" s="4">
        <v>0.80533408041462007</v>
      </c>
      <c r="BE9" s="4">
        <v>0</v>
      </c>
      <c r="BF9" s="4">
        <v>2.6287198063528088</v>
      </c>
      <c r="BG9" s="4">
        <v>0</v>
      </c>
      <c r="BH9" s="4">
        <v>1.4889339576762124</v>
      </c>
      <c r="BI9" s="4">
        <v>6.8514143292240648E-3</v>
      </c>
      <c r="BJ9" s="4">
        <v>2.2814305492437548</v>
      </c>
      <c r="BK9" s="4">
        <v>7.2705515071929752E-3</v>
      </c>
      <c r="BL9" s="4">
        <v>0.25488980192017596</v>
      </c>
      <c r="BM9" s="4">
        <v>0</v>
      </c>
      <c r="BN9" s="4">
        <v>0</v>
      </c>
      <c r="BO9" s="4">
        <v>0</v>
      </c>
      <c r="BP9" s="4">
        <v>29.939055284360553</v>
      </c>
      <c r="BQ9" s="4">
        <v>0.29225129548985251</v>
      </c>
      <c r="BR9" s="4">
        <v>323.12161564703598</v>
      </c>
      <c r="BS9" s="4">
        <v>1.9363650390547249</v>
      </c>
      <c r="BT9" s="4">
        <v>215.7219568486889</v>
      </c>
      <c r="BU9" s="4">
        <v>0.42756712867803598</v>
      </c>
      <c r="BV9" s="4">
        <v>135.63423021221936</v>
      </c>
      <c r="BW9" s="4">
        <v>0.44154062465152655</v>
      </c>
      <c r="BX9" s="4">
        <v>76.576624584911755</v>
      </c>
      <c r="BY9" s="4">
        <v>0.12534287001228395</v>
      </c>
      <c r="BZ9" s="4">
        <v>78.465364606917703</v>
      </c>
      <c r="CA9" s="4">
        <v>5.0288467165350605E-2</v>
      </c>
      <c r="CB9" s="4">
        <f t="shared" si="5"/>
        <v>17.111400036934267</v>
      </c>
      <c r="CC9" s="4">
        <f t="shared" si="6"/>
        <v>0.38773485509136724</v>
      </c>
      <c r="CD9" s="4">
        <f t="shared" si="7"/>
        <v>1742.4653592003858</v>
      </c>
      <c r="CE9" s="4">
        <f t="shared" si="8"/>
        <v>9.496041840786301</v>
      </c>
      <c r="CF9" s="4">
        <f t="shared" si="9"/>
        <v>313.56744594948742</v>
      </c>
      <c r="CG9" s="4">
        <f t="shared" si="10"/>
        <v>30.018838346870893</v>
      </c>
      <c r="CH9" s="4">
        <f t="shared" si="11"/>
        <v>539.16533791797326</v>
      </c>
      <c r="CI9" s="4">
        <f t="shared" si="12"/>
        <v>859.71373698605441</v>
      </c>
    </row>
    <row r="10" spans="1:93" s="4" customFormat="1" x14ac:dyDescent="0.25">
      <c r="A10"/>
      <c r="B10"/>
      <c r="C10" t="s">
        <v>40</v>
      </c>
      <c r="D10" s="4">
        <v>150.954455811305</v>
      </c>
      <c r="E10" s="4">
        <v>0.78960623360809801</v>
      </c>
      <c r="F10" s="4">
        <v>35.752193907635096</v>
      </c>
      <c r="G10" s="4">
        <v>1.3818630109277599E-2</v>
      </c>
      <c r="H10" s="4">
        <v>10.7722360521431</v>
      </c>
      <c r="I10" s="4">
        <v>0</v>
      </c>
      <c r="J10" s="4">
        <v>3.4342233252650001</v>
      </c>
      <c r="K10" s="4">
        <v>0</v>
      </c>
      <c r="L10" s="4">
        <v>55.123111263548303</v>
      </c>
      <c r="M10" s="4">
        <v>4.0133144250146899E-2</v>
      </c>
      <c r="N10" s="4">
        <v>0.40856432224237199</v>
      </c>
      <c r="O10" s="4">
        <v>2.6023062165192001E-3</v>
      </c>
      <c r="P10" s="4">
        <v>1.05887134056761</v>
      </c>
      <c r="Q10" s="4">
        <v>2.1062998773426902E-2</v>
      </c>
      <c r="R10" s="4">
        <v>0.71847365901911597</v>
      </c>
      <c r="S10" s="4">
        <v>5.5475062293487403E-3</v>
      </c>
      <c r="T10" s="4">
        <v>1.2146374407671401</v>
      </c>
      <c r="U10" s="4">
        <v>0</v>
      </c>
      <c r="V10" s="4">
        <v>0.83647005987091094</v>
      </c>
      <c r="W10" s="4">
        <v>0</v>
      </c>
      <c r="X10" s="4">
        <v>0.60663033265144495</v>
      </c>
      <c r="Y10" s="4">
        <v>0</v>
      </c>
      <c r="Z10" s="4">
        <v>0.61996649059675601</v>
      </c>
      <c r="AA10" s="4">
        <v>0</v>
      </c>
      <c r="AB10" s="4">
        <v>0</v>
      </c>
      <c r="AC10" s="4">
        <v>0</v>
      </c>
      <c r="AD10" s="4">
        <v>1.11171595170354</v>
      </c>
      <c r="AE10" s="4">
        <v>0</v>
      </c>
      <c r="AF10" s="4">
        <v>0.34210009520636098</v>
      </c>
      <c r="AG10" s="4">
        <v>0</v>
      </c>
      <c r="AH10" s="4">
        <v>108.534078386716</v>
      </c>
      <c r="AI10" s="4">
        <v>0.50523927403996205</v>
      </c>
      <c r="AJ10" s="4">
        <v>128.45614328248999</v>
      </c>
      <c r="AK10" s="4">
        <v>0.36539778023237396</v>
      </c>
      <c r="AL10" s="4">
        <v>254.552641803401</v>
      </c>
      <c r="AM10" s="4">
        <v>0.32328649307469198</v>
      </c>
      <c r="AN10" s="4">
        <v>47.792375530605597</v>
      </c>
      <c r="AO10" s="4">
        <v>2.68430125780139E-2</v>
      </c>
      <c r="AP10" s="4">
        <v>38.932812912113199</v>
      </c>
      <c r="AQ10" s="4">
        <v>1.18975483383991E-2</v>
      </c>
      <c r="AR10" s="4">
        <v>9.8174035714142001</v>
      </c>
      <c r="AS10" s="4">
        <v>0</v>
      </c>
      <c r="AT10" s="4">
        <v>0</v>
      </c>
      <c r="AU10" s="4">
        <v>0</v>
      </c>
      <c r="AV10" s="4">
        <v>0.50226421802354104</v>
      </c>
      <c r="AW10" s="4">
        <v>0</v>
      </c>
      <c r="AX10" s="4">
        <v>15.042248623786</v>
      </c>
      <c r="AY10" s="4">
        <v>3.84639919889388E-3</v>
      </c>
      <c r="AZ10" s="4">
        <v>0.18269803478344901</v>
      </c>
      <c r="BA10" s="4">
        <v>0</v>
      </c>
      <c r="BB10" s="4">
        <v>0.15937471562577341</v>
      </c>
      <c r="BC10" s="4">
        <v>0</v>
      </c>
      <c r="BD10" s="4">
        <v>0.51926676974163799</v>
      </c>
      <c r="BE10" s="4">
        <v>0</v>
      </c>
      <c r="BF10" s="4">
        <v>3.5648517848004468</v>
      </c>
      <c r="BG10" s="4">
        <v>0</v>
      </c>
      <c r="BH10" s="4">
        <v>2.2388232703958804</v>
      </c>
      <c r="BI10" s="4">
        <v>0</v>
      </c>
      <c r="BJ10" s="4">
        <v>3.4241148582942103</v>
      </c>
      <c r="BK10" s="4">
        <v>0</v>
      </c>
      <c r="BL10" s="4">
        <v>0.2141990340142905</v>
      </c>
      <c r="BM10" s="4">
        <v>0</v>
      </c>
      <c r="BN10" s="4">
        <v>0</v>
      </c>
      <c r="BO10" s="4">
        <v>0</v>
      </c>
      <c r="BP10" s="4">
        <v>16.040031413530652</v>
      </c>
      <c r="BQ10" s="4">
        <v>9.6911218567987956E-2</v>
      </c>
      <c r="BR10" s="4">
        <v>261.57383876934449</v>
      </c>
      <c r="BS10" s="4">
        <v>0.51672229362191902</v>
      </c>
      <c r="BT10" s="4">
        <v>216.30823955076974</v>
      </c>
      <c r="BU10" s="4">
        <v>0.17091438572765072</v>
      </c>
      <c r="BV10" s="4">
        <v>215.64554912815896</v>
      </c>
      <c r="BW10" s="4">
        <v>0.13218645795696118</v>
      </c>
      <c r="BX10" s="4">
        <v>141.63140974881415</v>
      </c>
      <c r="BY10" s="4">
        <v>4.1003157029536594E-2</v>
      </c>
      <c r="BZ10" s="4">
        <v>152.09470673650625</v>
      </c>
      <c r="CA10" s="4">
        <v>2.2455549144666177E-2</v>
      </c>
      <c r="CB10" s="4">
        <f t="shared" si="5"/>
        <v>19.83133071785165</v>
      </c>
      <c r="CC10" s="4">
        <f t="shared" si="6"/>
        <v>0.10946653392227938</v>
      </c>
      <c r="CD10" s="4">
        <f t="shared" si="7"/>
        <v>1880.1807221958511</v>
      </c>
      <c r="CE10" s="4">
        <f t="shared" si="8"/>
        <v>3.0894743886978731</v>
      </c>
      <c r="CF10" s="4">
        <f t="shared" si="9"/>
        <v>260.87986751501518</v>
      </c>
      <c r="CG10" s="4">
        <f t="shared" si="10"/>
        <v>25.633642275450939</v>
      </c>
      <c r="CH10" s="4">
        <f t="shared" si="11"/>
        <v>590.15923802424652</v>
      </c>
      <c r="CI10" s="4">
        <f t="shared" si="12"/>
        <v>1003.5079743811385</v>
      </c>
    </row>
    <row r="11" spans="1:93" s="4" customFormat="1" x14ac:dyDescent="0.25">
      <c r="A11"/>
      <c r="B11"/>
      <c r="C11" t="s">
        <v>41</v>
      </c>
      <c r="D11" s="4">
        <v>206.830439156262</v>
      </c>
      <c r="E11" s="4">
        <v>0.279018390056684</v>
      </c>
      <c r="F11" s="4">
        <v>48.863759426782899</v>
      </c>
      <c r="G11" s="4">
        <v>6.5073364540553106E-3</v>
      </c>
      <c r="H11" s="4">
        <v>9.6743168715854413</v>
      </c>
      <c r="I11" s="4">
        <v>0</v>
      </c>
      <c r="J11" s="4">
        <v>2.7960159262696802</v>
      </c>
      <c r="K11" s="4">
        <v>0</v>
      </c>
      <c r="L11" s="4">
        <v>50.411580344533299</v>
      </c>
      <c r="M11" s="4">
        <v>3.0518497895284297E-2</v>
      </c>
      <c r="N11" s="4">
        <v>0.31755672387581202</v>
      </c>
      <c r="O11" s="4">
        <v>2.8251625857980398E-3</v>
      </c>
      <c r="P11" s="4">
        <v>0.89088922938217796</v>
      </c>
      <c r="Q11" s="4">
        <v>2.64028903773092E-2</v>
      </c>
      <c r="R11" s="4">
        <v>0.47966959022272199</v>
      </c>
      <c r="S11" s="4">
        <v>7.4585079263439708E-3</v>
      </c>
      <c r="T11" s="4">
        <v>0.65094223475490398</v>
      </c>
      <c r="U11" s="4">
        <v>0</v>
      </c>
      <c r="V11" s="4">
        <v>0.38003216890445701</v>
      </c>
      <c r="W11" s="4">
        <v>0</v>
      </c>
      <c r="X11" s="4">
        <v>0.28613468650444202</v>
      </c>
      <c r="Y11" s="4">
        <v>0</v>
      </c>
      <c r="Z11" s="4">
        <v>0.69036362725223499</v>
      </c>
      <c r="AA11" s="4">
        <v>0</v>
      </c>
      <c r="AB11" s="4">
        <v>0</v>
      </c>
      <c r="AC11" s="4">
        <v>0</v>
      </c>
      <c r="AD11" s="4">
        <v>1.1040578736995101</v>
      </c>
      <c r="AE11" s="4">
        <v>0</v>
      </c>
      <c r="AF11" s="4">
        <v>0.29246723444907202</v>
      </c>
      <c r="AG11" s="4">
        <v>0</v>
      </c>
      <c r="AH11" s="4">
        <v>106.674817138745</v>
      </c>
      <c r="AI11" s="4">
        <v>0.63925431093827101</v>
      </c>
      <c r="AJ11" s="4">
        <v>96.656396838727204</v>
      </c>
      <c r="AK11" s="4">
        <v>0.43831271544360501</v>
      </c>
      <c r="AL11" s="4">
        <v>169.29318375993901</v>
      </c>
      <c r="AM11" s="4">
        <v>0.344819352976798</v>
      </c>
      <c r="AN11" s="4">
        <v>15.273912970184899</v>
      </c>
      <c r="AO11" s="4">
        <v>2.9631016779758098E-2</v>
      </c>
      <c r="AP11" s="4">
        <v>15.1285998332517</v>
      </c>
      <c r="AQ11" s="4">
        <v>1.2468631218282299E-2</v>
      </c>
      <c r="AR11" s="4">
        <v>3.0568217125022104</v>
      </c>
      <c r="AS11" s="4">
        <v>0</v>
      </c>
      <c r="AT11" s="4">
        <v>0</v>
      </c>
      <c r="AU11" s="4">
        <v>0</v>
      </c>
      <c r="AV11" s="4">
        <v>0.39072427848333202</v>
      </c>
      <c r="AW11" s="4">
        <v>0</v>
      </c>
      <c r="AX11" s="4">
        <v>13.0582756833892</v>
      </c>
      <c r="AY11" s="4">
        <v>2.769374528613595E-3</v>
      </c>
      <c r="AZ11" s="4">
        <v>0</v>
      </c>
      <c r="BA11" s="4">
        <v>0</v>
      </c>
      <c r="BB11" s="4">
        <v>0.13861487473080811</v>
      </c>
      <c r="BC11" s="4">
        <v>0</v>
      </c>
      <c r="BD11" s="4">
        <v>0.52007540849239697</v>
      </c>
      <c r="BE11" s="4">
        <v>0</v>
      </c>
      <c r="BF11" s="4">
        <v>2.2372678821103977</v>
      </c>
      <c r="BG11" s="4">
        <v>0</v>
      </c>
      <c r="BH11" s="4">
        <v>1.4224422242772401</v>
      </c>
      <c r="BI11" s="4">
        <v>2.9476215648256447E-3</v>
      </c>
      <c r="BJ11" s="4">
        <v>2.2598596862211697</v>
      </c>
      <c r="BK11" s="4">
        <v>3.4423885011957045E-3</v>
      </c>
      <c r="BL11" s="4">
        <v>0.21423468462125697</v>
      </c>
      <c r="BM11" s="4">
        <v>0</v>
      </c>
      <c r="BN11" s="4">
        <v>0</v>
      </c>
      <c r="BO11" s="4">
        <v>0</v>
      </c>
      <c r="BP11" s="4">
        <v>15.2962869520226</v>
      </c>
      <c r="BQ11" s="4">
        <v>0.1020955943800058</v>
      </c>
      <c r="BR11" s="4">
        <v>207.74978966439022</v>
      </c>
      <c r="BS11" s="4">
        <v>0.7176094132707479</v>
      </c>
      <c r="BT11" s="4">
        <v>163.0523535242757</v>
      </c>
      <c r="BU11" s="4">
        <v>0.21949159979208849</v>
      </c>
      <c r="BV11" s="4">
        <v>119.86094181864165</v>
      </c>
      <c r="BW11" s="4">
        <v>0.17289452509140305</v>
      </c>
      <c r="BX11" s="4">
        <v>71.232478816964203</v>
      </c>
      <c r="BY11" s="4">
        <v>4.9447564206956299E-2</v>
      </c>
      <c r="BZ11" s="4">
        <v>75.424704683579691</v>
      </c>
      <c r="CA11" s="4">
        <v>2.9113419824988634E-2</v>
      </c>
      <c r="CB11" s="4">
        <f t="shared" si="5"/>
        <v>13.753055775930846</v>
      </c>
      <c r="CC11" s="4">
        <f t="shared" si="6"/>
        <v>0.11198519965841439</v>
      </c>
      <c r="CD11" s="4">
        <f t="shared" si="7"/>
        <v>1402.6100075300285</v>
      </c>
      <c r="CE11" s="4">
        <f t="shared" si="8"/>
        <v>3.1170283138130146</v>
      </c>
      <c r="CF11" s="4">
        <f t="shared" si="9"/>
        <v>321.58133635907791</v>
      </c>
      <c r="CG11" s="4">
        <f t="shared" si="10"/>
        <v>20.027260037704544</v>
      </c>
      <c r="CH11" s="4">
        <f t="shared" si="11"/>
        <v>408.17062098875084</v>
      </c>
      <c r="CI11" s="4">
        <f t="shared" si="12"/>
        <v>652.83079014449527</v>
      </c>
    </row>
    <row r="12" spans="1:93" s="4" customFormat="1" x14ac:dyDescent="0.25">
      <c r="A12">
        <v>10</v>
      </c>
      <c r="B12" t="s">
        <v>43</v>
      </c>
      <c r="C12" t="s">
        <v>189</v>
      </c>
      <c r="D12" s="4">
        <v>284.32575756922301</v>
      </c>
      <c r="F12" s="4">
        <v>66.610045035157299</v>
      </c>
      <c r="H12" s="4">
        <v>10.6523045877275</v>
      </c>
      <c r="J12" s="4">
        <v>2.7120494761520599</v>
      </c>
      <c r="L12" s="4">
        <v>43.394169635806499</v>
      </c>
      <c r="N12" s="4">
        <v>0.25347807396588001</v>
      </c>
      <c r="P12" s="4">
        <v>0.57317397410050497</v>
      </c>
      <c r="R12" s="4">
        <v>0.33631849532568497</v>
      </c>
      <c r="T12" s="4">
        <v>0.48063332634213402</v>
      </c>
      <c r="V12" s="4">
        <v>0.27289544722628301</v>
      </c>
      <c r="X12" s="4">
        <v>0.19295079247776598</v>
      </c>
      <c r="Z12" s="4">
        <v>0.86500697399903803</v>
      </c>
      <c r="AB12" s="4">
        <v>0</v>
      </c>
      <c r="AD12" s="4">
        <v>1.0759265205715201</v>
      </c>
      <c r="AF12" s="4">
        <v>0.26610812994675698</v>
      </c>
      <c r="AH12" s="4">
        <v>85.465817528683203</v>
      </c>
      <c r="AJ12" s="4">
        <v>70.588763305956292</v>
      </c>
      <c r="AL12" s="4">
        <v>123.59458905088501</v>
      </c>
      <c r="AN12" s="4">
        <v>11.552653616138</v>
      </c>
      <c r="AP12" s="4">
        <v>11.547370434899099</v>
      </c>
      <c r="AR12" s="4">
        <v>2.0875674191361999</v>
      </c>
      <c r="AV12" s="4">
        <v>0.29599852653898201</v>
      </c>
      <c r="AX12" s="4">
        <v>12.0173908073373</v>
      </c>
      <c r="AZ12" s="4">
        <v>0</v>
      </c>
      <c r="BB12" s="4">
        <v>0</v>
      </c>
      <c r="BD12" s="4">
        <v>0.30387874611136645</v>
      </c>
      <c r="BF12" s="4">
        <v>1.766692467812949</v>
      </c>
      <c r="BH12" s="4">
        <v>0.93718110211579209</v>
      </c>
      <c r="BJ12" s="4">
        <v>1.4976930296121671</v>
      </c>
      <c r="BL12" s="4">
        <v>0.19701246686466301</v>
      </c>
      <c r="BN12" s="4">
        <v>0</v>
      </c>
      <c r="BP12" s="4">
        <v>12.606628840942276</v>
      </c>
      <c r="BR12" s="4">
        <v>159.02238441509951</v>
      </c>
      <c r="BT12" s="4">
        <v>108.2577960675208</v>
      </c>
      <c r="BV12" s="4">
        <v>82.727715867479546</v>
      </c>
      <c r="BX12" s="4">
        <v>47.817826812809749</v>
      </c>
      <c r="BZ12" s="4">
        <v>47.969998027418121</v>
      </c>
      <c r="CB12" s="4">
        <v>13.51467110942863</v>
      </c>
      <c r="CC12" s="4">
        <v>0</v>
      </c>
      <c r="CD12" s="4">
        <v>1516.898550624757</v>
      </c>
      <c r="CF12" s="4">
        <f t="shared" si="9"/>
        <v>409.80377641350464</v>
      </c>
      <c r="CG12" s="4">
        <f t="shared" si="10"/>
        <v>16.818834679528557</v>
      </c>
      <c r="CH12" s="4">
        <f t="shared" si="11"/>
        <v>307.0438029802151</v>
      </c>
      <c r="CI12" s="4">
        <f t="shared" si="12"/>
        <v>458.59936249813467</v>
      </c>
    </row>
    <row r="13" spans="1:93" s="4" customFormat="1" x14ac:dyDescent="0.25">
      <c r="A13">
        <v>17</v>
      </c>
      <c r="B13" s="2">
        <v>45084</v>
      </c>
      <c r="C13" t="s">
        <v>36</v>
      </c>
      <c r="D13" s="4">
        <v>218.376371445464</v>
      </c>
      <c r="E13" s="4">
        <v>1.19641911251205</v>
      </c>
      <c r="F13" s="4">
        <v>53.105685457190098</v>
      </c>
      <c r="G13" s="4">
        <v>3.4012276422417602E-2</v>
      </c>
      <c r="H13" s="4">
        <v>11.2437509363321</v>
      </c>
      <c r="I13" s="4">
        <v>0</v>
      </c>
      <c r="J13" s="4">
        <v>3.3347835682208702</v>
      </c>
      <c r="K13" s="4">
        <v>0</v>
      </c>
      <c r="L13" s="4">
        <v>77.045806591399412</v>
      </c>
      <c r="M13" s="4">
        <v>5.0477336705412809E-2</v>
      </c>
      <c r="N13" s="4">
        <v>0.39748327683575796</v>
      </c>
      <c r="O13" s="4">
        <v>4.6489465087705788E-3</v>
      </c>
      <c r="P13" s="4">
        <v>0.90041145810422996</v>
      </c>
      <c r="Q13" s="4">
        <v>3.2914773966452947E-2</v>
      </c>
      <c r="R13" s="4">
        <v>0.59737938427432902</v>
      </c>
      <c r="S13" s="4">
        <v>1.6954041349351301E-2</v>
      </c>
      <c r="T13" s="4">
        <v>0.83409934677813502</v>
      </c>
      <c r="U13" s="4">
        <v>1.49716133301933E-2</v>
      </c>
      <c r="V13" s="4">
        <v>0.53578700364111598</v>
      </c>
      <c r="W13" s="4">
        <v>4.3512974013214462E-3</v>
      </c>
      <c r="X13" s="4">
        <v>0.41609464937940499</v>
      </c>
      <c r="Y13" s="4">
        <v>0</v>
      </c>
      <c r="Z13" s="4">
        <v>0.79719931461819704</v>
      </c>
      <c r="AA13" s="4">
        <v>0</v>
      </c>
      <c r="AB13" s="4">
        <v>0</v>
      </c>
      <c r="AC13" s="4">
        <v>0</v>
      </c>
      <c r="AD13" s="4">
        <v>1.19410425279479</v>
      </c>
      <c r="AE13" s="4">
        <v>6.5557913200847704E-3</v>
      </c>
      <c r="AF13" s="4">
        <v>0.33223387645118996</v>
      </c>
      <c r="AG13" s="4">
        <v>5.6641672377653702E-3</v>
      </c>
      <c r="AH13" s="4">
        <v>110.36203337917699</v>
      </c>
      <c r="AI13" s="4">
        <v>4.6243772558082901</v>
      </c>
      <c r="AJ13" s="4">
        <v>116.368513359074</v>
      </c>
      <c r="AK13" s="4">
        <v>2.9057804620535901</v>
      </c>
      <c r="AL13" s="4">
        <v>208.901888897612</v>
      </c>
      <c r="AM13" s="4">
        <v>2.0641866359766401</v>
      </c>
      <c r="AN13" s="4">
        <v>24.055441471286201</v>
      </c>
      <c r="AO13" s="4">
        <v>0.102152144349442</v>
      </c>
      <c r="AP13" s="4">
        <v>22.0436688310037</v>
      </c>
      <c r="AQ13" s="4">
        <v>8.5388713982052E-2</v>
      </c>
      <c r="AR13" s="4">
        <v>4.7982055111767501</v>
      </c>
      <c r="AS13" s="4">
        <v>1.14400408441735E-2</v>
      </c>
      <c r="AT13" s="4">
        <v>0</v>
      </c>
      <c r="AU13" s="4">
        <v>0</v>
      </c>
      <c r="AV13" s="4">
        <v>0.38373492039532697</v>
      </c>
      <c r="AW13" s="4">
        <v>0</v>
      </c>
      <c r="AX13" s="4">
        <v>21.472340384024399</v>
      </c>
      <c r="AY13" s="4">
        <v>4.8111453669411712E-3</v>
      </c>
      <c r="AZ13" s="4">
        <v>0.26380949213907701</v>
      </c>
      <c r="BA13" s="4">
        <v>5.5744863885341352E-4</v>
      </c>
      <c r="BB13" s="4">
        <v>0.15888313030511553</v>
      </c>
      <c r="BC13" s="4">
        <v>2.8382231967330998E-3</v>
      </c>
      <c r="BD13" s="4">
        <v>0.40669477758276495</v>
      </c>
      <c r="BE13" s="4">
        <v>7.6697844121633206E-3</v>
      </c>
      <c r="BF13" s="4">
        <v>2.7602047254563282</v>
      </c>
      <c r="BG13" s="4">
        <v>2.1140420501981765E-2</v>
      </c>
      <c r="BH13" s="4">
        <v>1.5991733186905421</v>
      </c>
      <c r="BI13" s="4">
        <v>1.0455106475929874E-2</v>
      </c>
      <c r="BJ13" s="4">
        <v>2.0541929666236749</v>
      </c>
      <c r="BK13" s="4">
        <v>8.5536131385797205E-3</v>
      </c>
      <c r="BL13" s="4">
        <v>0.2030070180817605</v>
      </c>
      <c r="BM13" s="4">
        <v>0</v>
      </c>
      <c r="BN13" s="4">
        <v>0</v>
      </c>
      <c r="BO13" s="4">
        <v>0</v>
      </c>
      <c r="BP13" s="4">
        <v>17.930209122602253</v>
      </c>
      <c r="BQ13" s="4">
        <v>0.5271159560327765</v>
      </c>
      <c r="BR13" s="4">
        <v>252.31629336598149</v>
      </c>
      <c r="BS13" s="4">
        <v>5.4549801313517747</v>
      </c>
      <c r="BT13" s="4">
        <v>199.02908846975811</v>
      </c>
      <c r="BU13" s="4">
        <v>1.3477171716721805</v>
      </c>
      <c r="BV13" s="4">
        <v>163.23895821010387</v>
      </c>
      <c r="BW13" s="4">
        <v>0.58912211765783962</v>
      </c>
      <c r="BX13" s="4">
        <v>95.938403390697857</v>
      </c>
      <c r="BY13" s="4">
        <v>0.15329934076695156</v>
      </c>
      <c r="BZ13" s="4">
        <v>106.23086859369408</v>
      </c>
      <c r="CA13" s="4">
        <v>7.2365778849155307E-2</v>
      </c>
      <c r="CB13" s="4">
        <f t="shared" si="5"/>
        <v>15.772165209496059</v>
      </c>
      <c r="CC13" s="4">
        <f t="shared" si="6"/>
        <v>0.31038180566628126</v>
      </c>
      <c r="CD13" s="4">
        <f>SUM(D13,F13,H13,J13,L13,N13,P13,R13,T13,V13,X13,Z13,AB13,AD13,AF13,AH13,AJ13,AL13,AN13,AP13,AR13,AT13,AV13,AX13,AZ13,BB13,BD13,BF13,BH13,BJ13,BL13,BN13,BP13,BR13,BT13,BV13,BX13,BZ13)</f>
        <v>1719.6268038969502</v>
      </c>
      <c r="CE13" s="4">
        <f t="shared" si="8"/>
        <v>19.360920847829867</v>
      </c>
      <c r="CF13" s="4">
        <f t="shared" si="9"/>
        <v>366.78765311761953</v>
      </c>
      <c r="CG13" s="4">
        <f t="shared" si="10"/>
        <v>29.099033715217232</v>
      </c>
      <c r="CH13" s="4">
        <f t="shared" si="11"/>
        <v>488.85328889319385</v>
      </c>
      <c r="CI13" s="4">
        <f t="shared" si="12"/>
        <v>834.88682817091944</v>
      </c>
    </row>
    <row r="14" spans="1:93" s="4" customFormat="1" x14ac:dyDescent="0.25">
      <c r="A14"/>
      <c r="B14"/>
      <c r="C14" t="s">
        <v>39</v>
      </c>
      <c r="D14" s="4">
        <v>218.376371445464</v>
      </c>
      <c r="E14" s="4">
        <v>3.67502333566574</v>
      </c>
      <c r="F14" s="4">
        <v>53.105685457190098</v>
      </c>
      <c r="G14" s="4">
        <v>5.2710090590919599E-2</v>
      </c>
      <c r="H14" s="4">
        <v>11.2437509363321</v>
      </c>
      <c r="I14" s="4">
        <v>0</v>
      </c>
      <c r="J14" s="4">
        <v>3.3347835682208702</v>
      </c>
      <c r="K14" s="4">
        <v>0</v>
      </c>
      <c r="L14" s="4">
        <v>77.045806591399412</v>
      </c>
      <c r="M14" s="4">
        <v>0.22187965780612298</v>
      </c>
      <c r="N14" s="4">
        <v>0.39748327683575796</v>
      </c>
      <c r="O14" s="4">
        <v>1.5030022547124601E-2</v>
      </c>
      <c r="P14" s="4">
        <v>0.90041145810422996</v>
      </c>
      <c r="Q14" s="4">
        <v>7.3795781913673808E-2</v>
      </c>
      <c r="R14" s="4">
        <v>0.59737938427432902</v>
      </c>
      <c r="S14" s="4">
        <v>3.49147823591077E-2</v>
      </c>
      <c r="T14" s="4">
        <v>0.83409934677813502</v>
      </c>
      <c r="U14" s="4">
        <v>2.9367155782343599E-2</v>
      </c>
      <c r="V14" s="4">
        <v>0.53578700364111598</v>
      </c>
      <c r="W14" s="4">
        <v>1.177727502749E-2</v>
      </c>
      <c r="X14" s="4">
        <v>0.41609464937940499</v>
      </c>
      <c r="Y14" s="4">
        <v>3.71900619133E-3</v>
      </c>
      <c r="Z14" s="4">
        <v>0.79719931461819704</v>
      </c>
      <c r="AA14" s="4">
        <v>0</v>
      </c>
      <c r="AB14" s="4">
        <v>0</v>
      </c>
      <c r="AC14" s="4">
        <v>0</v>
      </c>
      <c r="AD14" s="4">
        <v>1.19410425279479</v>
      </c>
      <c r="AE14" s="4">
        <v>1.6660111714123901E-2</v>
      </c>
      <c r="AF14" s="4">
        <v>0.33223387645118996</v>
      </c>
      <c r="AG14" s="4">
        <v>1.1517704350125901E-2</v>
      </c>
      <c r="AH14" s="4">
        <v>110.36203337917699</v>
      </c>
      <c r="AI14" s="4">
        <v>10.835528744974001</v>
      </c>
      <c r="AJ14" s="4">
        <v>116.368513359074</v>
      </c>
      <c r="AK14" s="4">
        <v>5.9692562438094399</v>
      </c>
      <c r="AL14" s="4">
        <v>208.901888897612</v>
      </c>
      <c r="AM14" s="4">
        <v>3.5304297069530199</v>
      </c>
      <c r="AN14" s="4">
        <v>24.055441471286201</v>
      </c>
      <c r="AO14" s="4">
        <v>0.37883498507369701</v>
      </c>
      <c r="AP14" s="4">
        <v>22.0436688310037</v>
      </c>
      <c r="AQ14" s="4">
        <v>0.17813655823584698</v>
      </c>
      <c r="AR14" s="4">
        <v>4.7982055111767501</v>
      </c>
      <c r="AS14" s="4">
        <v>2.12743835140164E-2</v>
      </c>
      <c r="AT14" s="4">
        <v>0</v>
      </c>
      <c r="AU14" s="4">
        <v>0</v>
      </c>
      <c r="AV14" s="4">
        <v>0.38373492039532697</v>
      </c>
      <c r="AW14" s="4">
        <v>0</v>
      </c>
      <c r="AX14" s="4">
        <v>21.472340384024399</v>
      </c>
      <c r="AY14" s="4">
        <v>2.7330063803399352E-2</v>
      </c>
      <c r="AZ14" s="4">
        <v>0.26380949213907701</v>
      </c>
      <c r="BA14" s="4">
        <v>2.46629679871813E-3</v>
      </c>
      <c r="BB14" s="4">
        <v>0.15888313030511553</v>
      </c>
      <c r="BC14" s="4">
        <v>0</v>
      </c>
      <c r="BD14" s="4">
        <v>0.40669477758276495</v>
      </c>
      <c r="BE14" s="4">
        <v>1.1024792686562189E-2</v>
      </c>
      <c r="BF14" s="4">
        <v>2.7602047254563282</v>
      </c>
      <c r="BG14" s="4">
        <v>4.4394956552049752E-2</v>
      </c>
      <c r="BH14" s="4">
        <v>1.5991733186905421</v>
      </c>
      <c r="BI14" s="4">
        <v>3.0188292932294948E-2</v>
      </c>
      <c r="BJ14" s="4">
        <v>2.0541929666236749</v>
      </c>
      <c r="BK14" s="4">
        <v>2.1826027513332701E-2</v>
      </c>
      <c r="BL14" s="4">
        <v>0.2030070180817605</v>
      </c>
      <c r="BM14" s="4">
        <v>0</v>
      </c>
      <c r="BN14" s="4">
        <v>0</v>
      </c>
      <c r="BO14" s="4">
        <v>0</v>
      </c>
      <c r="BP14" s="4">
        <v>17.930209122602253</v>
      </c>
      <c r="BQ14" s="4">
        <v>1.5371696030902051</v>
      </c>
      <c r="BR14" s="4">
        <v>252.31629336598149</v>
      </c>
      <c r="BS14" s="4">
        <v>15.305735766819165</v>
      </c>
      <c r="BT14" s="4">
        <v>199.02908846975811</v>
      </c>
      <c r="BU14" s="4">
        <v>2.9501752224288449</v>
      </c>
      <c r="BV14" s="4">
        <v>163.23895821010387</v>
      </c>
      <c r="BW14" s="4">
        <v>1.8463504174720931</v>
      </c>
      <c r="BX14" s="4">
        <v>95.938403390697857</v>
      </c>
      <c r="BY14" s="4">
        <v>0.40866443218217702</v>
      </c>
      <c r="BZ14" s="4">
        <v>106.23086859369408</v>
      </c>
      <c r="CA14" s="4">
        <v>0.18121911757366274</v>
      </c>
      <c r="CB14" s="4">
        <f t="shared" si="5"/>
        <v>15.772165209496059</v>
      </c>
      <c r="CC14" s="4">
        <f t="shared" si="6"/>
        <v>0.81109551965639826</v>
      </c>
      <c r="CD14" s="4">
        <f>SUM(D14,F14,H14,J14,L14,N14,P14,R14,T14,V14,X14,Z14,AB14,AD14,AF14,AH14,AJ14,AL14,AN14,AP14,AR14,AT14,AV14,AX14,AZ14,BB14,BD14,BF14,BH14,BJ14,BL14,BN14,BP14,BR14,BT14,BV14,BX14,BZ14)</f>
        <v>1719.6268038969502</v>
      </c>
      <c r="CE14" s="4">
        <f t="shared" si="8"/>
        <v>47.426400536360632</v>
      </c>
      <c r="CF14" s="4">
        <f t="shared" si="9"/>
        <v>366.78765311761953</v>
      </c>
      <c r="CG14" s="4">
        <f t="shared" si="10"/>
        <v>29.099033715217232</v>
      </c>
      <c r="CH14" s="4">
        <f t="shared" si="11"/>
        <v>488.85328889319385</v>
      </c>
      <c r="CI14" s="4">
        <f t="shared" si="12"/>
        <v>834.88682817091944</v>
      </c>
    </row>
    <row r="15" spans="1:93" s="4" customFormat="1" x14ac:dyDescent="0.25">
      <c r="A15"/>
      <c r="B15"/>
      <c r="C15" t="s">
        <v>40</v>
      </c>
      <c r="D15" s="4">
        <v>218.376371445464</v>
      </c>
      <c r="E15" s="4">
        <v>2.7551055604085501</v>
      </c>
      <c r="F15" s="4">
        <v>53.105685457190098</v>
      </c>
      <c r="G15" s="4">
        <v>3.9803457530830998E-2</v>
      </c>
      <c r="H15" s="4">
        <v>11.2437509363321</v>
      </c>
      <c r="I15" s="4">
        <v>0</v>
      </c>
      <c r="J15" s="4">
        <v>3.3347835682208702</v>
      </c>
      <c r="K15" s="4">
        <v>0</v>
      </c>
      <c r="L15" s="4">
        <v>77.045806591399412</v>
      </c>
      <c r="M15" s="4">
        <v>0.17811158942407701</v>
      </c>
      <c r="N15" s="4">
        <v>0.39748327683575796</v>
      </c>
      <c r="O15" s="4">
        <v>7.2258822105941492E-3</v>
      </c>
      <c r="P15" s="4">
        <v>0.90041145810422996</v>
      </c>
      <c r="Q15" s="4">
        <v>4.3196445494956201E-2</v>
      </c>
      <c r="R15" s="4">
        <v>0.59737938427432902</v>
      </c>
      <c r="S15" s="4">
        <v>1.86194526223438E-2</v>
      </c>
      <c r="T15" s="4">
        <v>0.83409934677813502</v>
      </c>
      <c r="U15" s="4">
        <v>1.69262717975509E-2</v>
      </c>
      <c r="V15" s="4">
        <v>0.53578700364111598</v>
      </c>
      <c r="W15" s="4">
        <v>5.0055865967406302E-3</v>
      </c>
      <c r="X15" s="4">
        <v>0.41609464937940499</v>
      </c>
      <c r="Y15" s="4">
        <v>0</v>
      </c>
      <c r="Z15" s="4">
        <v>0.79719931461819704</v>
      </c>
      <c r="AA15" s="4">
        <v>0</v>
      </c>
      <c r="AB15" s="4">
        <v>0</v>
      </c>
      <c r="AC15" s="4">
        <v>0</v>
      </c>
      <c r="AD15" s="4">
        <v>1.19410425279479</v>
      </c>
      <c r="AE15" s="4">
        <v>1.1395948625353799E-2</v>
      </c>
      <c r="AF15" s="4">
        <v>0.33223387645118996</v>
      </c>
      <c r="AG15" s="4">
        <v>6.0242160625142193E-3</v>
      </c>
      <c r="AH15" s="4">
        <v>110.36203337917699</v>
      </c>
      <c r="AI15" s="4">
        <v>4.5231807834538307</v>
      </c>
      <c r="AJ15" s="4">
        <v>116.368513359074</v>
      </c>
      <c r="AK15" s="4">
        <v>2.8542492831941599</v>
      </c>
      <c r="AL15" s="4">
        <v>208.901888897612</v>
      </c>
      <c r="AM15" s="4">
        <v>1.79539685407369</v>
      </c>
      <c r="AN15" s="4">
        <v>24.055441471286201</v>
      </c>
      <c r="AO15" s="4">
        <v>0.17329305665351502</v>
      </c>
      <c r="AP15" s="4">
        <v>22.0436688310037</v>
      </c>
      <c r="AQ15" s="4">
        <v>8.3583860428090101E-2</v>
      </c>
      <c r="AR15" s="4">
        <v>4.7982055111767501</v>
      </c>
      <c r="AS15" s="4">
        <v>1.0792537855158199E-2</v>
      </c>
      <c r="AT15" s="4">
        <v>0</v>
      </c>
      <c r="AU15" s="4">
        <v>0</v>
      </c>
      <c r="AV15" s="4">
        <v>0.38373492039532697</v>
      </c>
      <c r="AW15" s="4">
        <v>0</v>
      </c>
      <c r="AX15" s="4">
        <v>21.472340384024399</v>
      </c>
      <c r="AY15" s="4">
        <v>2.1480765512347504E-2</v>
      </c>
      <c r="AZ15" s="4">
        <v>0.26380949213907701</v>
      </c>
      <c r="BA15" s="4">
        <v>1.3376403419051231E-3</v>
      </c>
      <c r="BB15" s="4">
        <v>0.15888313030511553</v>
      </c>
      <c r="BC15" s="4">
        <v>0</v>
      </c>
      <c r="BD15" s="4">
        <v>0.40669477758276495</v>
      </c>
      <c r="BE15" s="4">
        <v>5.6344680479036759E-3</v>
      </c>
      <c r="BF15" s="4">
        <v>2.7602047254563282</v>
      </c>
      <c r="BG15" s="4">
        <v>2.0486206072156985E-2</v>
      </c>
      <c r="BH15" s="4">
        <v>1.5991733186905421</v>
      </c>
      <c r="BI15" s="4">
        <v>1.0451948290635031E-2</v>
      </c>
      <c r="BJ15" s="4">
        <v>2.0541929666236749</v>
      </c>
      <c r="BK15" s="4">
        <v>8.9858358554183899E-3</v>
      </c>
      <c r="BL15" s="4">
        <v>0.2030070180817605</v>
      </c>
      <c r="BM15" s="4">
        <v>0</v>
      </c>
      <c r="BN15" s="4">
        <v>0</v>
      </c>
      <c r="BO15" s="4">
        <v>0</v>
      </c>
      <c r="BP15" s="4">
        <v>17.930209122602253</v>
      </c>
      <c r="BQ15" s="4">
        <v>0.56839127645739351</v>
      </c>
      <c r="BR15" s="4">
        <v>252.31629336598149</v>
      </c>
      <c r="BS15" s="4">
        <v>5.5625440524280751</v>
      </c>
      <c r="BT15" s="4">
        <v>199.02908846975811</v>
      </c>
      <c r="BU15" s="4">
        <v>1.2518256102986691</v>
      </c>
      <c r="BV15" s="4">
        <v>163.23895821010387</v>
      </c>
      <c r="BW15" s="4">
        <v>0.73344088456303003</v>
      </c>
      <c r="BX15" s="4">
        <v>95.938403390697857</v>
      </c>
      <c r="BY15" s="4">
        <v>0.15659987917422924</v>
      </c>
      <c r="BZ15" s="4">
        <v>106.23086859369408</v>
      </c>
      <c r="CA15" s="4">
        <v>7.2378222425363542E-2</v>
      </c>
      <c r="CB15" s="4">
        <f t="shared" si="5"/>
        <v>15.772165209496059</v>
      </c>
      <c r="CC15" s="4">
        <f t="shared" si="6"/>
        <v>0.47785647476585025</v>
      </c>
      <c r="CD15" s="4">
        <f>SUM(D15,F15,H15,J15,L15,N15,P15,R15,T15,V15,X15,Z15,AB15,AD15,AF15,AH15,AJ15,AL15,AN15,AP15,AR15,AT15,AV15,AX15,AZ15,BB15,BD15,BF15,BH15,BJ15,BL15,BN15,BP15,BR15,BT15,BV15,BX15,BZ15)</f>
        <v>1719.6268038969502</v>
      </c>
      <c r="CE15" s="4">
        <f t="shared" si="8"/>
        <v>20.935467575899086</v>
      </c>
      <c r="CF15" s="4">
        <f t="shared" si="9"/>
        <v>366.78765311761953</v>
      </c>
      <c r="CG15" s="4">
        <f t="shared" si="10"/>
        <v>29.099033715217232</v>
      </c>
      <c r="CH15" s="4">
        <f t="shared" si="11"/>
        <v>488.85328889319385</v>
      </c>
      <c r="CI15" s="4">
        <f t="shared" si="12"/>
        <v>834.88682817091944</v>
      </c>
    </row>
    <row r="16" spans="1:93" s="4" customFormat="1" x14ac:dyDescent="0.25">
      <c r="A16"/>
      <c r="B16"/>
      <c r="C16" t="s">
        <v>41</v>
      </c>
      <c r="D16" s="4">
        <v>218.376371445464</v>
      </c>
      <c r="E16" s="4">
        <v>1.6091218272130901</v>
      </c>
      <c r="F16" s="4">
        <v>53.105685457190098</v>
      </c>
      <c r="G16" s="4">
        <v>3.48060411972336E-2</v>
      </c>
      <c r="H16" s="4">
        <v>11.2437509363321</v>
      </c>
      <c r="I16" s="4">
        <v>0</v>
      </c>
      <c r="J16" s="4">
        <v>3.3347835682208702</v>
      </c>
      <c r="K16" s="4">
        <v>0</v>
      </c>
      <c r="L16" s="4">
        <v>77.045806591399412</v>
      </c>
      <c r="M16" s="4">
        <v>0.11524712207587601</v>
      </c>
      <c r="N16" s="4">
        <v>0.39748327683575796</v>
      </c>
      <c r="O16" s="4">
        <v>1.20451467714188E-2</v>
      </c>
      <c r="P16" s="4">
        <v>0.90041145810422996</v>
      </c>
      <c r="Q16" s="4">
        <v>8.3871477172770201E-2</v>
      </c>
      <c r="R16" s="4">
        <v>0.59737938427432902</v>
      </c>
      <c r="S16" s="4">
        <v>4.1619764345093103E-2</v>
      </c>
      <c r="T16" s="4">
        <v>0.83409934677813502</v>
      </c>
      <c r="U16" s="4">
        <v>3.4153800334022003E-2</v>
      </c>
      <c r="V16" s="4">
        <v>0.53578700364111598</v>
      </c>
      <c r="W16" s="4">
        <v>1.2351631347168199E-2</v>
      </c>
      <c r="X16" s="4">
        <v>0.41609464937940499</v>
      </c>
      <c r="Y16" s="4">
        <v>4.0851702599383208E-3</v>
      </c>
      <c r="Z16" s="4">
        <v>0.79719931461819704</v>
      </c>
      <c r="AA16" s="4">
        <v>0</v>
      </c>
      <c r="AB16" s="4">
        <v>0</v>
      </c>
      <c r="AC16" s="4">
        <v>0</v>
      </c>
      <c r="AD16" s="4">
        <v>1.19410425279479</v>
      </c>
      <c r="AE16" s="4">
        <v>1.20643796393429E-2</v>
      </c>
      <c r="AF16" s="4">
        <v>0.33223387645118996</v>
      </c>
      <c r="AG16" s="4">
        <v>9.1155236529303005E-3</v>
      </c>
      <c r="AH16" s="4">
        <v>110.36203337917699</v>
      </c>
      <c r="AI16" s="4">
        <v>9.8357407093285687</v>
      </c>
      <c r="AJ16" s="4">
        <v>116.368513359074</v>
      </c>
      <c r="AK16" s="4">
        <v>7.4230781195522706</v>
      </c>
      <c r="AL16" s="4">
        <v>208.901888897612</v>
      </c>
      <c r="AM16" s="4">
        <v>3.6727777893274602</v>
      </c>
      <c r="AN16" s="4">
        <v>24.055441471286201</v>
      </c>
      <c r="AO16" s="4">
        <v>0.36623319428279599</v>
      </c>
      <c r="AP16" s="4">
        <v>22.0436688310037</v>
      </c>
      <c r="AQ16" s="4">
        <v>0.17022264270950799</v>
      </c>
      <c r="AR16" s="4">
        <v>4.7982055111767501</v>
      </c>
      <c r="AS16" s="4">
        <v>1.68274816537143E-2</v>
      </c>
      <c r="AT16" s="4">
        <v>0</v>
      </c>
      <c r="AU16" s="4">
        <v>0</v>
      </c>
      <c r="AV16" s="4">
        <v>0.38373492039532697</v>
      </c>
      <c r="AW16" s="4">
        <v>0</v>
      </c>
      <c r="AX16" s="4">
        <v>21.472340384024399</v>
      </c>
      <c r="AY16" s="4">
        <v>1.2645314073531651E-2</v>
      </c>
      <c r="AZ16" s="4">
        <v>0.26380949213907701</v>
      </c>
      <c r="BA16" s="4">
        <v>1.3444266951945485E-3</v>
      </c>
      <c r="BB16" s="4">
        <v>0.15888313030511553</v>
      </c>
      <c r="BC16" s="4">
        <v>0</v>
      </c>
      <c r="BD16" s="4">
        <v>0.40669477758276495</v>
      </c>
      <c r="BE16" s="4">
        <v>1.3881859657493304E-2</v>
      </c>
      <c r="BF16" s="4">
        <v>2.7602047254563282</v>
      </c>
      <c r="BG16" s="4">
        <v>5.62097632959392E-2</v>
      </c>
      <c r="BH16" s="4">
        <v>1.5991733186905421</v>
      </c>
      <c r="BI16" s="4">
        <v>3.011836119085385E-2</v>
      </c>
      <c r="BJ16" s="4">
        <v>2.0541929666236749</v>
      </c>
      <c r="BK16" s="4">
        <v>2.0624772184046E-2</v>
      </c>
      <c r="BL16" s="4">
        <v>0.2030070180817605</v>
      </c>
      <c r="BM16" s="4">
        <v>0</v>
      </c>
      <c r="BN16" s="4">
        <v>0</v>
      </c>
      <c r="BO16" s="4">
        <v>0</v>
      </c>
      <c r="BP16" s="4">
        <v>17.930209122602253</v>
      </c>
      <c r="BQ16" s="4">
        <v>1.352204809328623</v>
      </c>
      <c r="BR16" s="4">
        <v>252.31629336598149</v>
      </c>
      <c r="BS16" s="4">
        <v>14.213042037467297</v>
      </c>
      <c r="BT16" s="4">
        <v>199.02908846975811</v>
      </c>
      <c r="BU16" s="4">
        <v>2.6810979497808405</v>
      </c>
      <c r="BV16" s="4">
        <v>163.23895821010387</v>
      </c>
      <c r="BW16" s="4">
        <v>1.608714992248379</v>
      </c>
      <c r="BX16" s="4">
        <v>95.938403390697857</v>
      </c>
      <c r="BY16" s="4">
        <v>0.34982015776777198</v>
      </c>
      <c r="BZ16" s="4">
        <v>106.23086859369408</v>
      </c>
      <c r="CA16" s="4">
        <v>0.1612771691561265</v>
      </c>
      <c r="CB16" s="4">
        <f t="shared" si="5"/>
        <v>15.772165209496059</v>
      </c>
      <c r="CC16" s="4">
        <f t="shared" si="6"/>
        <v>0.67228920470269271</v>
      </c>
      <c r="CD16" s="4">
        <f>SUM(D16,F16,H16,J16,L16,N16,P16,R16,T16,V16,X16,Z16,AB16,AD16,AF16,AH16,AJ16,AL16,AN16,AP16,AR16,AT16,AV16,AX16,AZ16,BB16,BD16,BF16,BH16,BJ16,BL16,BN16,BP16,BR16,BT16,BV16,BX16,BZ16)</f>
        <v>1719.6268038969502</v>
      </c>
      <c r="CE16" s="4">
        <f t="shared" si="8"/>
        <v>43.954343433709305</v>
      </c>
      <c r="CF16" s="4">
        <f t="shared" si="9"/>
        <v>366.78765311761953</v>
      </c>
      <c r="CG16" s="4">
        <f t="shared" si="10"/>
        <v>29.099033715217232</v>
      </c>
      <c r="CH16" s="4">
        <f t="shared" si="11"/>
        <v>488.85328889319385</v>
      </c>
      <c r="CI16" s="4">
        <f t="shared" si="12"/>
        <v>834.88682817091944</v>
      </c>
    </row>
    <row r="17" spans="1:88" s="4" customFormat="1" x14ac:dyDescent="0.25">
      <c r="A17">
        <v>24</v>
      </c>
      <c r="B17" t="s">
        <v>45</v>
      </c>
      <c r="C17" t="s">
        <v>189</v>
      </c>
      <c r="D17" s="4">
        <v>188.50481550517</v>
      </c>
      <c r="F17" s="4">
        <v>50.489828206579396</v>
      </c>
      <c r="H17" s="4">
        <v>12.932840401327899</v>
      </c>
      <c r="J17" s="4">
        <v>2.3886460803776899</v>
      </c>
      <c r="L17" s="4">
        <v>42.806243816647097</v>
      </c>
      <c r="N17" s="4">
        <v>0.24180542495007601</v>
      </c>
      <c r="P17" s="4">
        <v>0.41964530868030997</v>
      </c>
      <c r="R17" s="4">
        <v>0.151580398769354</v>
      </c>
      <c r="T17" s="4">
        <v>0.19621007491470399</v>
      </c>
      <c r="V17" s="4">
        <v>9.7031372512366099E-2</v>
      </c>
      <c r="X17" s="4">
        <v>7.7226986158126606E-2</v>
      </c>
      <c r="Z17" s="4">
        <v>0.60539990859661097</v>
      </c>
      <c r="AB17" s="4">
        <v>0</v>
      </c>
      <c r="AD17" s="4">
        <v>1.1923203807252001</v>
      </c>
      <c r="AF17" s="4">
        <v>0.24952304370417802</v>
      </c>
      <c r="AH17" s="4">
        <v>53.759837074223796</v>
      </c>
      <c r="AJ17" s="4">
        <v>43.5677790501285</v>
      </c>
      <c r="AL17" s="4">
        <v>55.719323873776098</v>
      </c>
      <c r="AN17" s="4">
        <v>3.2961674323459902</v>
      </c>
      <c r="AP17" s="4">
        <v>3.0607343075600002</v>
      </c>
      <c r="AR17" s="4">
        <v>0.64139967264845399</v>
      </c>
      <c r="AV17" s="4">
        <v>0.400860768942084</v>
      </c>
      <c r="AX17" s="4">
        <v>11.631072337249099</v>
      </c>
      <c r="AZ17" s="4">
        <v>0.175494591979246</v>
      </c>
      <c r="BB17" s="4">
        <v>0</v>
      </c>
      <c r="BD17" s="4">
        <v>0.14409037170091987</v>
      </c>
      <c r="BF17" s="4">
        <v>0.46919717118661058</v>
      </c>
      <c r="BH17" s="4">
        <v>0.25379292421275451</v>
      </c>
      <c r="BJ17" s="4">
        <v>0.43592414153411152</v>
      </c>
      <c r="BL17" s="4">
        <v>0.27587292578328154</v>
      </c>
      <c r="BN17" s="4">
        <v>0</v>
      </c>
      <c r="BP17" s="4">
        <v>8.7755491828019156</v>
      </c>
      <c r="BR17" s="4">
        <v>101.3570487991916</v>
      </c>
      <c r="BT17" s="4">
        <v>47.709236948560893</v>
      </c>
      <c r="BV17" s="4">
        <v>26.147073210981166</v>
      </c>
      <c r="BX17" s="4">
        <v>13.63635381550885</v>
      </c>
      <c r="BZ17" s="4">
        <v>15.131122069129935</v>
      </c>
      <c r="CB17" s="4">
        <v>7.1571124511038997</v>
      </c>
      <c r="CC17" s="4">
        <v>0</v>
      </c>
      <c r="CD17" s="4">
        <v>830.2427656394874</v>
      </c>
      <c r="CF17" s="4">
        <f t="shared" si="9"/>
        <v>298.30587357608698</v>
      </c>
      <c r="CG17" s="4">
        <f t="shared" si="10"/>
        <v>13.510432306804827</v>
      </c>
      <c r="CH17" s="4">
        <f t="shared" si="11"/>
        <v>162.09248474370881</v>
      </c>
      <c r="CI17" s="4">
        <f t="shared" si="12"/>
        <v>213.03225695195763</v>
      </c>
    </row>
    <row r="18" spans="1:88" s="4" customFormat="1" x14ac:dyDescent="0.25">
      <c r="A18">
        <v>31</v>
      </c>
      <c r="B18" t="s">
        <v>46</v>
      </c>
      <c r="C18" t="s">
        <v>189</v>
      </c>
      <c r="D18" s="4">
        <v>213.14220835196099</v>
      </c>
      <c r="F18" s="4">
        <v>49.031122410387304</v>
      </c>
      <c r="H18" s="4">
        <v>9.9122905174793505</v>
      </c>
      <c r="J18" s="4">
        <v>2.39241020104572</v>
      </c>
      <c r="L18" s="4">
        <v>35.394656171988096</v>
      </c>
      <c r="N18" s="4">
        <v>0.18942493784011402</v>
      </c>
      <c r="P18" s="4">
        <v>0.24967474201027098</v>
      </c>
      <c r="R18" s="4">
        <v>0.16983818082031499</v>
      </c>
      <c r="T18" s="4">
        <v>0.24775821269648099</v>
      </c>
      <c r="V18" s="4">
        <v>0.111269994694038</v>
      </c>
      <c r="X18" s="4">
        <v>9.8907880260458991E-2</v>
      </c>
      <c r="Z18" s="4">
        <v>0.69014539151080101</v>
      </c>
      <c r="AB18" s="4">
        <v>0</v>
      </c>
      <c r="AD18" s="4">
        <v>1.2135880738040101</v>
      </c>
      <c r="AF18" s="4">
        <v>0.22658387477957101</v>
      </c>
      <c r="AH18" s="4">
        <v>29.482274855545203</v>
      </c>
      <c r="AJ18" s="4">
        <v>53.546750215337298</v>
      </c>
      <c r="AL18" s="4">
        <v>69.830993597615389</v>
      </c>
      <c r="AN18" s="4">
        <v>5.2514271548025002</v>
      </c>
      <c r="AP18" s="4">
        <v>4.0144556212458404</v>
      </c>
      <c r="AR18" s="4">
        <v>0.82094855651462206</v>
      </c>
      <c r="AV18" s="4">
        <v>0.37150016060428098</v>
      </c>
      <c r="AX18" s="4">
        <v>9.851591451310231</v>
      </c>
      <c r="AZ18" s="4">
        <v>0</v>
      </c>
      <c r="BB18" s="4">
        <v>0</v>
      </c>
      <c r="BD18" s="4">
        <v>9.0707362629725355E-2</v>
      </c>
      <c r="BF18" s="4">
        <v>0.56358101827903107</v>
      </c>
      <c r="BH18" s="4">
        <v>0.2915946614780105</v>
      </c>
      <c r="BJ18" s="4">
        <v>0.53974165380752148</v>
      </c>
      <c r="BL18" s="4">
        <v>0.3178977288218845</v>
      </c>
      <c r="BN18" s="4">
        <v>0</v>
      </c>
      <c r="BP18" s="4">
        <v>6.7626082119626352</v>
      </c>
      <c r="BR18" s="4">
        <v>77.074243278770709</v>
      </c>
      <c r="BT18" s="4">
        <v>60.162180951924654</v>
      </c>
      <c r="BV18" s="4">
        <v>30.703482155774587</v>
      </c>
      <c r="BX18" s="4">
        <v>17.049817566424391</v>
      </c>
      <c r="BZ18" s="4">
        <v>18.335865545857079</v>
      </c>
      <c r="CB18" s="4">
        <v>7.1875534364403064</v>
      </c>
      <c r="CC18" s="4">
        <v>0</v>
      </c>
      <c r="CD18" s="4">
        <v>837.0706021420832</v>
      </c>
      <c r="CF18" s="4">
        <f t="shared" si="9"/>
        <v>310.93956160118313</v>
      </c>
      <c r="CG18" s="4">
        <f t="shared" si="10"/>
        <v>11.7087163081088</v>
      </c>
      <c r="CH18" s="4">
        <f t="shared" si="11"/>
        <v>165.07716734115525</v>
      </c>
      <c r="CI18" s="4">
        <f t="shared" si="12"/>
        <v>210.40609543953596</v>
      </c>
    </row>
    <row r="19" spans="1:88" s="4" customFormat="1" x14ac:dyDescent="0.25">
      <c r="A19">
        <v>38</v>
      </c>
      <c r="B19" s="2">
        <v>45105</v>
      </c>
      <c r="C19" t="s">
        <v>36</v>
      </c>
      <c r="D19" s="36">
        <v>180.75768167506047</v>
      </c>
      <c r="E19" s="4">
        <v>0.62222069012869197</v>
      </c>
      <c r="F19" s="36">
        <v>45.130960296467549</v>
      </c>
      <c r="G19" s="4">
        <v>2.0120701387558299E-2</v>
      </c>
      <c r="H19" s="36">
        <v>9.0595569892650758</v>
      </c>
      <c r="I19" s="4">
        <v>0</v>
      </c>
      <c r="J19" s="36">
        <v>2.0962633570063081</v>
      </c>
      <c r="K19" s="4">
        <v>0</v>
      </c>
      <c r="L19" s="36">
        <v>38.12936172694873</v>
      </c>
      <c r="M19" s="4">
        <v>1.9847346509452211E-2</v>
      </c>
      <c r="N19" s="36">
        <v>0.30605259558635317</v>
      </c>
      <c r="O19" s="4">
        <v>2.0039105419237492E-3</v>
      </c>
      <c r="P19" s="36">
        <v>0.92682245585981993</v>
      </c>
      <c r="Q19" s="4">
        <v>4.3136119076977154E-2</v>
      </c>
      <c r="R19" s="36">
        <v>0.35078156247478554</v>
      </c>
      <c r="S19" s="4">
        <v>2.5778508931931701E-2</v>
      </c>
      <c r="T19" s="36">
        <v>0.35797537779462502</v>
      </c>
      <c r="U19" s="4">
        <v>2.45732131973363E-2</v>
      </c>
      <c r="V19" s="36">
        <v>0.1682686472941736</v>
      </c>
      <c r="W19" s="4">
        <v>6.9595442551019862E-3</v>
      </c>
      <c r="X19" s="36">
        <v>0.11794793688242089</v>
      </c>
      <c r="Y19" s="4">
        <v>0</v>
      </c>
      <c r="Z19" s="36">
        <v>0.53468060651183513</v>
      </c>
      <c r="AA19" s="4">
        <v>0</v>
      </c>
      <c r="AB19" s="36">
        <f t="shared" ref="AB19" si="18">AVERAGE(AB20:AB22)</f>
        <v>0</v>
      </c>
      <c r="AC19" s="4">
        <v>0</v>
      </c>
      <c r="AD19" s="36">
        <v>0.78055931186899996</v>
      </c>
      <c r="AE19" s="4">
        <v>1.1095719548076801E-2</v>
      </c>
      <c r="AF19" s="36">
        <v>0.2836475893989755</v>
      </c>
      <c r="AG19" s="4">
        <v>1.2141093173336601E-2</v>
      </c>
      <c r="AH19" s="36">
        <v>95.705968569506652</v>
      </c>
      <c r="AI19" s="4">
        <v>7.7913358235521804</v>
      </c>
      <c r="AJ19" s="36">
        <v>108.4597502930125</v>
      </c>
      <c r="AK19" s="4">
        <v>5.6650737451774802</v>
      </c>
      <c r="AL19" s="36">
        <v>109.662937049929</v>
      </c>
      <c r="AM19" s="4">
        <v>3.5708669461957903</v>
      </c>
      <c r="AN19" s="36">
        <v>9.9352208764681151</v>
      </c>
      <c r="AO19" s="4">
        <v>0.167671178737582</v>
      </c>
      <c r="AP19" s="36">
        <v>8.4434247600222001</v>
      </c>
      <c r="AQ19" s="4">
        <v>9.5478274008794703E-2</v>
      </c>
      <c r="AR19" s="36">
        <v>2.0535314145035799</v>
      </c>
      <c r="AS19" s="4">
        <v>1.49404777523991E-2</v>
      </c>
      <c r="AT19" s="36">
        <f t="shared" ref="AT19" si="19">AVERAGE(AT20:AT22)</f>
        <v>0</v>
      </c>
      <c r="AU19" s="4">
        <v>0</v>
      </c>
      <c r="AV19" s="36">
        <f t="shared" ref="AV19" si="20">AVERAGE(AV20:AV22)</f>
        <v>0.30935189510169997</v>
      </c>
      <c r="AW19" s="4">
        <v>0</v>
      </c>
      <c r="AX19" s="36">
        <f t="shared" ref="AX19" si="21">AVERAGE(AX20:AX22)</f>
        <v>6.8426307821480634</v>
      </c>
      <c r="AY19" s="4">
        <v>1.9444675982843908E-3</v>
      </c>
      <c r="AZ19" s="36">
        <f t="shared" ref="AZ19" si="22">AVERAGE(AZ20:AZ22)</f>
        <v>4.6627031360728328E-2</v>
      </c>
      <c r="BA19" s="4">
        <v>2.6362252126458849E-4</v>
      </c>
      <c r="BB19" s="36">
        <v>9.3555798333328027E-2</v>
      </c>
      <c r="BC19" s="4">
        <v>3.8529898544175599E-3</v>
      </c>
      <c r="BD19" s="36">
        <v>0.359156380732787</v>
      </c>
      <c r="BE19" s="4">
        <v>1.2955858635025266E-2</v>
      </c>
      <c r="BF19" s="36">
        <v>0.77937286432968378</v>
      </c>
      <c r="BG19" s="4">
        <v>3.0480475490152172E-2</v>
      </c>
      <c r="BH19" s="36">
        <v>0.53028641108869579</v>
      </c>
      <c r="BI19" s="4">
        <v>9.5318486183135383E-3</v>
      </c>
      <c r="BJ19" s="36">
        <v>0.87001211502284614</v>
      </c>
      <c r="BK19" s="4">
        <v>4.1061283734182847E-3</v>
      </c>
      <c r="BL19" s="36">
        <v>0.20719084866327372</v>
      </c>
      <c r="BM19" s="4">
        <v>0</v>
      </c>
      <c r="BN19" s="36">
        <v>0</v>
      </c>
      <c r="BO19" s="4">
        <v>0</v>
      </c>
      <c r="BP19" s="36">
        <v>11.370387778517415</v>
      </c>
      <c r="BQ19" s="4">
        <v>1.2012360518197391</v>
      </c>
      <c r="BR19" s="36">
        <v>226.6935490057478</v>
      </c>
      <c r="BS19" s="4">
        <v>11.345965384444105</v>
      </c>
      <c r="BT19" s="36">
        <v>116.1711439666477</v>
      </c>
      <c r="BU19" s="4">
        <v>2.3280778310498</v>
      </c>
      <c r="BV19" s="36">
        <v>65.232405449459193</v>
      </c>
      <c r="BW19" s="4">
        <v>0.4619932546173719</v>
      </c>
      <c r="BX19" s="36">
        <v>33.563132446753059</v>
      </c>
      <c r="BY19" s="4">
        <v>6.7287350113926656E-2</v>
      </c>
      <c r="BZ19" s="36">
        <v>35.689485828360759</v>
      </c>
      <c r="CA19" s="4">
        <v>2.2546122705409146E-2</v>
      </c>
      <c r="CB19" s="4">
        <f t="shared" si="5"/>
        <v>8.1308026247790632</v>
      </c>
      <c r="CC19" s="4">
        <f t="shared" si="6"/>
        <v>0.26627814817037887</v>
      </c>
      <c r="CD19" s="4">
        <f>SUM(D19,F19,H19,J19,L19,N19,P19,R19,T19,V19,X19,Z19,AB19,AD19,AF19,AH19,AJ19,AL19,AN19,AP19,AR19,AT19,AV19,AX19,AZ19,BB19,BD19,BF19,BH19,BJ19,BL19,BN19,BP19,BR19,BT19,BV19,BX19,BZ19)</f>
        <v>1112.0196816941293</v>
      </c>
      <c r="CE19" s="4">
        <f t="shared" si="8"/>
        <v>33.583484678015836</v>
      </c>
      <c r="CF19" s="4">
        <f t="shared" si="9"/>
        <v>277.40167262064028</v>
      </c>
      <c r="CG19" s="4">
        <f t="shared" si="10"/>
        <v>9.8309932781178304</v>
      </c>
      <c r="CH19" s="4">
        <f t="shared" si="11"/>
        <v>335.85972047122186</v>
      </c>
      <c r="CI19" s="4">
        <f t="shared" si="12"/>
        <v>488.92729532414921</v>
      </c>
    </row>
    <row r="20" spans="1:88" s="4" customFormat="1" x14ac:dyDescent="0.25">
      <c r="A20"/>
      <c r="B20"/>
      <c r="C20" t="s">
        <v>39</v>
      </c>
      <c r="D20" s="4">
        <v>126.10726872942199</v>
      </c>
      <c r="E20" s="4">
        <v>0.47456697291351996</v>
      </c>
      <c r="F20" s="4">
        <v>30.289962321425801</v>
      </c>
      <c r="G20" s="4">
        <v>1.0714507365478401E-2</v>
      </c>
      <c r="H20" s="4">
        <v>7.6084568838076505</v>
      </c>
      <c r="I20" s="4">
        <v>0</v>
      </c>
      <c r="J20" s="4">
        <v>1.7046351875385402</v>
      </c>
      <c r="K20" s="4">
        <v>0</v>
      </c>
      <c r="L20" s="4">
        <v>25.078924351351802</v>
      </c>
      <c r="M20" s="4">
        <v>2.6532308742198498E-2</v>
      </c>
      <c r="N20" s="4">
        <v>0.19636091638178801</v>
      </c>
      <c r="O20" s="4">
        <v>7.3776302534387895E-3</v>
      </c>
      <c r="P20" s="4">
        <v>0.317873243535506</v>
      </c>
      <c r="Q20" s="4">
        <v>0.107156169024134</v>
      </c>
      <c r="R20" s="4">
        <v>0.144752525083785</v>
      </c>
      <c r="S20" s="4">
        <v>5.4210330547925699E-2</v>
      </c>
      <c r="T20" s="4">
        <v>0.19084719489140098</v>
      </c>
      <c r="U20" s="4">
        <v>4.00500470331797E-2</v>
      </c>
      <c r="V20" s="4">
        <v>7.9298618982047209E-2</v>
      </c>
      <c r="W20" s="4">
        <v>1.5297612110506099E-2</v>
      </c>
      <c r="X20" s="4">
        <v>7.1894703455271297E-2</v>
      </c>
      <c r="Y20" s="4">
        <v>3.8852212077120298E-3</v>
      </c>
      <c r="Z20" s="4">
        <v>0.62088541416557996</v>
      </c>
      <c r="AA20" s="4">
        <v>0</v>
      </c>
      <c r="AB20" s="4">
        <v>0</v>
      </c>
      <c r="AC20" s="4">
        <v>0</v>
      </c>
      <c r="AD20" s="4">
        <v>0.92053812670702095</v>
      </c>
      <c r="AE20" s="4">
        <v>2.9408653847937602E-2</v>
      </c>
      <c r="AF20" s="4">
        <v>0.17573182261418299</v>
      </c>
      <c r="AG20" s="4">
        <v>2.2203826120604401E-2</v>
      </c>
      <c r="AH20" s="4">
        <v>40.669120188804001</v>
      </c>
      <c r="AI20" s="4">
        <v>17.950616136018301</v>
      </c>
      <c r="AJ20" s="4">
        <v>84.382282782336802</v>
      </c>
      <c r="AK20" s="4">
        <v>14.6440039623887</v>
      </c>
      <c r="AL20" s="4">
        <v>54.310732891352501</v>
      </c>
      <c r="AM20" s="4">
        <v>5.0016911305427003</v>
      </c>
      <c r="AN20" s="4">
        <v>3.0454992044616702</v>
      </c>
      <c r="AO20" s="4">
        <v>0.45625967794779304</v>
      </c>
      <c r="AP20" s="4">
        <v>1.7624037724212802</v>
      </c>
      <c r="AQ20" s="4">
        <v>0.19855296137720099</v>
      </c>
      <c r="AR20" s="4">
        <v>0.41824958351548797</v>
      </c>
      <c r="AS20" s="4">
        <v>3.23563367144315E-2</v>
      </c>
      <c r="AT20" s="4">
        <v>0</v>
      </c>
      <c r="AU20" s="4">
        <v>0</v>
      </c>
      <c r="AV20" s="4">
        <v>0.32198602560713502</v>
      </c>
      <c r="AW20" s="4">
        <v>0</v>
      </c>
      <c r="AX20" s="4">
        <v>7.0740917795729299</v>
      </c>
      <c r="AY20" s="4">
        <v>3.4993840018234202E-3</v>
      </c>
      <c r="AZ20" s="4">
        <v>0.13988109408218499</v>
      </c>
      <c r="BA20" s="4">
        <v>0</v>
      </c>
      <c r="BB20" s="4">
        <v>0</v>
      </c>
      <c r="BC20" s="4">
        <v>1.0119185709119639E-2</v>
      </c>
      <c r="BD20" s="4">
        <v>0.13149359764011911</v>
      </c>
      <c r="BE20" s="4">
        <v>2.077109261870725E-2</v>
      </c>
      <c r="BF20" s="4">
        <v>0</v>
      </c>
      <c r="BG20" s="4">
        <v>7.8280441633385392E-2</v>
      </c>
      <c r="BH20" s="4">
        <v>0</v>
      </c>
      <c r="BI20" s="4">
        <v>2.2599241329179898E-2</v>
      </c>
      <c r="BJ20" s="4">
        <v>0</v>
      </c>
      <c r="BK20" s="4">
        <v>7.25674669640593E-3</v>
      </c>
      <c r="BL20" s="4">
        <v>0.2195357515640545</v>
      </c>
      <c r="BM20" s="4">
        <v>0</v>
      </c>
      <c r="BN20" s="4">
        <v>0</v>
      </c>
      <c r="BO20" s="4">
        <v>0</v>
      </c>
      <c r="BP20" s="4">
        <v>5.8658136647785248</v>
      </c>
      <c r="BQ20" s="4">
        <v>3.6083164488543149</v>
      </c>
      <c r="BR20" s="4">
        <v>134.32020248789667</v>
      </c>
      <c r="BS20" s="4">
        <v>33.651710510482957</v>
      </c>
      <c r="BT20" s="4">
        <v>67.311028982943938</v>
      </c>
      <c r="BU20" s="4">
        <v>4.1098330811812147</v>
      </c>
      <c r="BV20" s="4">
        <v>34.409356608913441</v>
      </c>
      <c r="BW20" s="4">
        <v>1.0730215300607702</v>
      </c>
      <c r="BX20" s="4">
        <v>11.42912974993615</v>
      </c>
      <c r="BY20" s="4">
        <v>0.15222149177864505</v>
      </c>
      <c r="BZ20" s="4">
        <v>8.9377187217040213</v>
      </c>
      <c r="CA20" s="4">
        <v>5.0528676136253253E-2</v>
      </c>
      <c r="CB20" s="4">
        <f t="shared" si="5"/>
        <v>4.0956403439775402</v>
      </c>
      <c r="CC20" s="4">
        <f t="shared" si="6"/>
        <v>0.54224741109242147</v>
      </c>
      <c r="CD20" s="4">
        <f>SUM(D20,F20,H20,J20,L20,N20,P20,R20,T20,V20,X20,Z20,AB20,AD20,AF20,AH20,AJ20,AL20,AN20,AP20,AR20,AT20,AV20,AX20,AZ20,BB20,BD20,BF20,BH20,BJ20,BL20,BN20,BP20,BR20,BT20,BV20,BX20,BZ20)</f>
        <v>648.25595692689342</v>
      </c>
      <c r="CE20" s="4">
        <f t="shared" si="8"/>
        <v>81.863041314638565</v>
      </c>
      <c r="CF20" s="4">
        <f t="shared" si="9"/>
        <v>191.79027467587562</v>
      </c>
      <c r="CG20" s="4">
        <f t="shared" si="10"/>
        <v>7.667452496902369</v>
      </c>
      <c r="CH20" s="4">
        <f t="shared" si="11"/>
        <v>186.30544378637853</v>
      </c>
      <c r="CI20" s="4">
        <f t="shared" si="12"/>
        <v>262.49278596773678</v>
      </c>
    </row>
    <row r="21" spans="1:88" s="4" customFormat="1" x14ac:dyDescent="0.25">
      <c r="A21"/>
      <c r="B21"/>
      <c r="C21" t="s">
        <v>40</v>
      </c>
      <c r="D21" s="4">
        <v>133.94906119692899</v>
      </c>
      <c r="E21" s="4">
        <v>0.81752364008779099</v>
      </c>
      <c r="F21" s="4">
        <v>32.383684327911304</v>
      </c>
      <c r="G21" s="4">
        <v>1.8483968979916401E-2</v>
      </c>
      <c r="H21" s="4">
        <v>6.8532458469752804</v>
      </c>
      <c r="I21" s="4">
        <v>0</v>
      </c>
      <c r="J21" s="4">
        <v>1.5645224655710199</v>
      </c>
      <c r="K21" s="4">
        <v>0</v>
      </c>
      <c r="L21" s="4">
        <v>24.2391422125954</v>
      </c>
      <c r="M21" s="4">
        <v>3.3488525233316802E-2</v>
      </c>
      <c r="N21" s="4">
        <v>0.18739314085009801</v>
      </c>
      <c r="O21" s="4">
        <v>3.7931325441260201E-3</v>
      </c>
      <c r="P21" s="4">
        <v>0.36141418155842198</v>
      </c>
      <c r="Q21" s="4">
        <v>4.6570570423550894E-2</v>
      </c>
      <c r="R21" s="4">
        <v>0.16568536788365401</v>
      </c>
      <c r="S21" s="4">
        <v>2.2460409862691998E-2</v>
      </c>
      <c r="T21" s="4">
        <v>0.229456884193457</v>
      </c>
      <c r="U21" s="4">
        <v>1.7348980508508301E-2</v>
      </c>
      <c r="V21" s="4">
        <v>0.119167886088918</v>
      </c>
      <c r="W21" s="4">
        <v>5.7448802761218692E-3</v>
      </c>
      <c r="X21" s="4">
        <v>9.2983325748637297E-2</v>
      </c>
      <c r="Y21" s="4">
        <v>0</v>
      </c>
      <c r="Z21" s="4">
        <v>1.08737056969615</v>
      </c>
      <c r="AA21" s="4">
        <v>0</v>
      </c>
      <c r="AB21" s="4">
        <v>0</v>
      </c>
      <c r="AC21" s="4">
        <v>0</v>
      </c>
      <c r="AD21" s="4">
        <v>0.80591960417756292</v>
      </c>
      <c r="AE21" s="4">
        <v>1.8867048921763198E-2</v>
      </c>
      <c r="AF21" s="4">
        <v>0.16505884214609798</v>
      </c>
      <c r="AG21" s="4">
        <v>1.0689204284392399E-2</v>
      </c>
      <c r="AH21" s="4">
        <v>41.257490566449803</v>
      </c>
      <c r="AI21" s="4">
        <v>6.4683392317634496</v>
      </c>
      <c r="AJ21" s="4">
        <v>64.4025655639105</v>
      </c>
      <c r="AK21" s="4">
        <v>5.0072221111036095</v>
      </c>
      <c r="AL21" s="4">
        <v>61.189785083733305</v>
      </c>
      <c r="AM21" s="4">
        <v>2.2505623622516602</v>
      </c>
      <c r="AN21" s="4">
        <v>4.9167223706336598</v>
      </c>
      <c r="AO21" s="4">
        <v>0.19442477662521901</v>
      </c>
      <c r="AP21" s="4">
        <v>3.2485118786541998</v>
      </c>
      <c r="AQ21" s="4">
        <v>8.2360791857298193E-2</v>
      </c>
      <c r="AR21" s="4">
        <v>0.73512909480879707</v>
      </c>
      <c r="AS21" s="4">
        <v>1.5973331800111099E-2</v>
      </c>
      <c r="AT21" s="4">
        <v>0</v>
      </c>
      <c r="AU21" s="4">
        <v>0</v>
      </c>
      <c r="AV21" s="4">
        <v>0.33796527860214898</v>
      </c>
      <c r="AW21" s="4">
        <v>0</v>
      </c>
      <c r="AX21" s="4">
        <v>6.6805498227538598</v>
      </c>
      <c r="AY21" s="4">
        <v>4.9968066699074103E-3</v>
      </c>
      <c r="AZ21" s="4">
        <v>0</v>
      </c>
      <c r="BA21" s="4">
        <v>0</v>
      </c>
      <c r="BB21" s="4">
        <v>0</v>
      </c>
      <c r="BC21" s="4">
        <v>0</v>
      </c>
      <c r="BD21" s="4">
        <v>8.7116749261395995E-2</v>
      </c>
      <c r="BE21" s="4">
        <v>8.5650542022637846E-3</v>
      </c>
      <c r="BF21" s="4">
        <v>0.97711549028909406</v>
      </c>
      <c r="BG21" s="4">
        <v>2.9762818022795796E-2</v>
      </c>
      <c r="BH21" s="4">
        <v>0.23000220299830698</v>
      </c>
      <c r="BI21" s="4">
        <v>1.163996512011818E-2</v>
      </c>
      <c r="BJ21" s="4">
        <v>0.49652167252442198</v>
      </c>
      <c r="BK21" s="4">
        <v>3.7563983423557854E-3</v>
      </c>
      <c r="BL21" s="4">
        <v>0.18825199904810849</v>
      </c>
      <c r="BM21" s="4">
        <v>0</v>
      </c>
      <c r="BN21" s="4">
        <v>0</v>
      </c>
      <c r="BO21" s="4">
        <v>0</v>
      </c>
      <c r="BP21" s="4">
        <v>5.6447707121924902</v>
      </c>
      <c r="BQ21" s="4">
        <v>1.1008016120363979</v>
      </c>
      <c r="BR21" s="4">
        <v>86.221688800387398</v>
      </c>
      <c r="BS21" s="4">
        <v>9.5342121756762701</v>
      </c>
      <c r="BT21" s="4">
        <v>54.56005202637035</v>
      </c>
      <c r="BU21" s="4">
        <v>1.5028775703246815</v>
      </c>
      <c r="BV21" s="4">
        <v>24.69294413721083</v>
      </c>
      <c r="BW21" s="4">
        <v>0.55580561642446102</v>
      </c>
      <c r="BX21" s="4">
        <v>13.881922145356056</v>
      </c>
      <c r="BY21" s="4">
        <v>7.8153960323339808E-2</v>
      </c>
      <c r="BZ21" s="4">
        <v>14.8955865765812</v>
      </c>
      <c r="CA21" s="4">
        <v>2.7501892787467848E-2</v>
      </c>
      <c r="CB21" s="4">
        <f t="shared" si="5"/>
        <v>6.1017740574118218</v>
      </c>
      <c r="CC21" s="4">
        <f t="shared" si="6"/>
        <v>0.27964298797940773</v>
      </c>
      <c r="CD21" s="4">
        <f>SUM(D21,F21,H21,J21,L21,N21,P21,R21,T21,V21,X21,Z21,AB21,AD21,AF21,AH21,AJ21,AL21,AN21,AP21,AR21,AT21,AV21,AX21,AZ21,BB21,BD21,BF21,BH21,BJ21,BL21,BN21,BP21,BR21,BT21,BV21,BX21,BZ21)</f>
        <v>586.84879802409091</v>
      </c>
      <c r="CE21" s="4">
        <f t="shared" si="8"/>
        <v>27.871926836453586</v>
      </c>
      <c r="CF21" s="4">
        <f t="shared" si="9"/>
        <v>200.1457568363052</v>
      </c>
      <c r="CG21" s="4">
        <f t="shared" si="10"/>
        <v>8.8092712164292273</v>
      </c>
      <c r="CH21" s="4">
        <f t="shared" si="11"/>
        <v>177.80855357421009</v>
      </c>
      <c r="CI21" s="4">
        <f t="shared" si="12"/>
        <v>200.08521639714644</v>
      </c>
    </row>
    <row r="22" spans="1:88" s="4" customFormat="1" x14ac:dyDescent="0.25">
      <c r="A22"/>
      <c r="B22"/>
      <c r="C22" t="s">
        <v>41</v>
      </c>
      <c r="D22" s="4">
        <v>181.066792004349</v>
      </c>
      <c r="E22" s="4">
        <v>0.56360375292007203</v>
      </c>
      <c r="F22" s="4">
        <v>40.555504222329404</v>
      </c>
      <c r="G22" s="4">
        <v>1.40968050056729E-2</v>
      </c>
      <c r="H22" s="4">
        <v>8.6752229913679404</v>
      </c>
      <c r="I22" s="4">
        <v>0</v>
      </c>
      <c r="J22" s="4">
        <v>1.68657814521936</v>
      </c>
      <c r="K22" s="4">
        <v>0</v>
      </c>
      <c r="L22" s="4">
        <v>24.258254935253699</v>
      </c>
      <c r="M22" s="4">
        <v>2.2925038679851698E-2</v>
      </c>
      <c r="N22" s="4">
        <v>0.197386826215044</v>
      </c>
      <c r="O22" s="4">
        <v>4.7618705283005401E-3</v>
      </c>
      <c r="P22" s="4">
        <v>0.41063047774973599</v>
      </c>
      <c r="Q22" s="4">
        <v>9.3911152115214197E-2</v>
      </c>
      <c r="R22" s="4">
        <v>0.22666847878766899</v>
      </c>
      <c r="S22" s="4">
        <v>4.99200196084294E-2</v>
      </c>
      <c r="T22" s="4">
        <v>0.35687983423464403</v>
      </c>
      <c r="U22" s="4">
        <v>3.1663821973688298E-2</v>
      </c>
      <c r="V22" s="4">
        <v>0.20337112711715699</v>
      </c>
      <c r="W22" s="4">
        <v>1.20682546284227E-2</v>
      </c>
      <c r="X22" s="4">
        <v>0.121274057803509</v>
      </c>
      <c r="Y22" s="4">
        <v>3.1217518201245098E-3</v>
      </c>
      <c r="Z22" s="4">
        <v>0.61033409686818096</v>
      </c>
      <c r="AA22" s="4">
        <v>0</v>
      </c>
      <c r="AB22" s="4">
        <v>0</v>
      </c>
      <c r="AC22" s="4">
        <v>0</v>
      </c>
      <c r="AD22" s="4">
        <v>0.75150460086202597</v>
      </c>
      <c r="AE22" s="4">
        <v>1.9187682386456299E-2</v>
      </c>
      <c r="AF22" s="4">
        <v>0.17653702635167098</v>
      </c>
      <c r="AG22" s="4">
        <v>1.74804326784944E-2</v>
      </c>
      <c r="AH22" s="4">
        <v>56.925099680282003</v>
      </c>
      <c r="AI22" s="4">
        <v>14.209710185902601</v>
      </c>
      <c r="AJ22" s="4">
        <v>54.588629953702601</v>
      </c>
      <c r="AK22" s="4">
        <v>11.2446959444881</v>
      </c>
      <c r="AL22" s="4">
        <v>92.857472281735198</v>
      </c>
      <c r="AM22" s="4">
        <v>3.8405693601750701</v>
      </c>
      <c r="AN22" s="4">
        <v>8.3868619468986196</v>
      </c>
      <c r="AO22" s="4">
        <v>0.37079378889122599</v>
      </c>
      <c r="AP22" s="4">
        <v>6.5789643920558705</v>
      </c>
      <c r="AQ22" s="4">
        <v>0.16554012338117</v>
      </c>
      <c r="AR22" s="4">
        <v>1.3808700970565602</v>
      </c>
      <c r="AS22" s="4">
        <v>2.49589603238329E-2</v>
      </c>
      <c r="AT22" s="4">
        <v>0</v>
      </c>
      <c r="AU22" s="4">
        <v>0</v>
      </c>
      <c r="AV22" s="4">
        <v>0.26810438109581597</v>
      </c>
      <c r="AW22" s="4">
        <v>0</v>
      </c>
      <c r="AX22" s="4">
        <v>6.7732507441174006</v>
      </c>
      <c r="AY22" s="4">
        <v>3.1139371853736854E-3</v>
      </c>
      <c r="AZ22" s="4">
        <v>0</v>
      </c>
      <c r="BA22" s="4">
        <v>0</v>
      </c>
      <c r="BB22" s="4">
        <v>0</v>
      </c>
      <c r="BC22" s="4">
        <v>0</v>
      </c>
      <c r="BD22" s="4">
        <v>0.13144230040998786</v>
      </c>
      <c r="BE22" s="4">
        <v>1.8398940793751897E-2</v>
      </c>
      <c r="BF22" s="4">
        <v>0.72391745436493948</v>
      </c>
      <c r="BG22" s="4">
        <v>6.0657717322553907E-2</v>
      </c>
      <c r="BH22" s="4">
        <v>0.49303013278947949</v>
      </c>
      <c r="BI22" s="4">
        <v>2.1205425999709652E-2</v>
      </c>
      <c r="BJ22" s="4">
        <v>0.85295445055116292</v>
      </c>
      <c r="BK22" s="4">
        <v>4.1850793143174197E-3</v>
      </c>
      <c r="BL22" s="4">
        <v>0.16124561167471349</v>
      </c>
      <c r="BM22" s="4">
        <v>0</v>
      </c>
      <c r="BN22" s="4">
        <v>0</v>
      </c>
      <c r="BO22" s="4">
        <v>0</v>
      </c>
      <c r="BP22" s="4">
        <v>7.2334440935347706</v>
      </c>
      <c r="BQ22" s="4">
        <v>2.5499455529131549</v>
      </c>
      <c r="BR22" s="4">
        <v>106.63105335330479</v>
      </c>
      <c r="BS22" s="4">
        <v>22.284176851409452</v>
      </c>
      <c r="BT22" s="4">
        <v>70.160102006427749</v>
      </c>
      <c r="BU22" s="4">
        <v>2.8042007651053149</v>
      </c>
      <c r="BV22" s="4">
        <v>43.803027372735315</v>
      </c>
      <c r="BW22" s="4">
        <v>0.85592688848670007</v>
      </c>
      <c r="BX22" s="4">
        <v>26.909963002114068</v>
      </c>
      <c r="BY22" s="4">
        <v>0.1080090741365741</v>
      </c>
      <c r="BZ22" s="4">
        <v>28.750851431202154</v>
      </c>
      <c r="CA22" s="4">
        <v>3.4098407660503802E-2</v>
      </c>
      <c r="CB22" s="4">
        <f t="shared" si="5"/>
        <v>6.459108789558357</v>
      </c>
      <c r="CC22" s="4">
        <f t="shared" si="6"/>
        <v>0.4357552980246982</v>
      </c>
      <c r="CD22" s="4">
        <f>SUM(D22,F22,H22,J22,L22,N22,P22,R22,T22,V22,X22,Z22,AB22,AD22,AF22,AH22,AJ22,AL22,AN22,AP22,AR22,AT22,AV22,AX22,AZ22,BB22,BD22,BF22,BH22,BJ22,BL22,BN22,BP22,BR22,BT22,BV22,BX22,BZ22)</f>
        <v>772.9072235105624</v>
      </c>
      <c r="CE22" s="4">
        <f t="shared" si="8"/>
        <v>59.432927585834129</v>
      </c>
      <c r="CF22" s="4">
        <f t="shared" si="9"/>
        <v>257.75856310042718</v>
      </c>
      <c r="CG22" s="4">
        <f t="shared" si="10"/>
        <v>9.2426994633287869</v>
      </c>
      <c r="CH22" s="4">
        <f t="shared" si="11"/>
        <v>222.25627407581274</v>
      </c>
      <c r="CI22" s="4">
        <f t="shared" si="12"/>
        <v>283.64968687099355</v>
      </c>
    </row>
    <row r="23" spans="1:88" s="4" customFormat="1" x14ac:dyDescent="0.25">
      <c r="A23">
        <v>45</v>
      </c>
      <c r="B23" t="s">
        <v>48</v>
      </c>
      <c r="C23" t="s">
        <v>189</v>
      </c>
      <c r="D23" s="4">
        <v>146.81634775720602</v>
      </c>
      <c r="F23" s="4">
        <v>40.860076959305601</v>
      </c>
      <c r="H23" s="4">
        <v>10.366333827226999</v>
      </c>
      <c r="J23" s="4">
        <v>2.7501510068173203</v>
      </c>
      <c r="L23" s="4">
        <v>55.472942945914106</v>
      </c>
      <c r="N23" s="4">
        <v>0.32587024272866399</v>
      </c>
      <c r="P23" s="4">
        <v>0.66018318238595097</v>
      </c>
      <c r="R23" s="4">
        <v>0.36770725160448697</v>
      </c>
      <c r="T23" s="4">
        <v>0.64114752555755794</v>
      </c>
      <c r="V23" s="4">
        <v>0.43346451840690903</v>
      </c>
      <c r="X23" s="4">
        <v>0.33506044065206103</v>
      </c>
      <c r="Z23" s="4">
        <v>0.55934074711017101</v>
      </c>
      <c r="AB23" s="4">
        <v>0</v>
      </c>
      <c r="AD23" s="4">
        <v>1.06404343577386</v>
      </c>
      <c r="AF23" s="4">
        <v>0.277560255112072</v>
      </c>
      <c r="AH23" s="4">
        <v>84.216197655081004</v>
      </c>
      <c r="AJ23" s="4">
        <v>80.531931708892088</v>
      </c>
      <c r="AL23" s="4">
        <v>164.707981235082</v>
      </c>
      <c r="AN23" s="4">
        <v>20.964391713288698</v>
      </c>
      <c r="AP23" s="4">
        <v>20.367033104817402</v>
      </c>
      <c r="AR23" s="4">
        <v>3.9143631078406202</v>
      </c>
      <c r="AV23" s="4">
        <v>0.395669788884489</v>
      </c>
      <c r="AX23" s="4">
        <v>13.129689424524001</v>
      </c>
      <c r="AZ23" s="4">
        <v>0</v>
      </c>
      <c r="BB23" s="4">
        <v>0</v>
      </c>
      <c r="BD23" s="4">
        <v>0.18249808234634554</v>
      </c>
      <c r="BF23" s="4">
        <v>1.2187910155110331</v>
      </c>
      <c r="BH23" s="4">
        <v>0.83575233306572505</v>
      </c>
      <c r="BJ23" s="4">
        <v>1.3891175753222273</v>
      </c>
      <c r="BL23" s="4">
        <v>0.21095148456611099</v>
      </c>
      <c r="BN23" s="4">
        <v>0</v>
      </c>
      <c r="BP23" s="4">
        <v>11.700777914422989</v>
      </c>
      <c r="BR23" s="4">
        <v>151.32869878388075</v>
      </c>
      <c r="BT23" s="4">
        <v>100.44029472393295</v>
      </c>
      <c r="BV23" s="4">
        <v>86.897248893185903</v>
      </c>
      <c r="BX23" s="4">
        <v>56.760654738063749</v>
      </c>
      <c r="BZ23" s="4">
        <v>63.421701472931403</v>
      </c>
      <c r="CB23" s="4">
        <v>12.487632700171286</v>
      </c>
      <c r="CC23" s="4">
        <v>0</v>
      </c>
      <c r="CD23" s="4">
        <v>1453.8308383557342</v>
      </c>
      <c r="CF23" s="4">
        <f t="shared" si="9"/>
        <v>259.02928565780576</v>
      </c>
      <c r="CG23" s="4">
        <f t="shared" si="10"/>
        <v>17.15151821965382</v>
      </c>
      <c r="CH23" s="4">
        <f t="shared" si="11"/>
        <v>376.6028429629979</v>
      </c>
      <c r="CI23" s="4">
        <f t="shared" si="12"/>
        <v>470.76032801098393</v>
      </c>
    </row>
    <row r="24" spans="1:88" s="46" customFormat="1" x14ac:dyDescent="0.25">
      <c r="A24" s="38">
        <v>54</v>
      </c>
      <c r="B24" s="39">
        <v>45121</v>
      </c>
      <c r="C24" s="38" t="s">
        <v>36</v>
      </c>
      <c r="D24" s="46">
        <v>146.425504220753</v>
      </c>
      <c r="E24" s="46">
        <v>1.0619309572376001</v>
      </c>
      <c r="F24" s="46">
        <v>39.474002096377198</v>
      </c>
      <c r="G24" s="46">
        <v>2.5213805424686399E-2</v>
      </c>
      <c r="H24" s="46">
        <v>10.412261070908901</v>
      </c>
      <c r="I24" s="46">
        <v>0</v>
      </c>
      <c r="J24" s="46">
        <v>3.10841470884594</v>
      </c>
      <c r="K24" s="46">
        <v>0</v>
      </c>
      <c r="L24" s="46">
        <v>64.349862861675902</v>
      </c>
      <c r="M24" s="46">
        <v>2.8548527844760814E-2</v>
      </c>
      <c r="N24" s="46">
        <v>0.33704811618345898</v>
      </c>
      <c r="O24" s="46">
        <v>2.3049986580432392E-3</v>
      </c>
      <c r="P24" s="46">
        <v>0.61942591056679708</v>
      </c>
      <c r="Q24" s="46">
        <v>5.4652470905084349E-2</v>
      </c>
      <c r="R24" s="46">
        <v>0.28389636812834901</v>
      </c>
      <c r="S24" s="46">
        <v>2.7230372760294098E-2</v>
      </c>
      <c r="T24" s="46">
        <v>0.35383699277453601</v>
      </c>
      <c r="U24" s="46">
        <v>2.4922846824658999E-2</v>
      </c>
      <c r="V24" s="46">
        <v>0.195124215996584</v>
      </c>
      <c r="W24" s="46">
        <v>9.2405962964164663E-3</v>
      </c>
      <c r="X24" s="46">
        <v>0.14479768914199501</v>
      </c>
      <c r="Y24" s="46">
        <v>2.87002596735482E-3</v>
      </c>
      <c r="Z24" s="46">
        <v>0.59187344211599302</v>
      </c>
      <c r="AA24" s="46">
        <v>0</v>
      </c>
      <c r="AB24" s="46">
        <v>0</v>
      </c>
      <c r="AC24" s="46">
        <v>0</v>
      </c>
      <c r="AD24" s="46">
        <v>1.07062830535455</v>
      </c>
      <c r="AE24" s="46">
        <v>9.3084041860647011E-3</v>
      </c>
      <c r="AF24" s="46">
        <v>0.262164070660097</v>
      </c>
      <c r="AG24" s="46">
        <v>1.3002768497254E-2</v>
      </c>
      <c r="AH24" s="46">
        <v>82.329132145330192</v>
      </c>
      <c r="AI24" s="46">
        <v>12.178471095585101</v>
      </c>
      <c r="AJ24" s="46">
        <v>75.193975807539999</v>
      </c>
      <c r="AK24" s="46">
        <v>9.2242609658041896</v>
      </c>
      <c r="AL24" s="46">
        <v>112.53699801953199</v>
      </c>
      <c r="AM24" s="46">
        <v>3.79519077749109</v>
      </c>
      <c r="AN24" s="46">
        <v>8.3088763006417601</v>
      </c>
      <c r="AO24" s="46">
        <v>0.21737011441599199</v>
      </c>
      <c r="AP24" s="46">
        <v>6.1939318079831605</v>
      </c>
      <c r="AQ24" s="46">
        <v>0.147857920300968</v>
      </c>
      <c r="AR24" s="46">
        <v>1.6233744701902499</v>
      </c>
      <c r="AS24" s="46">
        <v>2.2925943642312402E-2</v>
      </c>
      <c r="AT24" s="46">
        <v>0</v>
      </c>
      <c r="AU24" s="46">
        <v>0</v>
      </c>
      <c r="AV24" s="46">
        <v>0.43076466121907403</v>
      </c>
      <c r="AW24" s="46">
        <v>0</v>
      </c>
      <c r="AX24" s="46">
        <v>16.361427991519299</v>
      </c>
      <c r="AY24" s="46">
        <v>2.7150332767940611E-3</v>
      </c>
      <c r="AZ24" s="46">
        <v>0.195461901986451</v>
      </c>
      <c r="BA24" s="46">
        <v>2.7104309312193654E-4</v>
      </c>
      <c r="BB24" s="46">
        <v>0.10268902897180246</v>
      </c>
      <c r="BC24" s="46">
        <v>3.3980153780899755E-3</v>
      </c>
      <c r="BD24" s="46">
        <v>0.19399390437815192</v>
      </c>
      <c r="BE24" s="46">
        <v>1.4262070259876575E-2</v>
      </c>
      <c r="BF24" s="46">
        <v>0.85807408592702106</v>
      </c>
      <c r="BG24" s="46">
        <v>3.171293734856525E-2</v>
      </c>
      <c r="BH24" s="46">
        <v>0.51756825450535904</v>
      </c>
      <c r="BI24" s="46">
        <v>9.637453491599739E-3</v>
      </c>
      <c r="BJ24" s="46">
        <v>0.97506320197313945</v>
      </c>
      <c r="BK24" s="46">
        <v>5.4402578086721054E-3</v>
      </c>
      <c r="BL24" s="46">
        <v>0.20154178690187802</v>
      </c>
      <c r="BM24" s="46">
        <v>0</v>
      </c>
      <c r="BN24" s="46">
        <v>0</v>
      </c>
      <c r="BO24" s="46">
        <v>0</v>
      </c>
      <c r="BP24" s="46">
        <v>11.258560692495381</v>
      </c>
      <c r="BQ24" s="46">
        <v>1.679655877338335</v>
      </c>
      <c r="BR24" s="46">
        <v>149.04818280892346</v>
      </c>
      <c r="BS24" s="46">
        <v>16.490106032230401</v>
      </c>
      <c r="BT24" s="46">
        <v>87.609408194482157</v>
      </c>
      <c r="BU24" s="46">
        <v>2.3725220150491402</v>
      </c>
      <c r="BV24" s="46">
        <v>50.278417380908692</v>
      </c>
      <c r="BW24" s="46">
        <v>0.45578934583212249</v>
      </c>
      <c r="BX24" s="46">
        <v>28.023422094363486</v>
      </c>
      <c r="BY24" s="46">
        <v>9.3171228476581491E-2</v>
      </c>
      <c r="BZ24" s="46">
        <v>30.058392848269872</v>
      </c>
      <c r="CA24" s="46">
        <v>3.8953399898012053E-2</v>
      </c>
      <c r="CB24" s="46">
        <f t="shared" si="5"/>
        <v>9.1701965533747476</v>
      </c>
      <c r="CC24" s="46">
        <f t="shared" si="6"/>
        <v>0.32661097156166197</v>
      </c>
      <c r="CD24" s="46">
        <f>SUM(D24,F24,H24,J24,L24,N24,P24,R24,T24,V24,X24,Z24,AB24,AD24,AF24,AH24,AJ24,AL24,AN24,AP24,AR24,AT24,AV24,AX24,AZ24,BB24,BD24,BF24,BH24,BJ24,BL24,BN24,BP24,BR24,BT24,BV24,BX24,BZ24)</f>
        <v>929.92809745752595</v>
      </c>
      <c r="CE24" s="46">
        <f t="shared" si="8"/>
        <v>48.042937301323178</v>
      </c>
      <c r="CF24" s="4">
        <f t="shared" si="9"/>
        <v>265.70417425135264</v>
      </c>
      <c r="CG24" s="4">
        <f t="shared" si="10"/>
        <v>19.635043030480301</v>
      </c>
      <c r="CH24" s="4">
        <f t="shared" si="11"/>
        <v>288.11095436934801</v>
      </c>
      <c r="CI24" s="4">
        <f t="shared" si="12"/>
        <v>356.4779258063449</v>
      </c>
    </row>
    <row r="25" spans="1:88" s="46" customFormat="1" x14ac:dyDescent="0.25">
      <c r="A25" s="38"/>
      <c r="B25" s="38"/>
      <c r="C25" s="38" t="s">
        <v>39</v>
      </c>
      <c r="D25" s="46">
        <v>146.425504220753</v>
      </c>
      <c r="E25" s="46">
        <v>1.1686367911011579</v>
      </c>
      <c r="F25" s="46">
        <v>39.474002096377198</v>
      </c>
      <c r="G25" s="46">
        <v>1.8934151612254136E-2</v>
      </c>
      <c r="H25" s="46">
        <v>10.412261070908901</v>
      </c>
      <c r="I25" s="46">
        <v>0</v>
      </c>
      <c r="J25" s="46">
        <v>3.10841470884594</v>
      </c>
      <c r="K25" s="46">
        <v>0</v>
      </c>
      <c r="L25" s="46">
        <v>64.349862861675902</v>
      </c>
      <c r="M25" s="46">
        <v>5.7782984025754477E-2</v>
      </c>
      <c r="N25" s="46">
        <v>0.33704811618345898</v>
      </c>
      <c r="O25" s="46">
        <v>3.6596696402208442E-3</v>
      </c>
      <c r="P25" s="46">
        <v>0.61942591056679708</v>
      </c>
      <c r="Q25" s="46">
        <v>7.2559051018973225E-2</v>
      </c>
      <c r="R25" s="46">
        <v>0.28389636812834901</v>
      </c>
      <c r="S25" s="46">
        <v>3.29218952878743E-2</v>
      </c>
      <c r="T25" s="46">
        <v>0.35383699277453601</v>
      </c>
      <c r="U25" s="46">
        <v>2.4558960948641701E-2</v>
      </c>
      <c r="V25" s="46">
        <v>0.195124215996584</v>
      </c>
      <c r="W25" s="46">
        <v>5.6927500909723901E-3</v>
      </c>
      <c r="X25" s="46">
        <v>0.14479768914199501</v>
      </c>
      <c r="Y25" s="46">
        <v>2.9847111615760504E-3</v>
      </c>
      <c r="Z25" s="46">
        <v>0.59187344211599302</v>
      </c>
      <c r="AA25" s="46">
        <v>0</v>
      </c>
      <c r="AB25" s="46">
        <v>0</v>
      </c>
      <c r="AC25" s="46">
        <v>0</v>
      </c>
      <c r="AD25" s="46">
        <v>1.07062830535455</v>
      </c>
      <c r="AE25" s="46">
        <v>1.86221002781897E-2</v>
      </c>
      <c r="AF25" s="46">
        <v>0.262164070660097</v>
      </c>
      <c r="AG25" s="46">
        <v>1.7074242584207599E-2</v>
      </c>
      <c r="AH25" s="46">
        <v>82.329132145330192</v>
      </c>
      <c r="AI25" s="46">
        <v>12.2113401710182</v>
      </c>
      <c r="AJ25" s="46">
        <v>75.193975807539999</v>
      </c>
      <c r="AK25" s="46">
        <v>7.2737674716598306</v>
      </c>
      <c r="AL25" s="46">
        <v>112.53699801953199</v>
      </c>
      <c r="AM25" s="46">
        <v>4.4679111312556996</v>
      </c>
      <c r="AN25" s="46">
        <v>8.3088763006417601</v>
      </c>
      <c r="AO25" s="46">
        <v>0.24010636623901102</v>
      </c>
      <c r="AP25" s="46">
        <v>6.1939318079831605</v>
      </c>
      <c r="AQ25" s="46">
        <v>0.107009556215841</v>
      </c>
      <c r="AR25" s="46">
        <v>1.6233744701902499</v>
      </c>
      <c r="AS25" s="46">
        <v>0</v>
      </c>
      <c r="AT25" s="46">
        <v>0</v>
      </c>
      <c r="AU25" s="46">
        <v>0</v>
      </c>
      <c r="AV25" s="46">
        <v>0.43076466121907403</v>
      </c>
      <c r="AW25" s="46">
        <v>0</v>
      </c>
      <c r="AX25" s="46">
        <v>16.361427991519299</v>
      </c>
      <c r="AY25" s="46">
        <v>6.3635057737545502E-3</v>
      </c>
      <c r="AZ25" s="46">
        <v>0.195461901986451</v>
      </c>
      <c r="BA25" s="46">
        <v>0</v>
      </c>
      <c r="BB25" s="46">
        <v>0.10268902897180246</v>
      </c>
      <c r="BC25" s="46">
        <v>0</v>
      </c>
      <c r="BD25" s="46">
        <v>0.19399390437815192</v>
      </c>
      <c r="BE25" s="46">
        <v>1.6808987002905389E-2</v>
      </c>
      <c r="BF25" s="46">
        <v>0.85807408592702106</v>
      </c>
      <c r="BG25" s="46">
        <v>4.8048498183923552E-2</v>
      </c>
      <c r="BH25" s="46">
        <v>0.51756825450535904</v>
      </c>
      <c r="BI25" s="46">
        <v>1.6925491721549675E-2</v>
      </c>
      <c r="BJ25" s="46">
        <v>0.97506320197313945</v>
      </c>
      <c r="BK25" s="46">
        <v>5.9538345705168003E-3</v>
      </c>
      <c r="BL25" s="46">
        <v>0.20154178690187802</v>
      </c>
      <c r="BM25" s="46">
        <v>0</v>
      </c>
      <c r="BN25" s="46">
        <v>0</v>
      </c>
      <c r="BO25" s="46">
        <v>0</v>
      </c>
      <c r="BP25" s="46">
        <v>11.258560692495381</v>
      </c>
      <c r="BQ25" s="46">
        <v>3.0735573316915996</v>
      </c>
      <c r="BR25" s="46">
        <v>149.04818280892346</v>
      </c>
      <c r="BS25" s="46">
        <v>23.785474489897851</v>
      </c>
      <c r="BT25" s="46">
        <v>87.609408194482157</v>
      </c>
      <c r="BU25" s="46">
        <v>3.83122922248663</v>
      </c>
      <c r="BV25" s="46">
        <v>50.278417380908692</v>
      </c>
      <c r="BW25" s="46">
        <v>1.0204273633446599</v>
      </c>
      <c r="BX25" s="46">
        <v>28.023422094363486</v>
      </c>
      <c r="BY25" s="46">
        <v>0.21740941691297599</v>
      </c>
      <c r="BZ25" s="46">
        <v>30.058392848269872</v>
      </c>
      <c r="CA25" s="46">
        <v>8.45009976381568E-2</v>
      </c>
      <c r="CB25" s="46">
        <f t="shared" si="5"/>
        <v>9.1701965533747476</v>
      </c>
      <c r="CC25" s="46">
        <f t="shared" si="6"/>
        <v>0.43339183153947125</v>
      </c>
      <c r="CD25" s="46">
        <f>SUM(D25,F25,H25,J25,L25,N25,P25,R25,T25,V25,X25,Z25,AB25,AD25,AF25,AH25,AJ25,AL25,AN25,AP25,AR25,AT25,AV25,AX25,AZ25,BB25,BD25,BF25,BH25,BJ25,BL25,BN25,BP25,BR25,BT25,BV25,BX25,BZ25)</f>
        <v>929.92809745752595</v>
      </c>
      <c r="CE25" s="46">
        <f t="shared" si="8"/>
        <v>57.830261143362932</v>
      </c>
      <c r="CF25" s="4">
        <f t="shared" si="9"/>
        <v>265.70417425135264</v>
      </c>
      <c r="CG25" s="4">
        <f t="shared" si="10"/>
        <v>19.635043030480301</v>
      </c>
      <c r="CH25" s="4">
        <f t="shared" si="11"/>
        <v>288.11095436934801</v>
      </c>
      <c r="CI25" s="4">
        <f t="shared" si="12"/>
        <v>356.4779258063449</v>
      </c>
    </row>
    <row r="26" spans="1:88" s="46" customFormat="1" x14ac:dyDescent="0.25">
      <c r="A26" s="38"/>
      <c r="B26" s="38"/>
      <c r="C26" s="38" t="s">
        <v>40</v>
      </c>
      <c r="D26" s="46">
        <v>146.425504220753</v>
      </c>
      <c r="E26" s="46">
        <v>0.79100742912884503</v>
      </c>
      <c r="F26" s="46">
        <v>39.474002096377198</v>
      </c>
      <c r="G26" s="46">
        <v>1.6431611680696439E-2</v>
      </c>
      <c r="H26" s="46">
        <v>10.412261070908901</v>
      </c>
      <c r="I26" s="46">
        <v>0</v>
      </c>
      <c r="J26" s="46">
        <v>3.10841470884594</v>
      </c>
      <c r="K26" s="46">
        <v>0</v>
      </c>
      <c r="L26" s="46">
        <v>64.349862861675902</v>
      </c>
      <c r="M26" s="46">
        <v>3.6048779271888078E-2</v>
      </c>
      <c r="N26" s="46">
        <v>0.33704811618345898</v>
      </c>
      <c r="O26" s="46">
        <v>3.4360410834665838E-3</v>
      </c>
      <c r="P26" s="46">
        <v>0.61942591056679708</v>
      </c>
      <c r="Q26" s="46">
        <v>9.7881261792901728E-2</v>
      </c>
      <c r="R26" s="46">
        <v>0.28389636812834901</v>
      </c>
      <c r="S26" s="46">
        <v>4.44819259799447E-2</v>
      </c>
      <c r="T26" s="46">
        <v>0.35383699277453601</v>
      </c>
      <c r="U26" s="46">
        <v>2.6888572770725899E-2</v>
      </c>
      <c r="V26" s="46">
        <v>0.195124215996584</v>
      </c>
      <c r="W26" s="46">
        <v>6.3412909842697103E-3</v>
      </c>
      <c r="X26" s="46">
        <v>0.14479768914199501</v>
      </c>
      <c r="Y26" s="46">
        <v>3.38428878453583E-3</v>
      </c>
      <c r="Z26" s="46">
        <v>0.59187344211599302</v>
      </c>
      <c r="AA26" s="46">
        <v>0</v>
      </c>
      <c r="AB26" s="46">
        <v>0</v>
      </c>
      <c r="AC26" s="46">
        <v>0</v>
      </c>
      <c r="AD26" s="46">
        <v>1.07062830535455</v>
      </c>
      <c r="AE26" s="46">
        <v>1.3779695614473599E-2</v>
      </c>
      <c r="AF26" s="46">
        <v>0.262164070660097</v>
      </c>
      <c r="AG26" s="46">
        <v>1.8896087924118898E-2</v>
      </c>
      <c r="AH26" s="46">
        <v>82.329132145330192</v>
      </c>
      <c r="AI26" s="46">
        <v>14.746996268781301</v>
      </c>
      <c r="AJ26" s="46">
        <v>75.193975807539999</v>
      </c>
      <c r="AK26" s="46">
        <v>8.7706734849236607</v>
      </c>
      <c r="AL26" s="46">
        <v>112.53699801953199</v>
      </c>
      <c r="AM26" s="46">
        <v>7.3632789817963502</v>
      </c>
      <c r="AN26" s="46">
        <v>8.3088763006417601</v>
      </c>
      <c r="AO26" s="46">
        <v>0.34496510773367001</v>
      </c>
      <c r="AP26" s="46">
        <v>6.1939318079831605</v>
      </c>
      <c r="AQ26" s="46">
        <v>0.120551304480173</v>
      </c>
      <c r="AR26" s="46">
        <v>1.6233744701902499</v>
      </c>
      <c r="AS26" s="46">
        <v>1.9196026540313001E-2</v>
      </c>
      <c r="AT26" s="46">
        <v>0</v>
      </c>
      <c r="AU26" s="46">
        <v>0</v>
      </c>
      <c r="AV26" s="46">
        <v>0.43076466121907403</v>
      </c>
      <c r="AW26" s="46">
        <v>0</v>
      </c>
      <c r="AX26" s="46">
        <v>16.361427991519299</v>
      </c>
      <c r="AY26" s="46">
        <v>5.3916440441543548E-3</v>
      </c>
      <c r="AZ26" s="46">
        <v>0.195461901986451</v>
      </c>
      <c r="BA26" s="46">
        <v>0</v>
      </c>
      <c r="BB26" s="46">
        <v>0.10268902897180246</v>
      </c>
      <c r="BC26" s="46">
        <v>0</v>
      </c>
      <c r="BD26" s="46">
        <v>0.19399390437815192</v>
      </c>
      <c r="BE26" s="46">
        <v>1.188788830452929E-2</v>
      </c>
      <c r="BF26" s="46">
        <v>0.85807408592702106</v>
      </c>
      <c r="BG26" s="46">
        <v>3.2905107853339902E-2</v>
      </c>
      <c r="BH26" s="46">
        <v>0.51756825450535904</v>
      </c>
      <c r="BI26" s="46">
        <v>1.0674010282829655E-2</v>
      </c>
      <c r="BJ26" s="46">
        <v>0.97506320197313945</v>
      </c>
      <c r="BK26" s="46">
        <v>3.8033230321297099E-3</v>
      </c>
      <c r="BL26" s="46">
        <v>0.20154178690187802</v>
      </c>
      <c r="BM26" s="46">
        <v>0</v>
      </c>
      <c r="BN26" s="46">
        <v>0</v>
      </c>
      <c r="BO26" s="46">
        <v>0</v>
      </c>
      <c r="BP26" s="46">
        <v>11.258560692495381</v>
      </c>
      <c r="BQ26" s="46">
        <v>2.1194320797102799</v>
      </c>
      <c r="BR26" s="46">
        <v>149.04818280892346</v>
      </c>
      <c r="BS26" s="46">
        <v>16.62543272970435</v>
      </c>
      <c r="BT26" s="46">
        <v>87.609408194482157</v>
      </c>
      <c r="BU26" s="46">
        <v>2.9323626571220904</v>
      </c>
      <c r="BV26" s="46">
        <v>50.278417380908692</v>
      </c>
      <c r="BW26" s="46">
        <v>0.61395888059773362</v>
      </c>
      <c r="BX26" s="46">
        <v>28.023422094363486</v>
      </c>
      <c r="BY26" s="46">
        <v>0.13169299252933186</v>
      </c>
      <c r="BZ26" s="46">
        <v>30.058392848269872</v>
      </c>
      <c r="CA26" s="46">
        <v>6.0294424094009598E-2</v>
      </c>
      <c r="CB26" s="46">
        <f t="shared" si="5"/>
        <v>9.1701965533747476</v>
      </c>
      <c r="CC26" s="46">
        <f t="shared" si="6"/>
        <v>0.411721980038327</v>
      </c>
      <c r="CD26" s="46">
        <f>SUM(D26,F26,H26,J26,L26,N26,P26,R26,T26,V26,X26,Z26,AB26,AD26,AF26,AH26,AJ26,AL26,AN26,AP26,AR26,AT26,AV26,AX26,AZ26,BB26,BD26,BF26,BH26,BJ26,BL26,BN26,BP26,BR26,BT26,BV26,BX26,BZ26)</f>
        <v>929.92809745752595</v>
      </c>
      <c r="CE26" s="46">
        <f t="shared" si="8"/>
        <v>54.972073896546107</v>
      </c>
      <c r="CF26" s="4">
        <f t="shared" si="9"/>
        <v>265.70417425135264</v>
      </c>
      <c r="CG26" s="4">
        <f t="shared" si="10"/>
        <v>19.635043030480301</v>
      </c>
      <c r="CH26" s="4">
        <f t="shared" si="11"/>
        <v>288.11095436934801</v>
      </c>
      <c r="CI26" s="4">
        <f t="shared" si="12"/>
        <v>356.4779258063449</v>
      </c>
    </row>
    <row r="27" spans="1:88" s="46" customFormat="1" x14ac:dyDescent="0.25">
      <c r="A27" s="38"/>
      <c r="B27" s="38"/>
      <c r="C27" s="38" t="s">
        <v>41</v>
      </c>
      <c r="D27" s="46">
        <v>146.425504220753</v>
      </c>
      <c r="E27" s="46">
        <v>0.73354981248234508</v>
      </c>
      <c r="F27" s="46">
        <v>39.474002096377198</v>
      </c>
      <c r="G27" s="46">
        <v>1.7710857508864936E-2</v>
      </c>
      <c r="H27" s="46">
        <v>10.412261070908901</v>
      </c>
      <c r="I27" s="46">
        <v>0</v>
      </c>
      <c r="J27" s="46">
        <v>3.10841470884594</v>
      </c>
      <c r="K27" s="46">
        <v>0</v>
      </c>
      <c r="L27" s="46">
        <v>64.349862861675902</v>
      </c>
      <c r="M27" s="46">
        <v>2.3278323846917186E-2</v>
      </c>
      <c r="N27" s="46">
        <v>0.33704811618345898</v>
      </c>
      <c r="O27" s="46">
        <v>1.9904698988405236E-3</v>
      </c>
      <c r="P27" s="46">
        <v>0.61942591056679708</v>
      </c>
      <c r="Q27" s="46">
        <v>5.2268330133902328E-2</v>
      </c>
      <c r="R27" s="46">
        <v>0.28389636812834901</v>
      </c>
      <c r="S27" s="46">
        <v>2.58525007599066E-2</v>
      </c>
      <c r="T27" s="46">
        <v>0.35383699277453601</v>
      </c>
      <c r="U27" s="46">
        <v>2.1273776649253999E-2</v>
      </c>
      <c r="V27" s="46">
        <v>0.195124215996584</v>
      </c>
      <c r="W27" s="46">
        <v>5.7661339984552903E-3</v>
      </c>
      <c r="X27" s="46">
        <v>0.14479768914199501</v>
      </c>
      <c r="Y27" s="46">
        <v>3.4164464677102504E-3</v>
      </c>
      <c r="Z27" s="46">
        <v>0.59187344211599302</v>
      </c>
      <c r="AA27" s="46">
        <v>0</v>
      </c>
      <c r="AB27" s="46">
        <v>0</v>
      </c>
      <c r="AC27" s="46">
        <v>0</v>
      </c>
      <c r="AD27" s="46">
        <v>1.07062830535455</v>
      </c>
      <c r="AE27" s="46">
        <v>1.0096036658988901E-2</v>
      </c>
      <c r="AF27" s="46">
        <v>0.262164070660097</v>
      </c>
      <c r="AG27" s="46">
        <v>1.2380236946933699E-2</v>
      </c>
      <c r="AH27" s="46">
        <v>82.329132145330192</v>
      </c>
      <c r="AI27" s="46">
        <v>9.3219295076075603</v>
      </c>
      <c r="AJ27" s="46">
        <v>75.193975807539999</v>
      </c>
      <c r="AK27" s="46">
        <v>5.9668111903246901</v>
      </c>
      <c r="AL27" s="46">
        <v>112.53699801953199</v>
      </c>
      <c r="AM27" s="46">
        <v>5.1063755050540705</v>
      </c>
      <c r="AN27" s="46">
        <v>8.3088763006417601</v>
      </c>
      <c r="AO27" s="46">
        <v>0.25473995149161899</v>
      </c>
      <c r="AP27" s="46">
        <v>6.1939318079831605</v>
      </c>
      <c r="AQ27" s="46">
        <v>0.11729913113347</v>
      </c>
      <c r="AR27" s="46">
        <v>1.6233744701902499</v>
      </c>
      <c r="AS27" s="46">
        <v>2.2630244202460299E-2</v>
      </c>
      <c r="AT27" s="46">
        <v>0</v>
      </c>
      <c r="AU27" s="46">
        <v>0</v>
      </c>
      <c r="AV27" s="46">
        <v>0.43076466121907403</v>
      </c>
      <c r="AW27" s="46">
        <v>0</v>
      </c>
      <c r="AX27" s="46">
        <v>16.361427991519299</v>
      </c>
      <c r="AY27" s="46">
        <v>3.2268491710953306E-3</v>
      </c>
      <c r="AZ27" s="46">
        <v>0.195461901986451</v>
      </c>
      <c r="BA27" s="46">
        <v>0</v>
      </c>
      <c r="BB27" s="46">
        <v>0.10268902897180246</v>
      </c>
      <c r="BC27" s="46">
        <v>0</v>
      </c>
      <c r="BD27" s="46">
        <v>0.19399390437815192</v>
      </c>
      <c r="BE27" s="46">
        <v>1.6604947909307666E-2</v>
      </c>
      <c r="BF27" s="46">
        <v>0.85807408592702106</v>
      </c>
      <c r="BG27" s="46">
        <v>4.2978367761761456E-2</v>
      </c>
      <c r="BH27" s="46">
        <v>0.51756825450535904</v>
      </c>
      <c r="BI27" s="46">
        <v>1.4417047706331381E-2</v>
      </c>
      <c r="BJ27" s="46">
        <v>0.97506320197313945</v>
      </c>
      <c r="BK27" s="46">
        <v>4.0379042680576396E-3</v>
      </c>
      <c r="BL27" s="46">
        <v>0.20154178690187802</v>
      </c>
      <c r="BM27" s="46">
        <v>0</v>
      </c>
      <c r="BN27" s="46">
        <v>0</v>
      </c>
      <c r="BO27" s="46">
        <v>0</v>
      </c>
      <c r="BP27" s="46">
        <v>11.258560692495381</v>
      </c>
      <c r="BQ27" s="46">
        <v>2.6612097195616151</v>
      </c>
      <c r="BR27" s="46">
        <v>149.04818280892346</v>
      </c>
      <c r="BS27" s="46">
        <v>20.253202493795552</v>
      </c>
      <c r="BT27" s="46">
        <v>87.609408194482157</v>
      </c>
      <c r="BU27" s="46">
        <v>2.9393730411851449</v>
      </c>
      <c r="BV27" s="46">
        <v>50.278417380908692</v>
      </c>
      <c r="BW27" s="46">
        <v>0.89149686988445753</v>
      </c>
      <c r="BX27" s="46">
        <v>28.023422094363486</v>
      </c>
      <c r="BY27" s="46">
        <v>0.15828204462283962</v>
      </c>
      <c r="BZ27" s="46">
        <v>30.058392848269872</v>
      </c>
      <c r="CA27" s="46">
        <v>6.826880926453055E-2</v>
      </c>
      <c r="CB27" s="46">
        <f t="shared" si="5"/>
        <v>9.1701965533747476</v>
      </c>
      <c r="CC27" s="46">
        <f t="shared" si="6"/>
        <v>0.34619728315331799</v>
      </c>
      <c r="CD27" s="46">
        <f>SUM(D27,F27,H27,J27,L27,N27,P27,R27,T27,V27,X27,Z27,AB27,AD27,AF27,AH27,AJ27,AL27,AN27,AP27,AR27,AT27,AV27,AX27,AZ27,BB27,BD27,BF27,BH27,BJ27,BL27,BN27,BP27,BR27,BT27,BV27,BX27,BZ27)</f>
        <v>929.92809745752595</v>
      </c>
      <c r="CE27" s="46">
        <f t="shared" si="8"/>
        <v>48.750466550296672</v>
      </c>
      <c r="CF27" s="4">
        <f t="shared" si="9"/>
        <v>265.70417425135264</v>
      </c>
      <c r="CG27" s="4">
        <f t="shared" si="10"/>
        <v>19.635043030480301</v>
      </c>
      <c r="CH27" s="4">
        <f t="shared" si="11"/>
        <v>288.11095436934801</v>
      </c>
      <c r="CI27" s="4">
        <f t="shared" si="12"/>
        <v>356.4779258063449</v>
      </c>
    </row>
    <row r="28" spans="1:88" x14ac:dyDescent="0.25">
      <c r="A28">
        <v>57</v>
      </c>
      <c r="B28" s="2">
        <v>45124</v>
      </c>
      <c r="C28" t="s">
        <v>36</v>
      </c>
      <c r="E28">
        <v>0.191609480329993</v>
      </c>
      <c r="G28">
        <v>5.4750192484498096E-3</v>
      </c>
      <c r="I28">
        <v>0</v>
      </c>
      <c r="K28">
        <v>0</v>
      </c>
      <c r="M28">
        <v>4.8280235046873517E-3</v>
      </c>
      <c r="O28">
        <v>1.3729193269155192E-3</v>
      </c>
      <c r="Q28">
        <v>5.9375309489246755E-2</v>
      </c>
      <c r="S28">
        <v>3.11602479895168E-2</v>
      </c>
      <c r="U28">
        <v>2.0915846046972799E-2</v>
      </c>
      <c r="W28">
        <v>6.948940608235506E-3</v>
      </c>
      <c r="Y28">
        <v>0</v>
      </c>
      <c r="AA28">
        <v>0</v>
      </c>
      <c r="AC28">
        <v>0</v>
      </c>
      <c r="AE28">
        <v>7.3833736709949197E-3</v>
      </c>
      <c r="AG28">
        <v>1.37402336685368E-2</v>
      </c>
      <c r="AI28">
        <v>13.123967032493699</v>
      </c>
      <c r="AK28">
        <v>9.1197662805331294</v>
      </c>
      <c r="AM28">
        <v>3.07895596092464</v>
      </c>
      <c r="AO28">
        <v>0.16138814260926501</v>
      </c>
      <c r="AQ28">
        <v>0.11722411297259999</v>
      </c>
      <c r="AS28">
        <v>1.7540271303837698E-2</v>
      </c>
      <c r="AU28">
        <v>0</v>
      </c>
      <c r="AW28">
        <v>0</v>
      </c>
      <c r="AY28">
        <v>7.2035827867841351E-4</v>
      </c>
      <c r="BA28">
        <v>1.0954216237367245E-4</v>
      </c>
      <c r="BC28">
        <v>3.6656457441379049E-3</v>
      </c>
      <c r="BE28">
        <v>1.3110013403611899E-2</v>
      </c>
      <c r="BG28">
        <v>3.2628323477382842E-2</v>
      </c>
      <c r="BI28">
        <v>8.1874305871640699E-3</v>
      </c>
      <c r="BK28">
        <v>3.7385731472161549E-3</v>
      </c>
      <c r="BM28">
        <v>0</v>
      </c>
      <c r="BO28">
        <v>0</v>
      </c>
      <c r="BQ28">
        <v>1.8231924434099951</v>
      </c>
      <c r="BS28">
        <v>19.9097810804552</v>
      </c>
      <c r="BU28">
        <v>2.1808957414782459</v>
      </c>
      <c r="BW28">
        <v>0.39490856338653807</v>
      </c>
      <c r="BY28">
        <v>8.1229967157202293E-2</v>
      </c>
      <c r="CA28">
        <v>2.4992031411712551E-2</v>
      </c>
      <c r="CB28">
        <f t="shared" si="5"/>
        <v>0</v>
      </c>
      <c r="CC28">
        <f t="shared" si="6"/>
        <v>0.25589210306967147</v>
      </c>
      <c r="CD28">
        <f t="shared" si="8"/>
        <v>0</v>
      </c>
      <c r="CE28">
        <f t="shared" si="8"/>
        <v>50.438810908820173</v>
      </c>
      <c r="CF28" s="4">
        <f t="shared" si="9"/>
        <v>0</v>
      </c>
      <c r="CG28" s="4">
        <f t="shared" si="10"/>
        <v>0</v>
      </c>
      <c r="CH28" s="4">
        <f t="shared" si="11"/>
        <v>0</v>
      </c>
      <c r="CI28" s="4">
        <f t="shared" si="12"/>
        <v>0</v>
      </c>
      <c r="CJ28">
        <f>_xlfn.STDEV.P(CE28:CE31)</f>
        <v>12.611270133621115</v>
      </c>
    </row>
    <row r="29" spans="1:88" x14ac:dyDescent="0.25">
      <c r="C29" t="s">
        <v>39</v>
      </c>
      <c r="E29">
        <v>0.68973237880904303</v>
      </c>
      <c r="G29">
        <v>1.5414459421945199E-2</v>
      </c>
      <c r="I29">
        <v>0</v>
      </c>
      <c r="K29">
        <v>0</v>
      </c>
      <c r="M29">
        <v>3.00340268400104E-2</v>
      </c>
      <c r="O29">
        <v>4.9915542995211098E-3</v>
      </c>
      <c r="Q29">
        <v>9.3097136993615395E-2</v>
      </c>
      <c r="S29">
        <v>4.8083620149294799E-2</v>
      </c>
      <c r="U29">
        <v>3.9158369226801597E-2</v>
      </c>
      <c r="W29">
        <v>1.4108046349941599E-2</v>
      </c>
      <c r="Y29">
        <v>4.3675021552802996E-3</v>
      </c>
      <c r="AA29">
        <v>0</v>
      </c>
      <c r="AC29">
        <v>0</v>
      </c>
      <c r="AE29">
        <v>1.8373239981052902E-2</v>
      </c>
      <c r="AG29">
        <v>1.9789815939691303E-2</v>
      </c>
      <c r="AI29">
        <v>15.308263091115199</v>
      </c>
      <c r="AK29">
        <v>12.715707396533901</v>
      </c>
      <c r="AM29">
        <v>5.5331546916020695</v>
      </c>
      <c r="AO29">
        <v>0.55423502122565194</v>
      </c>
      <c r="AQ29">
        <v>0.24664696213113099</v>
      </c>
      <c r="AS29">
        <v>4.2757357829126E-2</v>
      </c>
      <c r="AU29">
        <v>0</v>
      </c>
      <c r="AW29">
        <v>0</v>
      </c>
      <c r="AY29">
        <v>3.72570804732199E-3</v>
      </c>
      <c r="BA29">
        <v>0</v>
      </c>
      <c r="BC29">
        <v>0</v>
      </c>
      <c r="BE29">
        <v>1.85355360499827E-2</v>
      </c>
      <c r="BG29">
        <v>6.3965205536623992E-2</v>
      </c>
      <c r="BI29">
        <v>2.1858796372347448E-2</v>
      </c>
      <c r="BK29">
        <v>9.1619929053933548E-3</v>
      </c>
      <c r="BM29">
        <v>0</v>
      </c>
      <c r="BO29">
        <v>0</v>
      </c>
      <c r="BQ29">
        <v>2.9442522834545</v>
      </c>
      <c r="BS29">
        <v>27.188591933462348</v>
      </c>
      <c r="BU29">
        <v>3.8886065348204348</v>
      </c>
      <c r="BW29">
        <v>1.2810854887995107</v>
      </c>
      <c r="BY29">
        <v>0.21644478226953898</v>
      </c>
      <c r="CA29">
        <v>7.1160662144487546E-2</v>
      </c>
      <c r="CB29">
        <f t="shared" si="5"/>
        <v>0</v>
      </c>
      <c r="CC29">
        <f t="shared" si="6"/>
        <v>0.51858303024243768</v>
      </c>
      <c r="CD29">
        <f t="shared" si="8"/>
        <v>0</v>
      </c>
      <c r="CE29">
        <f t="shared" si="8"/>
        <v>71.085303594465756</v>
      </c>
      <c r="CF29" s="4">
        <f t="shared" si="9"/>
        <v>0</v>
      </c>
      <c r="CG29" s="4">
        <f t="shared" si="10"/>
        <v>0</v>
      </c>
      <c r="CH29" s="4">
        <f t="shared" si="11"/>
        <v>0</v>
      </c>
      <c r="CI29" s="4">
        <f t="shared" si="12"/>
        <v>0</v>
      </c>
    </row>
    <row r="30" spans="1:88" x14ac:dyDescent="0.25">
      <c r="C30" t="s">
        <v>40</v>
      </c>
      <c r="E30">
        <v>0.42947039358863798</v>
      </c>
      <c r="G30">
        <v>7.0542448656698599E-3</v>
      </c>
      <c r="I30">
        <v>0</v>
      </c>
      <c r="K30">
        <v>0</v>
      </c>
      <c r="M30">
        <v>1.5007052692955799E-2</v>
      </c>
      <c r="O30">
        <v>2.69775103344185E-3</v>
      </c>
      <c r="Q30">
        <v>6.4711043081659897E-2</v>
      </c>
      <c r="S30">
        <v>2.7504118597854302E-2</v>
      </c>
      <c r="U30">
        <v>2.3506400259173499E-2</v>
      </c>
      <c r="W30">
        <v>7.4245700138655703E-3</v>
      </c>
      <c r="Y30">
        <v>2.8705064614474199E-3</v>
      </c>
      <c r="AA30">
        <v>0</v>
      </c>
      <c r="AC30">
        <v>0</v>
      </c>
      <c r="AE30">
        <v>1.2895731141396799E-2</v>
      </c>
      <c r="AG30">
        <v>1.1529417582512001E-2</v>
      </c>
      <c r="AI30">
        <v>10.1008984194719</v>
      </c>
      <c r="AK30">
        <v>7.6726181491103196</v>
      </c>
      <c r="AM30">
        <v>3.7448282765504199</v>
      </c>
      <c r="AO30">
        <v>0.28694246162158205</v>
      </c>
      <c r="AQ30">
        <v>0.126709780752263</v>
      </c>
      <c r="AS30">
        <v>2.1558482227100398E-2</v>
      </c>
      <c r="AU30">
        <v>0</v>
      </c>
      <c r="AW30">
        <v>0</v>
      </c>
      <c r="AY30">
        <v>0</v>
      </c>
      <c r="BA30">
        <v>0</v>
      </c>
      <c r="BC30">
        <v>0</v>
      </c>
      <c r="BE30">
        <v>1.0970707498737393E-2</v>
      </c>
      <c r="BG30">
        <v>2.9470184345915845E-2</v>
      </c>
      <c r="BI30">
        <v>9.910801450857409E-3</v>
      </c>
      <c r="BK30">
        <v>5.54031582668074E-3</v>
      </c>
      <c r="BM30">
        <v>0</v>
      </c>
      <c r="BO30">
        <v>0</v>
      </c>
      <c r="BQ30">
        <v>1.65836114027338</v>
      </c>
      <c r="BS30">
        <v>16.292055578649645</v>
      </c>
      <c r="BU30">
        <v>2.5323243029888456</v>
      </c>
      <c r="BW30">
        <v>0.73596285630648461</v>
      </c>
      <c r="BY30">
        <v>0.13653732913296135</v>
      </c>
      <c r="CA30">
        <v>4.9065624402986653E-2</v>
      </c>
      <c r="CB30">
        <f t="shared" si="5"/>
        <v>0</v>
      </c>
      <c r="CC30">
        <f t="shared" si="6"/>
        <v>0.30171695148225541</v>
      </c>
      <c r="CD30">
        <f t="shared" si="8"/>
        <v>0</v>
      </c>
      <c r="CE30">
        <f t="shared" si="8"/>
        <v>44.018425639928701</v>
      </c>
      <c r="CF30" s="4">
        <f t="shared" si="9"/>
        <v>0</v>
      </c>
      <c r="CG30" s="4">
        <f t="shared" si="10"/>
        <v>0</v>
      </c>
      <c r="CH30" s="4">
        <f t="shared" si="11"/>
        <v>0</v>
      </c>
      <c r="CI30" s="4">
        <f t="shared" si="12"/>
        <v>0</v>
      </c>
    </row>
    <row r="31" spans="1:88" x14ac:dyDescent="0.25">
      <c r="C31" t="s">
        <v>41</v>
      </c>
      <c r="E31">
        <v>0.32210511069560199</v>
      </c>
      <c r="G31">
        <v>6.6743501273200502E-3</v>
      </c>
      <c r="I31">
        <v>0</v>
      </c>
      <c r="K31">
        <v>0</v>
      </c>
      <c r="M31">
        <v>1.12463808041988E-2</v>
      </c>
      <c r="O31">
        <v>3.0336585547517296E-3</v>
      </c>
      <c r="Q31">
        <v>0.122337683612202</v>
      </c>
      <c r="S31">
        <v>5.5610732630760704E-2</v>
      </c>
      <c r="U31">
        <v>3.5579949787219102E-2</v>
      </c>
      <c r="W31">
        <v>1.1383355976669301E-2</v>
      </c>
      <c r="Y31">
        <v>3.1216667510384601E-3</v>
      </c>
      <c r="AA31">
        <v>0</v>
      </c>
      <c r="AC31">
        <v>0</v>
      </c>
      <c r="AE31">
        <v>1.2333846591473E-2</v>
      </c>
      <c r="AG31">
        <v>1.7616738110509601E-2</v>
      </c>
      <c r="AI31">
        <v>17.773688354314501</v>
      </c>
      <c r="AK31">
        <v>13.6145809669993</v>
      </c>
      <c r="AM31">
        <v>3.98937850733267</v>
      </c>
      <c r="AO31">
        <v>0.36028469449916201</v>
      </c>
      <c r="AQ31">
        <v>0.164807409900561</v>
      </c>
      <c r="AS31">
        <v>2.4908600108026799E-2</v>
      </c>
      <c r="AU31">
        <v>0</v>
      </c>
      <c r="AW31">
        <v>0</v>
      </c>
      <c r="AY31">
        <v>0</v>
      </c>
      <c r="BA31">
        <v>0</v>
      </c>
      <c r="BC31">
        <v>0</v>
      </c>
      <c r="BE31">
        <v>2.3872895740790802E-2</v>
      </c>
      <c r="BG31">
        <v>6.0963392010367747E-2</v>
      </c>
      <c r="BI31">
        <v>2.0305624975952001E-2</v>
      </c>
      <c r="BK31">
        <v>5.1691841125675354E-3</v>
      </c>
      <c r="BM31">
        <v>0</v>
      </c>
      <c r="BO31">
        <v>0</v>
      </c>
      <c r="BQ31">
        <v>3.1979796473763047</v>
      </c>
      <c r="BS31">
        <v>29.309853383363198</v>
      </c>
      <c r="BU31">
        <v>2.7438752843255245</v>
      </c>
      <c r="BW31">
        <v>0.84985241895705244</v>
      </c>
      <c r="BY31">
        <v>0.13821241956749036</v>
      </c>
      <c r="CA31">
        <v>4.6111374534836103E-2</v>
      </c>
      <c r="CB31">
        <f t="shared" si="5"/>
        <v>0</v>
      </c>
      <c r="CC31">
        <f t="shared" si="6"/>
        <v>0.46026943442868384</v>
      </c>
      <c r="CD31">
        <f t="shared" si="8"/>
        <v>0</v>
      </c>
      <c r="CE31">
        <f t="shared" si="8"/>
        <v>72.924887631760058</v>
      </c>
      <c r="CF31" s="4">
        <f t="shared" si="9"/>
        <v>0</v>
      </c>
      <c r="CG31" s="4">
        <f t="shared" si="10"/>
        <v>0</v>
      </c>
      <c r="CH31" s="4">
        <f t="shared" si="11"/>
        <v>0</v>
      </c>
      <c r="CI31" s="4">
        <f t="shared" si="12"/>
        <v>0</v>
      </c>
    </row>
    <row r="32" spans="1:88" x14ac:dyDescent="0.25">
      <c r="A32">
        <v>61</v>
      </c>
      <c r="B32" s="2">
        <v>45128</v>
      </c>
      <c r="C32" t="s">
        <v>36</v>
      </c>
      <c r="E32">
        <v>0</v>
      </c>
      <c r="G32">
        <v>0</v>
      </c>
      <c r="I32">
        <v>0</v>
      </c>
      <c r="K32">
        <v>0</v>
      </c>
      <c r="M32">
        <v>0</v>
      </c>
      <c r="O32">
        <v>0</v>
      </c>
      <c r="Q32">
        <v>4.5975018505869651E-2</v>
      </c>
      <c r="S32">
        <v>2.16245846227331E-2</v>
      </c>
      <c r="U32">
        <v>1.64069896124623E-2</v>
      </c>
      <c r="W32">
        <v>0</v>
      </c>
      <c r="Y32">
        <v>0</v>
      </c>
      <c r="AA32">
        <v>0</v>
      </c>
      <c r="AC32">
        <v>0</v>
      </c>
      <c r="AE32">
        <v>3.4865405581599399E-3</v>
      </c>
      <c r="AG32">
        <v>8.7121600333454601E-3</v>
      </c>
      <c r="AI32">
        <v>7.9336850604161304</v>
      </c>
      <c r="AK32">
        <v>4.6866294787117901</v>
      </c>
      <c r="AM32">
        <v>1.70419675803185</v>
      </c>
      <c r="AO32">
        <v>0.12168541208162099</v>
      </c>
      <c r="AQ32">
        <v>6.77959396565848E-2</v>
      </c>
      <c r="AS32">
        <v>1.18088536838999E-2</v>
      </c>
      <c r="AU32">
        <v>0</v>
      </c>
      <c r="AW32">
        <v>0</v>
      </c>
      <c r="AY32">
        <v>1.2771371875721849E-4</v>
      </c>
      <c r="BA32">
        <v>0</v>
      </c>
      <c r="BC32">
        <v>2.4755531433027153E-3</v>
      </c>
      <c r="BE32">
        <v>1.0176367292812415E-2</v>
      </c>
      <c r="BG32">
        <v>3.0534996219135642E-2</v>
      </c>
      <c r="BI32">
        <v>3.2359550513144952E-3</v>
      </c>
      <c r="BK32">
        <v>2.4860203734637801E-3</v>
      </c>
      <c r="BM32">
        <v>0</v>
      </c>
      <c r="BO32">
        <v>0</v>
      </c>
      <c r="BQ32">
        <v>1.0538351666258445</v>
      </c>
      <c r="BS32">
        <v>10.61211932864016</v>
      </c>
      <c r="BU32">
        <v>1.2892741510676204</v>
      </c>
      <c r="BW32">
        <v>0.21981174288244795</v>
      </c>
      <c r="BY32">
        <v>2.7819895881302799E-2</v>
      </c>
      <c r="CA32">
        <v>7.6793623517929848E-3</v>
      </c>
      <c r="CB32">
        <f t="shared" si="5"/>
        <v>0</v>
      </c>
      <c r="CC32">
        <f t="shared" si="6"/>
        <v>0.16473011516704963</v>
      </c>
      <c r="CD32">
        <f t="shared" si="8"/>
        <v>0</v>
      </c>
      <c r="CE32">
        <f t="shared" si="8"/>
        <v>27.881583049162408</v>
      </c>
      <c r="CF32" s="4">
        <f t="shared" si="9"/>
        <v>0</v>
      </c>
      <c r="CG32" s="4">
        <f t="shared" si="10"/>
        <v>0</v>
      </c>
      <c r="CH32" s="4">
        <f t="shared" si="11"/>
        <v>0</v>
      </c>
      <c r="CI32" s="4">
        <f t="shared" si="12"/>
        <v>0</v>
      </c>
    </row>
    <row r="33" spans="1:87" x14ac:dyDescent="0.25">
      <c r="C33" t="s">
        <v>39</v>
      </c>
      <c r="E33">
        <v>1.0859730285776401E-2</v>
      </c>
      <c r="G33">
        <v>0</v>
      </c>
      <c r="I33">
        <v>0</v>
      </c>
      <c r="K33">
        <v>0</v>
      </c>
      <c r="M33">
        <v>2.6515195355113802E-3</v>
      </c>
      <c r="O33">
        <v>3.6211183527189899E-3</v>
      </c>
      <c r="Q33">
        <v>6.9676128653275896E-2</v>
      </c>
      <c r="S33">
        <v>3.82098923606249E-2</v>
      </c>
      <c r="U33">
        <v>2.6949181076347601E-2</v>
      </c>
      <c r="W33">
        <v>1.01318094645198E-2</v>
      </c>
      <c r="Y33">
        <v>3.29461466420089E-3</v>
      </c>
      <c r="AA33">
        <v>0</v>
      </c>
      <c r="AC33">
        <v>0</v>
      </c>
      <c r="AE33">
        <v>1.1028218196287201E-2</v>
      </c>
      <c r="AG33">
        <v>1.37345436145476E-2</v>
      </c>
      <c r="AI33">
        <v>11.191836639536399</v>
      </c>
      <c r="AK33">
        <v>9.0647681064767198</v>
      </c>
      <c r="AM33">
        <v>3.6040390556858801</v>
      </c>
      <c r="AO33">
        <v>0.29737755128882704</v>
      </c>
      <c r="AQ33">
        <v>0.161957310661902</v>
      </c>
      <c r="AS33">
        <v>2.48710807927062E-2</v>
      </c>
      <c r="AU33">
        <v>0</v>
      </c>
      <c r="AW33">
        <v>0</v>
      </c>
      <c r="AY33">
        <v>0</v>
      </c>
      <c r="BA33">
        <v>0</v>
      </c>
      <c r="BC33">
        <v>0</v>
      </c>
      <c r="BE33">
        <v>1.3714112240122801E-2</v>
      </c>
      <c r="BG33">
        <v>4.2309672619393703E-2</v>
      </c>
      <c r="BI33">
        <v>1.170114715736352E-2</v>
      </c>
      <c r="BK33">
        <v>0</v>
      </c>
      <c r="BM33">
        <v>0</v>
      </c>
      <c r="BO33">
        <v>0</v>
      </c>
      <c r="BQ33">
        <v>1.7231841699515049</v>
      </c>
      <c r="BS33">
        <v>15.281134002037867</v>
      </c>
      <c r="BU33">
        <v>1.889375948214445</v>
      </c>
      <c r="BW33">
        <v>0.4565276526168805</v>
      </c>
      <c r="BY33">
        <v>5.7540755837430298E-2</v>
      </c>
      <c r="CA33">
        <v>1.2979008341621046E-2</v>
      </c>
      <c r="CB33">
        <f t="shared" si="5"/>
        <v>0</v>
      </c>
      <c r="CC33">
        <f t="shared" si="6"/>
        <v>0.28487204706924157</v>
      </c>
      <c r="CD33">
        <f t="shared" si="8"/>
        <v>0</v>
      </c>
      <c r="CE33">
        <f t="shared" si="8"/>
        <v>44.023472969662869</v>
      </c>
      <c r="CF33" s="4">
        <f t="shared" si="9"/>
        <v>0</v>
      </c>
      <c r="CG33" s="4">
        <f t="shared" si="10"/>
        <v>0</v>
      </c>
      <c r="CH33" s="4">
        <f t="shared" si="11"/>
        <v>0</v>
      </c>
      <c r="CI33" s="4">
        <f t="shared" si="12"/>
        <v>0</v>
      </c>
    </row>
    <row r="34" spans="1:87" x14ac:dyDescent="0.25">
      <c r="C34" t="s">
        <v>40</v>
      </c>
      <c r="E34">
        <v>9.5133677631140598E-3</v>
      </c>
      <c r="G34">
        <v>0</v>
      </c>
      <c r="I34">
        <v>0</v>
      </c>
      <c r="K34">
        <v>0</v>
      </c>
      <c r="M34">
        <v>1.9355260240149E-3</v>
      </c>
      <c r="O34">
        <v>2.52474404611672E-3</v>
      </c>
      <c r="Q34">
        <v>4.7105444929390602E-2</v>
      </c>
      <c r="S34">
        <v>2.17988163822024E-2</v>
      </c>
      <c r="U34">
        <v>1.62668779880514E-2</v>
      </c>
      <c r="W34">
        <v>5.67138636541585E-3</v>
      </c>
      <c r="Y34">
        <v>0</v>
      </c>
      <c r="AA34">
        <v>0</v>
      </c>
      <c r="AC34">
        <v>0</v>
      </c>
      <c r="AE34">
        <v>5.9754643161275397E-3</v>
      </c>
      <c r="AG34">
        <v>8.002606638203319E-3</v>
      </c>
      <c r="AI34">
        <v>7.34638398120312</v>
      </c>
      <c r="AK34">
        <v>4.83857959887633</v>
      </c>
      <c r="AM34">
        <v>1.9112769767770998</v>
      </c>
      <c r="AO34">
        <v>0.154295329528676</v>
      </c>
      <c r="AQ34">
        <v>7.0184972204941506E-2</v>
      </c>
      <c r="AS34">
        <v>1.3484687541245799E-2</v>
      </c>
      <c r="AU34">
        <v>0</v>
      </c>
      <c r="AW34">
        <v>0</v>
      </c>
      <c r="AY34">
        <v>0</v>
      </c>
      <c r="BA34">
        <v>0</v>
      </c>
      <c r="BC34">
        <v>0</v>
      </c>
      <c r="BE34">
        <v>8.7620541005839214E-3</v>
      </c>
      <c r="BG34">
        <v>2.2574046419860216E-2</v>
      </c>
      <c r="BI34">
        <v>6.4122437866597406E-3</v>
      </c>
      <c r="BK34">
        <v>0</v>
      </c>
      <c r="BM34">
        <v>0</v>
      </c>
      <c r="BO34">
        <v>0</v>
      </c>
      <c r="BQ34">
        <v>0.95341610203079863</v>
      </c>
      <c r="BS34">
        <v>7.9153806574561951</v>
      </c>
      <c r="BU34">
        <v>1.0196944359322275</v>
      </c>
      <c r="BW34">
        <v>0.23165116512665584</v>
      </c>
      <c r="BY34">
        <v>2.7184566126550052E-2</v>
      </c>
      <c r="CA34">
        <v>0</v>
      </c>
      <c r="CB34">
        <f t="shared" si="5"/>
        <v>0</v>
      </c>
      <c r="CC34">
        <f t="shared" si="6"/>
        <v>0.16051389853787243</v>
      </c>
      <c r="CD34">
        <f t="shared" si="8"/>
        <v>0</v>
      </c>
      <c r="CE34">
        <f t="shared" si="8"/>
        <v>24.638075051563579</v>
      </c>
      <c r="CF34" s="4">
        <f t="shared" si="9"/>
        <v>0</v>
      </c>
      <c r="CG34" s="4">
        <f t="shared" si="10"/>
        <v>0</v>
      </c>
      <c r="CH34" s="4">
        <f t="shared" si="11"/>
        <v>0</v>
      </c>
      <c r="CI34" s="4">
        <f t="shared" si="12"/>
        <v>0</v>
      </c>
    </row>
    <row r="35" spans="1:87" x14ac:dyDescent="0.25">
      <c r="C35" t="s">
        <v>41</v>
      </c>
      <c r="E35">
        <v>8.9569253511838989E-3</v>
      </c>
      <c r="G35">
        <v>0</v>
      </c>
      <c r="I35">
        <v>0</v>
      </c>
      <c r="K35">
        <v>0</v>
      </c>
      <c r="M35">
        <v>1.6774457027934301E-3</v>
      </c>
      <c r="O35">
        <v>1.7035833449573501E-3</v>
      </c>
      <c r="Q35">
        <v>9.1003090713101198E-2</v>
      </c>
      <c r="S35">
        <v>4.0541575175703302E-2</v>
      </c>
      <c r="U35">
        <v>2.5023743811544399E-2</v>
      </c>
      <c r="W35">
        <v>7.2839433494401098E-3</v>
      </c>
      <c r="Y35">
        <v>0</v>
      </c>
      <c r="AA35">
        <v>0</v>
      </c>
      <c r="AC35">
        <v>0</v>
      </c>
      <c r="AE35">
        <v>5.5429119425641606E-3</v>
      </c>
      <c r="AG35">
        <v>1.2414674305087499E-2</v>
      </c>
      <c r="AI35">
        <v>13.704638869157399</v>
      </c>
      <c r="AK35">
        <v>10.0734839679328</v>
      </c>
      <c r="AM35">
        <v>2.3803849538049597</v>
      </c>
      <c r="AO35">
        <v>0.15802487161550802</v>
      </c>
      <c r="AQ35">
        <v>7.1795904193045504E-2</v>
      </c>
      <c r="AS35">
        <v>1.3432876879483101E-2</v>
      </c>
      <c r="AU35">
        <v>0</v>
      </c>
      <c r="AW35">
        <v>0</v>
      </c>
      <c r="AY35">
        <v>0</v>
      </c>
      <c r="BA35">
        <v>0</v>
      </c>
      <c r="BC35">
        <v>0</v>
      </c>
      <c r="BE35">
        <v>1.80116830014228E-2</v>
      </c>
      <c r="BG35">
        <v>4.0926052900627494E-2</v>
      </c>
      <c r="BI35">
        <v>7.6042614953733953E-3</v>
      </c>
      <c r="BK35">
        <v>0</v>
      </c>
      <c r="BM35">
        <v>0</v>
      </c>
      <c r="BO35">
        <v>0</v>
      </c>
      <c r="BQ35">
        <v>2.2680279850904399</v>
      </c>
      <c r="BS35">
        <v>19.572238609274848</v>
      </c>
      <c r="BU35">
        <v>1.3708262337325601</v>
      </c>
      <c r="BW35">
        <v>0.23967456300601991</v>
      </c>
      <c r="BY35">
        <v>2.421763243523305E-2</v>
      </c>
      <c r="CA35">
        <v>0</v>
      </c>
      <c r="CB35">
        <f t="shared" si="5"/>
        <v>0</v>
      </c>
      <c r="CC35">
        <f t="shared" si="6"/>
        <v>0.26516584262209825</v>
      </c>
      <c r="CD35">
        <f t="shared" si="8"/>
        <v>0</v>
      </c>
      <c r="CE35">
        <f t="shared" si="8"/>
        <v>50.1374363582161</v>
      </c>
      <c r="CF35" s="4">
        <f t="shared" si="9"/>
        <v>0</v>
      </c>
      <c r="CG35" s="4">
        <f t="shared" si="10"/>
        <v>0</v>
      </c>
      <c r="CH35" s="4">
        <f t="shared" si="11"/>
        <v>0</v>
      </c>
      <c r="CI35" s="4">
        <f t="shared" si="12"/>
        <v>0</v>
      </c>
    </row>
    <row r="36" spans="1:87" x14ac:dyDescent="0.25">
      <c r="A36">
        <v>73</v>
      </c>
      <c r="B36" s="2">
        <v>45140</v>
      </c>
      <c r="C36" t="s">
        <v>36</v>
      </c>
      <c r="E36">
        <v>0</v>
      </c>
      <c r="G36">
        <v>0</v>
      </c>
      <c r="I36">
        <v>0</v>
      </c>
      <c r="K36">
        <v>0</v>
      </c>
      <c r="M36">
        <v>0</v>
      </c>
      <c r="O36">
        <v>0</v>
      </c>
      <c r="Q36">
        <v>4.6606885049235151E-2</v>
      </c>
      <c r="S36">
        <v>2.0695190398836001E-2</v>
      </c>
      <c r="U36">
        <v>1.2761840533562E-2</v>
      </c>
      <c r="W36">
        <v>2.7627025658919762E-3</v>
      </c>
      <c r="Y36">
        <v>0</v>
      </c>
      <c r="AA36">
        <v>0</v>
      </c>
      <c r="AC36">
        <v>0</v>
      </c>
      <c r="AE36">
        <v>0</v>
      </c>
      <c r="AG36">
        <v>9.05496778973474E-3</v>
      </c>
      <c r="AI36">
        <v>8.3974744149872596</v>
      </c>
      <c r="AK36">
        <v>5.65399682212482</v>
      </c>
      <c r="AM36">
        <v>1.65851417542233</v>
      </c>
      <c r="AO36">
        <v>5.5499389238652101E-2</v>
      </c>
      <c r="AQ36">
        <v>3.7092893656351801E-2</v>
      </c>
      <c r="AS36">
        <v>5.3450667576929699E-3</v>
      </c>
      <c r="AU36">
        <v>0</v>
      </c>
      <c r="AW36">
        <v>0</v>
      </c>
      <c r="AY36">
        <v>4.0316426740471978E-5</v>
      </c>
      <c r="BA36">
        <v>0</v>
      </c>
      <c r="BC36">
        <v>2.0207142997115102E-3</v>
      </c>
      <c r="BE36">
        <v>1.0235049802784701E-2</v>
      </c>
      <c r="BG36">
        <v>2.00852299787018E-2</v>
      </c>
      <c r="BI36">
        <v>1.5892414200802598E-3</v>
      </c>
      <c r="BK36">
        <v>2.7472453724883598E-4</v>
      </c>
      <c r="BM36">
        <v>0</v>
      </c>
      <c r="BO36">
        <v>0</v>
      </c>
      <c r="BQ36">
        <v>1.171686828231733</v>
      </c>
      <c r="BS36">
        <v>11.763948746280946</v>
      </c>
      <c r="BU36">
        <v>0.81455143310895695</v>
      </c>
      <c r="BW36">
        <v>3.3314905815844349E-2</v>
      </c>
      <c r="BY36">
        <v>2.82463342115302E-3</v>
      </c>
      <c r="CA36">
        <v>2.0819916130144752E-3</v>
      </c>
      <c r="CB36">
        <f t="shared" si="5"/>
        <v>0</v>
      </c>
      <c r="CC36">
        <f t="shared" si="6"/>
        <v>0.13355392117323492</v>
      </c>
      <c r="CD36">
        <f t="shared" si="8"/>
        <v>0</v>
      </c>
      <c r="CE36">
        <f t="shared" si="8"/>
        <v>29.722458163461276</v>
      </c>
      <c r="CF36" s="4">
        <f t="shared" si="9"/>
        <v>0</v>
      </c>
      <c r="CG36" s="4">
        <f t="shared" si="10"/>
        <v>0</v>
      </c>
      <c r="CH36" s="4">
        <f t="shared" si="11"/>
        <v>0</v>
      </c>
      <c r="CI36" s="4">
        <f t="shared" si="12"/>
        <v>0</v>
      </c>
    </row>
    <row r="37" spans="1:87" x14ac:dyDescent="0.25">
      <c r="C37" t="s">
        <v>39</v>
      </c>
      <c r="E37">
        <v>8.4959389958965195E-3</v>
      </c>
      <c r="G37">
        <v>0</v>
      </c>
      <c r="I37">
        <v>0</v>
      </c>
      <c r="K37">
        <v>0</v>
      </c>
      <c r="M37">
        <v>1.3266456982193699E-3</v>
      </c>
      <c r="O37">
        <v>1.0786988359892799E-3</v>
      </c>
      <c r="Q37">
        <v>8.8128211407214496E-2</v>
      </c>
      <c r="S37">
        <v>3.9919350703616095E-2</v>
      </c>
      <c r="U37">
        <v>2.25663423294197E-2</v>
      </c>
      <c r="W37">
        <v>5.2747902711915394E-3</v>
      </c>
      <c r="Y37">
        <v>0</v>
      </c>
      <c r="AA37">
        <v>0</v>
      </c>
      <c r="AC37">
        <v>0</v>
      </c>
      <c r="AE37">
        <v>0</v>
      </c>
      <c r="AG37">
        <v>1.5520974681841701E-2</v>
      </c>
      <c r="AI37">
        <v>13.078703887668301</v>
      </c>
      <c r="AK37">
        <v>9.4602189412475806</v>
      </c>
      <c r="AM37">
        <v>2.6411137584645599</v>
      </c>
      <c r="AO37">
        <v>0.17838748742716998</v>
      </c>
      <c r="AQ37">
        <v>5.4575426166608799E-2</v>
      </c>
      <c r="AS37">
        <v>8.6578799598658693E-3</v>
      </c>
      <c r="AU37">
        <v>0</v>
      </c>
      <c r="AW37">
        <v>0</v>
      </c>
      <c r="AY37">
        <v>0</v>
      </c>
      <c r="BA37">
        <v>0</v>
      </c>
      <c r="BC37">
        <v>0</v>
      </c>
      <c r="BE37">
        <v>1.8980020406677827E-2</v>
      </c>
      <c r="BG37">
        <v>3.4168803401325831E-2</v>
      </c>
      <c r="BI37">
        <v>4.9140024029005348E-3</v>
      </c>
      <c r="BK37">
        <v>0</v>
      </c>
      <c r="BM37">
        <v>0</v>
      </c>
      <c r="BO37">
        <v>0</v>
      </c>
      <c r="BQ37">
        <v>2.3881332068912449</v>
      </c>
      <c r="BS37">
        <v>20.158448759353902</v>
      </c>
      <c r="BU37">
        <v>1.2771242351418706</v>
      </c>
      <c r="BW37">
        <v>8.1125351492378997E-2</v>
      </c>
      <c r="BY37">
        <v>0</v>
      </c>
      <c r="CA37">
        <v>0</v>
      </c>
      <c r="CB37">
        <f t="shared" si="5"/>
        <v>0</v>
      </c>
      <c r="CC37">
        <f t="shared" si="6"/>
        <v>0.24053572009826227</v>
      </c>
      <c r="CD37">
        <f t="shared" si="8"/>
        <v>0</v>
      </c>
      <c r="CE37">
        <f t="shared" si="8"/>
        <v>49.566862712947774</v>
      </c>
      <c r="CF37" s="4">
        <f t="shared" si="9"/>
        <v>0</v>
      </c>
      <c r="CG37" s="4">
        <f t="shared" si="10"/>
        <v>0</v>
      </c>
      <c r="CH37" s="4">
        <f t="shared" si="11"/>
        <v>0</v>
      </c>
      <c r="CI37" s="4">
        <f t="shared" si="12"/>
        <v>0</v>
      </c>
    </row>
    <row r="38" spans="1:87" x14ac:dyDescent="0.25">
      <c r="C38" t="s">
        <v>40</v>
      </c>
      <c r="E38">
        <v>7.7130612072629397E-3</v>
      </c>
      <c r="G38">
        <v>0</v>
      </c>
      <c r="I38">
        <v>0</v>
      </c>
      <c r="K38">
        <v>0</v>
      </c>
      <c r="M38">
        <v>2.41932109422932E-3</v>
      </c>
      <c r="O38">
        <v>2.1002750519565597E-3</v>
      </c>
      <c r="Q38">
        <v>6.8830983718829994E-2</v>
      </c>
      <c r="S38">
        <v>3.1451860435167796E-2</v>
      </c>
      <c r="U38">
        <v>1.6122531047794299E-2</v>
      </c>
      <c r="W38">
        <v>4.2434378520402501E-3</v>
      </c>
      <c r="Y38">
        <v>0</v>
      </c>
      <c r="AA38">
        <v>0</v>
      </c>
      <c r="AC38">
        <v>0</v>
      </c>
      <c r="AE38">
        <v>0</v>
      </c>
      <c r="AG38">
        <v>8.3993123611177702E-3</v>
      </c>
      <c r="AI38">
        <v>10.4668798676493</v>
      </c>
      <c r="AK38">
        <v>6.8724561851474997</v>
      </c>
      <c r="AM38">
        <v>1.78168998932584</v>
      </c>
      <c r="AO38">
        <v>8.78135577577141E-2</v>
      </c>
      <c r="AQ38">
        <v>2.90435153304805E-2</v>
      </c>
      <c r="AS38">
        <v>5.9349920310782199E-3</v>
      </c>
      <c r="AU38">
        <v>0</v>
      </c>
      <c r="AW38">
        <v>0</v>
      </c>
      <c r="AY38">
        <v>0</v>
      </c>
      <c r="BA38">
        <v>0</v>
      </c>
      <c r="BC38">
        <v>0</v>
      </c>
      <c r="BE38">
        <v>1.3336568755428897E-2</v>
      </c>
      <c r="BG38">
        <v>2.3100763824638954E-2</v>
      </c>
      <c r="BI38">
        <v>3.6553588331824801E-3</v>
      </c>
      <c r="BK38">
        <v>0</v>
      </c>
      <c r="BM38">
        <v>0</v>
      </c>
      <c r="BO38">
        <v>0</v>
      </c>
      <c r="BQ38">
        <v>1.4073035400056957</v>
      </c>
      <c r="BS38">
        <v>12.586343440270456</v>
      </c>
      <c r="BU38">
        <v>0.81935146542081749</v>
      </c>
      <c r="BW38">
        <v>4.3289365852070952E-2</v>
      </c>
      <c r="BY38">
        <v>0</v>
      </c>
      <c r="CA38">
        <v>0</v>
      </c>
      <c r="CB38">
        <f t="shared" si="5"/>
        <v>0</v>
      </c>
      <c r="CC38">
        <f t="shared" si="6"/>
        <v>0.17959540500546459</v>
      </c>
      <c r="CD38">
        <f t="shared" si="8"/>
        <v>0</v>
      </c>
      <c r="CE38">
        <f t="shared" si="8"/>
        <v>34.281479392972599</v>
      </c>
      <c r="CF38" s="4">
        <f t="shared" si="9"/>
        <v>0</v>
      </c>
      <c r="CG38" s="4">
        <f t="shared" si="10"/>
        <v>0</v>
      </c>
      <c r="CH38" s="4">
        <f t="shared" si="11"/>
        <v>0</v>
      </c>
      <c r="CI38" s="4">
        <f t="shared" si="12"/>
        <v>0</v>
      </c>
    </row>
    <row r="39" spans="1:87" x14ac:dyDescent="0.25">
      <c r="C39" t="s">
        <v>41</v>
      </c>
      <c r="E39">
        <v>8.4833231638802194E-3</v>
      </c>
      <c r="G39">
        <v>0</v>
      </c>
      <c r="I39">
        <v>0</v>
      </c>
      <c r="K39">
        <v>0</v>
      </c>
      <c r="M39">
        <v>2.4672001328686697E-3</v>
      </c>
      <c r="O39">
        <v>1.83269009958066E-3</v>
      </c>
      <c r="Q39">
        <v>9.8386977554906913E-2</v>
      </c>
      <c r="S39">
        <v>3.4805153877288497E-2</v>
      </c>
      <c r="U39">
        <v>1.6264082775781501E-2</v>
      </c>
      <c r="W39">
        <v>3.97840578786764E-3</v>
      </c>
      <c r="Y39">
        <v>0</v>
      </c>
      <c r="AA39">
        <v>0</v>
      </c>
      <c r="AC39">
        <v>0</v>
      </c>
      <c r="AE39">
        <v>0</v>
      </c>
      <c r="AG39">
        <v>9.31232988685924E-3</v>
      </c>
      <c r="AI39">
        <v>12.7958967618153</v>
      </c>
      <c r="AK39">
        <v>8.3803533705248299</v>
      </c>
      <c r="AM39">
        <v>1.4093297474734099</v>
      </c>
      <c r="AO39">
        <v>8.2461268240187291E-2</v>
      </c>
      <c r="AQ39">
        <v>3.0392222700314497E-2</v>
      </c>
      <c r="AS39">
        <v>7.2117459713292795E-3</v>
      </c>
      <c r="AU39">
        <v>0</v>
      </c>
      <c r="AW39">
        <v>0</v>
      </c>
      <c r="AY39">
        <v>0</v>
      </c>
      <c r="BA39">
        <v>0</v>
      </c>
      <c r="BC39">
        <v>0</v>
      </c>
      <c r="BE39">
        <v>1.9690297518087256E-2</v>
      </c>
      <c r="BG39">
        <v>2.8171901006845943E-2</v>
      </c>
      <c r="BI39">
        <v>0</v>
      </c>
      <c r="BK39">
        <v>0</v>
      </c>
      <c r="BM39">
        <v>0</v>
      </c>
      <c r="BO39">
        <v>0</v>
      </c>
      <c r="BQ39">
        <v>2.0896429665309353</v>
      </c>
      <c r="BS39">
        <v>16.322715929944025</v>
      </c>
      <c r="BU39">
        <v>0.69898739872279247</v>
      </c>
      <c r="BW39">
        <v>0</v>
      </c>
      <c r="BY39">
        <v>0</v>
      </c>
      <c r="CA39">
        <v>0</v>
      </c>
      <c r="CB39">
        <f t="shared" si="5"/>
        <v>0</v>
      </c>
      <c r="CC39">
        <f t="shared" si="6"/>
        <v>0.22212078461141563</v>
      </c>
      <c r="CD39">
        <f t="shared" si="8"/>
        <v>0</v>
      </c>
      <c r="CE39">
        <f t="shared" si="8"/>
        <v>42.040383773727086</v>
      </c>
      <c r="CF39" s="4">
        <f t="shared" si="9"/>
        <v>0</v>
      </c>
      <c r="CG39" s="4">
        <f t="shared" si="10"/>
        <v>0</v>
      </c>
      <c r="CH39" s="4">
        <f t="shared" si="11"/>
        <v>0</v>
      </c>
      <c r="CI39" s="4">
        <f t="shared" si="12"/>
        <v>0</v>
      </c>
    </row>
    <row r="40" spans="1:87" x14ac:dyDescent="0.25">
      <c r="A40">
        <v>101</v>
      </c>
      <c r="B40" s="2">
        <v>45168</v>
      </c>
      <c r="C40" t="s">
        <v>36</v>
      </c>
      <c r="E40">
        <v>0</v>
      </c>
      <c r="G40">
        <v>0</v>
      </c>
      <c r="I40">
        <v>0</v>
      </c>
      <c r="K40">
        <v>0</v>
      </c>
      <c r="M40">
        <v>0</v>
      </c>
      <c r="O40">
        <v>0</v>
      </c>
      <c r="Q40">
        <v>3.0443656097894154E-2</v>
      </c>
      <c r="S40">
        <v>1.15001176611017E-2</v>
      </c>
      <c r="U40">
        <v>5.2161457668237999E-3</v>
      </c>
      <c r="W40">
        <v>0</v>
      </c>
      <c r="Y40">
        <v>0</v>
      </c>
      <c r="AA40">
        <v>0</v>
      </c>
      <c r="AC40">
        <v>0</v>
      </c>
      <c r="AE40">
        <v>0</v>
      </c>
      <c r="AG40">
        <v>2.9622217535084099E-3</v>
      </c>
      <c r="AI40">
        <v>5.5462058463017101</v>
      </c>
      <c r="AK40">
        <v>2.3080440542957499</v>
      </c>
      <c r="AM40">
        <v>0.524464108527391</v>
      </c>
      <c r="AO40">
        <v>1.4617249746065999E-2</v>
      </c>
      <c r="AQ40">
        <v>5.46694193144622E-3</v>
      </c>
      <c r="AS40">
        <v>2.0313275294693203E-3</v>
      </c>
      <c r="AU40">
        <v>0</v>
      </c>
      <c r="AW40">
        <v>0</v>
      </c>
      <c r="AY40">
        <v>1.0652279559042199E-4</v>
      </c>
      <c r="BA40">
        <v>0</v>
      </c>
      <c r="BC40">
        <v>8.8089676549773198E-4</v>
      </c>
      <c r="BE40">
        <v>8.8680248247691145E-3</v>
      </c>
      <c r="BG40">
        <v>9.9628730728473103E-3</v>
      </c>
      <c r="BI40">
        <v>3.3718007489997806E-4</v>
      </c>
      <c r="BK40">
        <v>0</v>
      </c>
      <c r="BM40">
        <v>0</v>
      </c>
      <c r="BO40">
        <v>0</v>
      </c>
      <c r="BQ40">
        <v>0.69042389068732601</v>
      </c>
      <c r="BS40">
        <v>5.8942590030385551</v>
      </c>
      <c r="BU40">
        <v>0.20284225472533199</v>
      </c>
      <c r="BW40">
        <v>6.1108091987144095E-3</v>
      </c>
      <c r="BY40">
        <v>0</v>
      </c>
      <c r="CA40">
        <v>0</v>
      </c>
      <c r="CB40">
        <f t="shared" si="5"/>
        <v>0</v>
      </c>
      <c r="CC40">
        <f t="shared" si="6"/>
        <v>7.2308966342401956E-2</v>
      </c>
      <c r="CD40">
        <f t="shared" si="8"/>
        <v>0</v>
      </c>
      <c r="CE40">
        <f t="shared" si="8"/>
        <v>15.264743124794697</v>
      </c>
      <c r="CF40" s="4">
        <f t="shared" si="9"/>
        <v>0</v>
      </c>
      <c r="CG40" s="4">
        <f t="shared" si="10"/>
        <v>0</v>
      </c>
      <c r="CH40" s="4">
        <f t="shared" si="11"/>
        <v>0</v>
      </c>
      <c r="CI40" s="4">
        <f t="shared" si="12"/>
        <v>0</v>
      </c>
    </row>
    <row r="41" spans="1:87" x14ac:dyDescent="0.25">
      <c r="C41" t="s">
        <v>39</v>
      </c>
      <c r="E41">
        <v>8.6581842585173492E-3</v>
      </c>
      <c r="G41">
        <v>0</v>
      </c>
      <c r="I41">
        <v>0</v>
      </c>
      <c r="K41">
        <v>0</v>
      </c>
      <c r="M41">
        <v>2.4476944836482103E-3</v>
      </c>
      <c r="O41">
        <v>2.0831486387979502E-3</v>
      </c>
      <c r="Q41">
        <v>5.9942483766367502E-2</v>
      </c>
      <c r="S41">
        <v>2.3069878619327602E-2</v>
      </c>
      <c r="U41">
        <v>9.9867257502593912E-3</v>
      </c>
      <c r="W41">
        <v>0</v>
      </c>
      <c r="Y41">
        <v>0</v>
      </c>
      <c r="AA41">
        <v>0</v>
      </c>
      <c r="AC41">
        <v>0</v>
      </c>
      <c r="AE41">
        <v>0</v>
      </c>
      <c r="AG41">
        <v>7.0807903770288205E-3</v>
      </c>
      <c r="AI41">
        <v>8.57577453323408</v>
      </c>
      <c r="AK41">
        <v>4.0069058140357203</v>
      </c>
      <c r="AM41">
        <v>0.82715314312230104</v>
      </c>
      <c r="AO41">
        <v>3.1546308857857697E-2</v>
      </c>
      <c r="AQ41">
        <v>7.2663555228737299E-3</v>
      </c>
      <c r="AS41">
        <v>0</v>
      </c>
      <c r="AU41">
        <v>0</v>
      </c>
      <c r="AW41">
        <v>0</v>
      </c>
      <c r="AY41">
        <v>0</v>
      </c>
      <c r="BA41">
        <v>0</v>
      </c>
      <c r="BC41">
        <v>0</v>
      </c>
      <c r="BE41">
        <v>1.2989334278621995E-2</v>
      </c>
      <c r="BG41">
        <v>1.5671652595739435E-2</v>
      </c>
      <c r="BI41">
        <v>0</v>
      </c>
      <c r="BK41">
        <v>0</v>
      </c>
      <c r="BM41">
        <v>0</v>
      </c>
      <c r="BO41">
        <v>0</v>
      </c>
      <c r="BQ41">
        <v>1.2976625875356427</v>
      </c>
      <c r="BS41">
        <v>8.8558332393421288</v>
      </c>
      <c r="BU41">
        <v>0.27746634518883601</v>
      </c>
      <c r="BW41">
        <v>0</v>
      </c>
      <c r="BY41">
        <v>0</v>
      </c>
      <c r="CA41">
        <v>0</v>
      </c>
      <c r="CB41">
        <f t="shared" si="5"/>
        <v>0</v>
      </c>
      <c r="CC41">
        <f t="shared" si="6"/>
        <v>0.13327170850979089</v>
      </c>
      <c r="CD41">
        <f t="shared" si="8"/>
        <v>0</v>
      </c>
      <c r="CE41">
        <f t="shared" si="8"/>
        <v>24.021538219607741</v>
      </c>
      <c r="CF41" s="4">
        <f t="shared" si="9"/>
        <v>0</v>
      </c>
      <c r="CG41" s="4">
        <f t="shared" si="10"/>
        <v>0</v>
      </c>
      <c r="CH41" s="4">
        <f t="shared" si="11"/>
        <v>0</v>
      </c>
      <c r="CI41" s="4">
        <f t="shared" si="12"/>
        <v>0</v>
      </c>
    </row>
    <row r="42" spans="1:87" x14ac:dyDescent="0.25">
      <c r="C42" t="s">
        <v>40</v>
      </c>
      <c r="E42">
        <v>1.39176285723316E-2</v>
      </c>
      <c r="G42">
        <v>0</v>
      </c>
      <c r="I42">
        <v>0</v>
      </c>
      <c r="K42">
        <v>0</v>
      </c>
      <c r="M42">
        <v>0</v>
      </c>
      <c r="O42">
        <v>0</v>
      </c>
      <c r="Q42">
        <v>3.8687961798265696E-2</v>
      </c>
      <c r="S42">
        <v>1.2226508611969701E-2</v>
      </c>
      <c r="U42">
        <v>5.1444886890135997E-3</v>
      </c>
      <c r="W42">
        <v>0</v>
      </c>
      <c r="Y42">
        <v>0</v>
      </c>
      <c r="AA42">
        <v>0</v>
      </c>
      <c r="AC42">
        <v>0</v>
      </c>
      <c r="AE42">
        <v>0</v>
      </c>
      <c r="AG42">
        <v>0</v>
      </c>
      <c r="AI42">
        <v>5.7910253994052301</v>
      </c>
      <c r="AK42">
        <v>2.29174272301971</v>
      </c>
      <c r="AM42">
        <v>0.39123072095407702</v>
      </c>
      <c r="AO42">
        <v>1.7736173946911401E-2</v>
      </c>
      <c r="AQ42">
        <v>5.3325294544205697E-3</v>
      </c>
      <c r="AS42">
        <v>0</v>
      </c>
      <c r="AU42">
        <v>0</v>
      </c>
      <c r="AW42">
        <v>0</v>
      </c>
      <c r="AY42">
        <v>0</v>
      </c>
      <c r="BA42">
        <v>0</v>
      </c>
      <c r="BC42">
        <v>0</v>
      </c>
      <c r="BE42">
        <v>7.7135765407100902E-3</v>
      </c>
      <c r="BG42">
        <v>7.3490415822283148E-3</v>
      </c>
      <c r="BI42">
        <v>0</v>
      </c>
      <c r="BK42">
        <v>0</v>
      </c>
      <c r="BM42">
        <v>0</v>
      </c>
      <c r="BO42">
        <v>0</v>
      </c>
      <c r="BQ42">
        <v>0.78769269937306508</v>
      </c>
      <c r="BS42">
        <v>5.4782715646642597</v>
      </c>
      <c r="BU42">
        <v>0.17095847370559239</v>
      </c>
      <c r="BW42">
        <v>0</v>
      </c>
      <c r="BY42">
        <v>0</v>
      </c>
      <c r="CA42">
        <v>0</v>
      </c>
      <c r="CB42">
        <f t="shared" si="5"/>
        <v>0</v>
      </c>
      <c r="CC42">
        <f t="shared" si="6"/>
        <v>7.1121577222187399E-2</v>
      </c>
      <c r="CD42">
        <f t="shared" si="8"/>
        <v>0</v>
      </c>
      <c r="CE42">
        <f t="shared" si="8"/>
        <v>15.019029490317786</v>
      </c>
      <c r="CF42" s="4">
        <f t="shared" si="9"/>
        <v>0</v>
      </c>
      <c r="CG42" s="4">
        <f t="shared" si="10"/>
        <v>0</v>
      </c>
      <c r="CH42" s="4">
        <f t="shared" si="11"/>
        <v>0</v>
      </c>
      <c r="CI42" s="4">
        <f t="shared" si="12"/>
        <v>0</v>
      </c>
    </row>
    <row r="43" spans="1:87" x14ac:dyDescent="0.25">
      <c r="C43" t="s">
        <v>41</v>
      </c>
      <c r="E43">
        <v>1.25389106650843E-2</v>
      </c>
      <c r="G43">
        <v>0</v>
      </c>
      <c r="I43">
        <v>0</v>
      </c>
      <c r="K43">
        <v>0</v>
      </c>
      <c r="M43">
        <v>0</v>
      </c>
      <c r="O43">
        <v>0</v>
      </c>
      <c r="Q43">
        <v>4.07674500930005E-2</v>
      </c>
      <c r="S43">
        <v>1.2976656648201301E-2</v>
      </c>
      <c r="U43">
        <v>0</v>
      </c>
      <c r="W43">
        <v>0</v>
      </c>
      <c r="Y43">
        <v>0</v>
      </c>
      <c r="AA43">
        <v>0</v>
      </c>
      <c r="AC43">
        <v>0</v>
      </c>
      <c r="AE43">
        <v>0</v>
      </c>
      <c r="AG43">
        <v>2.9274581458242997E-3</v>
      </c>
      <c r="AI43">
        <v>6.28796748858485</v>
      </c>
      <c r="AK43">
        <v>2.1993931033742</v>
      </c>
      <c r="AM43">
        <v>0.28647618435879701</v>
      </c>
      <c r="AO43">
        <v>0</v>
      </c>
      <c r="AQ43">
        <v>4.0316654603942898E-3</v>
      </c>
      <c r="AS43">
        <v>0</v>
      </c>
      <c r="AU43">
        <v>0</v>
      </c>
      <c r="AW43">
        <v>0</v>
      </c>
      <c r="AY43">
        <v>0</v>
      </c>
      <c r="BA43">
        <v>0</v>
      </c>
      <c r="BC43">
        <v>0</v>
      </c>
      <c r="BE43">
        <v>1.111819438717355E-2</v>
      </c>
      <c r="BG43">
        <v>1.1214216416007951E-2</v>
      </c>
      <c r="BI43">
        <v>0</v>
      </c>
      <c r="BK43">
        <v>0</v>
      </c>
      <c r="BM43">
        <v>0</v>
      </c>
      <c r="BO43">
        <v>0</v>
      </c>
      <c r="BQ43">
        <v>0.88592468420688097</v>
      </c>
      <c r="BS43">
        <v>5.6124561946575851</v>
      </c>
      <c r="BU43">
        <v>0.15203778024515363</v>
      </c>
      <c r="BW43">
        <v>0</v>
      </c>
      <c r="BY43">
        <v>0</v>
      </c>
      <c r="CA43">
        <v>0</v>
      </c>
      <c r="CB43">
        <f t="shared" si="5"/>
        <v>0</v>
      </c>
      <c r="CC43">
        <f t="shared" si="6"/>
        <v>7.9003975690207603E-2</v>
      </c>
      <c r="CD43">
        <f t="shared" si="8"/>
        <v>0</v>
      </c>
      <c r="CE43">
        <f t="shared" si="8"/>
        <v>15.519829987243151</v>
      </c>
      <c r="CF43" s="4">
        <f t="shared" si="9"/>
        <v>0</v>
      </c>
      <c r="CG43" s="4">
        <f t="shared" si="10"/>
        <v>0</v>
      </c>
      <c r="CH43" s="4">
        <f t="shared" si="11"/>
        <v>0</v>
      </c>
      <c r="CI43" s="4">
        <f t="shared" si="12"/>
        <v>0</v>
      </c>
    </row>
    <row r="44" spans="1:87" x14ac:dyDescent="0.25">
      <c r="A44">
        <v>136</v>
      </c>
      <c r="B44" s="2">
        <v>45203</v>
      </c>
      <c r="C44" t="s">
        <v>36</v>
      </c>
      <c r="E44">
        <v>0</v>
      </c>
      <c r="G44">
        <v>0</v>
      </c>
      <c r="I44">
        <v>0</v>
      </c>
      <c r="K44">
        <v>0</v>
      </c>
      <c r="M44">
        <v>0</v>
      </c>
      <c r="O44">
        <v>0</v>
      </c>
      <c r="Q44">
        <v>1.2826139872192754E-2</v>
      </c>
      <c r="S44">
        <v>3.7359473335998E-3</v>
      </c>
      <c r="U44">
        <v>0</v>
      </c>
      <c r="W44">
        <v>0</v>
      </c>
      <c r="Y44">
        <v>0</v>
      </c>
      <c r="AA44">
        <v>0</v>
      </c>
      <c r="AC44">
        <v>0</v>
      </c>
      <c r="AE44">
        <v>0</v>
      </c>
      <c r="AG44">
        <v>0</v>
      </c>
      <c r="AI44">
        <v>2.3764097731810798</v>
      </c>
      <c r="AK44">
        <v>0.53483673340285898</v>
      </c>
      <c r="AM44">
        <v>7.2437417646764798E-2</v>
      </c>
      <c r="AO44">
        <v>0</v>
      </c>
      <c r="AQ44">
        <v>0</v>
      </c>
      <c r="AS44">
        <v>0</v>
      </c>
      <c r="AU44">
        <v>0</v>
      </c>
      <c r="AW44">
        <v>0</v>
      </c>
      <c r="AY44">
        <v>7.8592119132280479E-5</v>
      </c>
      <c r="BA44">
        <v>0</v>
      </c>
      <c r="BC44">
        <v>2.9461757607157104E-4</v>
      </c>
      <c r="BE44">
        <v>5.2684563517063857E-3</v>
      </c>
      <c r="BG44">
        <v>3.9144587444281329E-3</v>
      </c>
      <c r="BI44">
        <v>0</v>
      </c>
      <c r="BK44">
        <v>0</v>
      </c>
      <c r="BM44">
        <v>0</v>
      </c>
      <c r="BO44">
        <v>0</v>
      </c>
      <c r="BQ44">
        <v>0.4142904208661955</v>
      </c>
      <c r="BS44">
        <v>2.0490848437615483</v>
      </c>
      <c r="BU44">
        <v>7.3422315165843105E-2</v>
      </c>
      <c r="BW44">
        <v>0</v>
      </c>
      <c r="BY44">
        <v>0</v>
      </c>
      <c r="CA44">
        <v>0</v>
      </c>
      <c r="CB44">
        <f t="shared" si="5"/>
        <v>0</v>
      </c>
      <c r="CC44">
        <f t="shared" si="6"/>
        <v>2.6118211997130922E-2</v>
      </c>
      <c r="CD44">
        <f t="shared" si="8"/>
        <v>0</v>
      </c>
      <c r="CE44">
        <f t="shared" si="8"/>
        <v>5.5465997160214213</v>
      </c>
      <c r="CF44" s="4">
        <f t="shared" si="9"/>
        <v>0</v>
      </c>
      <c r="CG44" s="4">
        <f t="shared" si="10"/>
        <v>0</v>
      </c>
      <c r="CH44" s="4">
        <f t="shared" si="11"/>
        <v>0</v>
      </c>
      <c r="CI44" s="4">
        <f t="shared" si="12"/>
        <v>0</v>
      </c>
    </row>
    <row r="45" spans="1:87" x14ac:dyDescent="0.25">
      <c r="C45" t="s">
        <v>39</v>
      </c>
      <c r="E45">
        <v>1.2974791377297701E-2</v>
      </c>
      <c r="G45">
        <v>0</v>
      </c>
      <c r="I45">
        <v>0</v>
      </c>
      <c r="K45">
        <v>0</v>
      </c>
      <c r="M45">
        <v>0</v>
      </c>
      <c r="O45">
        <v>0</v>
      </c>
      <c r="Q45">
        <v>1.21215463322545E-2</v>
      </c>
      <c r="S45">
        <v>2.9100209041917099E-3</v>
      </c>
      <c r="U45">
        <v>0</v>
      </c>
      <c r="W45">
        <v>0</v>
      </c>
      <c r="Y45">
        <v>0</v>
      </c>
      <c r="AA45">
        <v>0</v>
      </c>
      <c r="AC45">
        <v>0</v>
      </c>
      <c r="AE45">
        <v>0</v>
      </c>
      <c r="AG45">
        <v>0</v>
      </c>
      <c r="AI45">
        <v>1.8633306904098399</v>
      </c>
      <c r="AK45">
        <v>0.374547706886044</v>
      </c>
      <c r="AM45">
        <v>6.642771508437291E-2</v>
      </c>
      <c r="AO45">
        <v>0</v>
      </c>
      <c r="AQ45">
        <v>0</v>
      </c>
      <c r="AS45">
        <v>0</v>
      </c>
      <c r="AU45">
        <v>0</v>
      </c>
      <c r="AW45">
        <v>0</v>
      </c>
      <c r="AY45">
        <v>0</v>
      </c>
      <c r="BA45">
        <v>0</v>
      </c>
      <c r="BC45">
        <v>0</v>
      </c>
      <c r="BE45">
        <v>0</v>
      </c>
      <c r="BG45">
        <v>0</v>
      </c>
      <c r="BI45">
        <v>0</v>
      </c>
      <c r="BK45">
        <v>0</v>
      </c>
      <c r="BM45">
        <v>0</v>
      </c>
      <c r="BO45">
        <v>0</v>
      </c>
      <c r="BQ45">
        <v>0.32932262975871651</v>
      </c>
      <c r="BS45">
        <v>1.1892258082976046</v>
      </c>
      <c r="BU45">
        <v>3.1462617962832902E-2</v>
      </c>
      <c r="BW45">
        <v>0</v>
      </c>
      <c r="BY45">
        <v>0</v>
      </c>
      <c r="CA45">
        <v>0</v>
      </c>
      <c r="CB45">
        <f t="shared" si="5"/>
        <v>0</v>
      </c>
      <c r="CC45">
        <f t="shared" si="6"/>
        <v>1.5031567236446211E-2</v>
      </c>
      <c r="CD45">
        <f t="shared" si="8"/>
        <v>0</v>
      </c>
      <c r="CE45">
        <f t="shared" si="8"/>
        <v>3.8823235270131549</v>
      </c>
      <c r="CF45" s="4">
        <f t="shared" si="9"/>
        <v>0</v>
      </c>
      <c r="CG45" s="4">
        <f t="shared" si="10"/>
        <v>0</v>
      </c>
      <c r="CH45" s="4">
        <f t="shared" si="11"/>
        <v>0</v>
      </c>
      <c r="CI45" s="4">
        <f t="shared" si="12"/>
        <v>0</v>
      </c>
    </row>
    <row r="46" spans="1:87" x14ac:dyDescent="0.25">
      <c r="C46" t="s">
        <v>40</v>
      </c>
      <c r="E46">
        <v>5.3161443800222603E-3</v>
      </c>
      <c r="G46">
        <v>0</v>
      </c>
      <c r="I46">
        <v>0</v>
      </c>
      <c r="K46">
        <v>0</v>
      </c>
      <c r="M46">
        <v>0</v>
      </c>
      <c r="O46">
        <v>0</v>
      </c>
      <c r="Q46">
        <v>0</v>
      </c>
      <c r="S46">
        <v>0</v>
      </c>
      <c r="U46">
        <v>0</v>
      </c>
      <c r="W46">
        <v>0</v>
      </c>
      <c r="Y46">
        <v>0</v>
      </c>
      <c r="AA46">
        <v>0</v>
      </c>
      <c r="AC46">
        <v>0</v>
      </c>
      <c r="AE46">
        <v>0</v>
      </c>
      <c r="AG46">
        <v>0</v>
      </c>
      <c r="AI46">
        <v>1.26381722648068</v>
      </c>
      <c r="AK46">
        <v>0.186186137485228</v>
      </c>
      <c r="AM46">
        <v>1.8461482946058899E-2</v>
      </c>
      <c r="AO46">
        <v>0</v>
      </c>
      <c r="AQ46">
        <v>0</v>
      </c>
      <c r="AS46">
        <v>0</v>
      </c>
      <c r="AU46">
        <v>0</v>
      </c>
      <c r="AW46">
        <v>0</v>
      </c>
      <c r="AY46">
        <v>0</v>
      </c>
      <c r="BA46">
        <v>0</v>
      </c>
      <c r="BC46">
        <v>0</v>
      </c>
      <c r="BE46">
        <v>0</v>
      </c>
      <c r="BG46">
        <v>0</v>
      </c>
      <c r="BI46">
        <v>0</v>
      </c>
      <c r="BK46">
        <v>0</v>
      </c>
      <c r="BM46">
        <v>0</v>
      </c>
      <c r="BO46">
        <v>0</v>
      </c>
      <c r="BQ46">
        <v>0.19610509704915949</v>
      </c>
      <c r="BS46">
        <v>0.69050413101985186</v>
      </c>
      <c r="BU46">
        <v>2.2356650950075399E-2</v>
      </c>
      <c r="BW46">
        <v>0</v>
      </c>
      <c r="BY46">
        <v>0</v>
      </c>
      <c r="CA46">
        <v>0</v>
      </c>
      <c r="CB46">
        <f t="shared" si="5"/>
        <v>0</v>
      </c>
      <c r="CC46">
        <f t="shared" si="6"/>
        <v>0</v>
      </c>
      <c r="CD46">
        <f t="shared" si="8"/>
        <v>0</v>
      </c>
      <c r="CE46">
        <f t="shared" si="8"/>
        <v>2.3827468703110761</v>
      </c>
      <c r="CF46" s="4">
        <f t="shared" si="9"/>
        <v>0</v>
      </c>
      <c r="CG46" s="4">
        <f t="shared" si="10"/>
        <v>0</v>
      </c>
      <c r="CH46" s="4">
        <f t="shared" si="11"/>
        <v>0</v>
      </c>
      <c r="CI46" s="4">
        <f t="shared" si="12"/>
        <v>0</v>
      </c>
    </row>
    <row r="47" spans="1:87" x14ac:dyDescent="0.25">
      <c r="C47" t="s">
        <v>41</v>
      </c>
      <c r="E47">
        <v>9.4373253328608898E-3</v>
      </c>
      <c r="G47">
        <v>0</v>
      </c>
      <c r="I47">
        <v>0</v>
      </c>
      <c r="K47">
        <v>0</v>
      </c>
      <c r="M47">
        <v>0</v>
      </c>
      <c r="O47">
        <v>0</v>
      </c>
      <c r="Q47">
        <v>1.10560498443018E-2</v>
      </c>
      <c r="S47">
        <v>0</v>
      </c>
      <c r="U47">
        <v>0</v>
      </c>
      <c r="W47">
        <v>0</v>
      </c>
      <c r="Y47">
        <v>0</v>
      </c>
      <c r="AA47">
        <v>0</v>
      </c>
      <c r="AC47">
        <v>0</v>
      </c>
      <c r="AE47">
        <v>0</v>
      </c>
      <c r="AG47">
        <v>0</v>
      </c>
      <c r="AI47">
        <v>1.9897611904925401</v>
      </c>
      <c r="AK47">
        <v>0.26151063318067602</v>
      </c>
      <c r="AM47">
        <v>1.8640647028759498E-2</v>
      </c>
      <c r="AO47">
        <v>0</v>
      </c>
      <c r="AQ47">
        <v>0</v>
      </c>
      <c r="AS47">
        <v>0</v>
      </c>
      <c r="AU47">
        <v>0</v>
      </c>
      <c r="AW47">
        <v>0</v>
      </c>
      <c r="AY47">
        <v>0</v>
      </c>
      <c r="BA47">
        <v>0</v>
      </c>
      <c r="BC47">
        <v>0</v>
      </c>
      <c r="BE47">
        <v>0</v>
      </c>
      <c r="BG47">
        <v>0</v>
      </c>
      <c r="BI47">
        <v>0</v>
      </c>
      <c r="BK47">
        <v>0</v>
      </c>
      <c r="BM47">
        <v>0</v>
      </c>
      <c r="BO47">
        <v>0</v>
      </c>
      <c r="BQ47">
        <v>0.28952015306655648</v>
      </c>
      <c r="BS47">
        <v>1.2477246235215405</v>
      </c>
      <c r="BU47">
        <v>2.5558129126068353E-2</v>
      </c>
      <c r="BW47">
        <v>0</v>
      </c>
      <c r="BY47">
        <v>0</v>
      </c>
      <c r="CA47">
        <v>0</v>
      </c>
      <c r="CB47">
        <f t="shared" si="5"/>
        <v>0</v>
      </c>
      <c r="CC47">
        <f t="shared" si="6"/>
        <v>1.10560498443018E-2</v>
      </c>
      <c r="CD47">
        <f t="shared" si="8"/>
        <v>0</v>
      </c>
      <c r="CE47">
        <f t="shared" si="8"/>
        <v>3.8532087515933036</v>
      </c>
      <c r="CF47" s="4">
        <f t="shared" si="9"/>
        <v>0</v>
      </c>
      <c r="CG47" s="4">
        <f t="shared" si="10"/>
        <v>0</v>
      </c>
      <c r="CH47" s="4">
        <f t="shared" si="11"/>
        <v>0</v>
      </c>
      <c r="CI47" s="4">
        <f t="shared" si="12"/>
        <v>0</v>
      </c>
    </row>
    <row r="50" spans="2:90" x14ac:dyDescent="0.25">
      <c r="D50" s="4"/>
      <c r="F50" s="4"/>
      <c r="H50" s="4"/>
      <c r="J50" s="4"/>
      <c r="L50" s="4"/>
      <c r="N50" s="4"/>
      <c r="P50" s="4"/>
      <c r="R50" s="4"/>
      <c r="T50" s="4"/>
      <c r="V50" s="4"/>
      <c r="X50" s="4"/>
      <c r="Z50" s="4"/>
      <c r="AB50" s="4"/>
      <c r="AD50" s="4"/>
      <c r="AF50" s="4"/>
      <c r="AH50" s="4"/>
      <c r="AJ50" s="4"/>
      <c r="AL50" s="4"/>
      <c r="AN50" s="4"/>
      <c r="AP50" s="4"/>
      <c r="AR50" s="4"/>
      <c r="AT50" s="4"/>
      <c r="AU50" s="4"/>
      <c r="AV50" s="4"/>
      <c r="AW50" s="4"/>
      <c r="AX50" s="4"/>
      <c r="AY50" s="4"/>
      <c r="AZ50" s="4"/>
      <c r="BA50" s="4"/>
      <c r="BB50" s="4"/>
      <c r="BC50" s="4"/>
      <c r="BD50" s="4"/>
      <c r="BE50" s="4"/>
      <c r="BF50" s="4"/>
      <c r="BG50" s="4"/>
      <c r="BH50" s="4"/>
      <c r="BI50" s="4"/>
      <c r="BJ50" s="4"/>
      <c r="CF50" t="s">
        <v>113</v>
      </c>
      <c r="CG50" t="s">
        <v>114</v>
      </c>
      <c r="CH50" t="s">
        <v>115</v>
      </c>
      <c r="CI50" t="s">
        <v>116</v>
      </c>
    </row>
    <row r="51" spans="2:90" x14ac:dyDescent="0.25">
      <c r="B51" s="4" t="s">
        <v>89</v>
      </c>
      <c r="C51" s="63">
        <v>1</v>
      </c>
      <c r="D51" s="4">
        <f t="shared" ref="D51:AI51" si="23">AVERAGE(D4:D7)</f>
        <v>174.94318619126</v>
      </c>
      <c r="E51" s="4">
        <f t="shared" si="23"/>
        <v>5.1723938859974047E-3</v>
      </c>
      <c r="F51" s="4">
        <f t="shared" si="23"/>
        <v>42.114481079843465</v>
      </c>
      <c r="G51" s="4">
        <f t="shared" si="23"/>
        <v>0</v>
      </c>
      <c r="H51" s="4">
        <f t="shared" si="23"/>
        <v>7.8371614534380782</v>
      </c>
      <c r="I51" s="4">
        <f t="shared" si="23"/>
        <v>0</v>
      </c>
      <c r="J51" s="4">
        <f t="shared" si="23"/>
        <v>1.8840850181243944</v>
      </c>
      <c r="K51" s="4">
        <f t="shared" si="23"/>
        <v>0</v>
      </c>
      <c r="L51" s="4">
        <f t="shared" si="23"/>
        <v>32.91335064371772</v>
      </c>
      <c r="M51" s="4">
        <f t="shared" si="23"/>
        <v>2.5333937095100499E-4</v>
      </c>
      <c r="N51" s="4">
        <f t="shared" si="23"/>
        <v>0.20695650886551314</v>
      </c>
      <c r="O51" s="4">
        <f t="shared" si="23"/>
        <v>1.0040110226742674E-3</v>
      </c>
      <c r="P51" s="4">
        <f t="shared" si="23"/>
        <v>0.40858836169307472</v>
      </c>
      <c r="Q51" s="4">
        <f t="shared" si="23"/>
        <v>9.5267019176279253E-3</v>
      </c>
      <c r="R51" s="4">
        <f t="shared" si="23"/>
        <v>0.21028213091197012</v>
      </c>
      <c r="S51" s="4">
        <f t="shared" si="23"/>
        <v>6.4728707277456499E-4</v>
      </c>
      <c r="T51" s="4">
        <f t="shared" si="23"/>
        <v>0.28451861718023885</v>
      </c>
      <c r="U51" s="4">
        <f t="shared" si="23"/>
        <v>0</v>
      </c>
      <c r="V51" s="4">
        <f t="shared" si="23"/>
        <v>0.1674303660925579</v>
      </c>
      <c r="W51" s="4">
        <f t="shared" si="23"/>
        <v>0</v>
      </c>
      <c r="X51" s="4">
        <f t="shared" si="23"/>
        <v>0.12317348611750197</v>
      </c>
      <c r="Y51" s="4">
        <f t="shared" si="23"/>
        <v>0</v>
      </c>
      <c r="Z51" s="4">
        <f t="shared" si="23"/>
        <v>0.52828644008932035</v>
      </c>
      <c r="AA51" s="4">
        <f t="shared" si="23"/>
        <v>0</v>
      </c>
      <c r="AB51" s="4">
        <f t="shared" si="23"/>
        <v>0</v>
      </c>
      <c r="AC51" s="4">
        <f t="shared" si="23"/>
        <v>0</v>
      </c>
      <c r="AD51" s="4">
        <f t="shared" si="23"/>
        <v>0.90550813219752169</v>
      </c>
      <c r="AE51" s="4">
        <f t="shared" si="23"/>
        <v>0</v>
      </c>
      <c r="AF51" s="4">
        <f t="shared" si="23"/>
        <v>0.20936758002849637</v>
      </c>
      <c r="AG51" s="4">
        <f t="shared" si="23"/>
        <v>0</v>
      </c>
      <c r="AH51" s="4">
        <f t="shared" si="23"/>
        <v>49.138188011935938</v>
      </c>
      <c r="AI51" s="4">
        <f t="shared" si="23"/>
        <v>0</v>
      </c>
      <c r="AJ51" s="4">
        <f t="shared" ref="AJ51:BO51" si="24">AVERAGE(AJ4:AJ7)</f>
        <v>48.412844723986993</v>
      </c>
      <c r="AK51" s="4">
        <f t="shared" si="24"/>
        <v>0</v>
      </c>
      <c r="AL51" s="4">
        <f t="shared" si="24"/>
        <v>77.502826763399412</v>
      </c>
      <c r="AM51" s="4">
        <f t="shared" si="24"/>
        <v>0</v>
      </c>
      <c r="AN51" s="4">
        <f t="shared" si="24"/>
        <v>6.2965508709879749</v>
      </c>
      <c r="AO51" s="4">
        <f t="shared" si="24"/>
        <v>0</v>
      </c>
      <c r="AP51" s="4">
        <f t="shared" si="24"/>
        <v>5.3266419294575265</v>
      </c>
      <c r="AQ51" s="4">
        <f t="shared" si="24"/>
        <v>0</v>
      </c>
      <c r="AR51" s="4">
        <f t="shared" si="24"/>
        <v>1.0506098773269035</v>
      </c>
      <c r="AS51" s="4">
        <f t="shared" si="24"/>
        <v>0</v>
      </c>
      <c r="AT51" s="4">
        <f t="shared" si="24"/>
        <v>0</v>
      </c>
      <c r="AU51" s="4">
        <f t="shared" si="24"/>
        <v>0</v>
      </c>
      <c r="AV51" s="4">
        <f t="shared" si="24"/>
        <v>0.25339484701469761</v>
      </c>
      <c r="AW51" s="4">
        <f t="shared" si="24"/>
        <v>0</v>
      </c>
      <c r="AX51" s="4">
        <f t="shared" si="24"/>
        <v>9.1334586376837734</v>
      </c>
      <c r="AY51" s="4">
        <f t="shared" si="24"/>
        <v>1.3230305350351995E-5</v>
      </c>
      <c r="AZ51" s="4">
        <f t="shared" si="24"/>
        <v>0.11149121068407267</v>
      </c>
      <c r="BA51" s="4">
        <f t="shared" si="24"/>
        <v>0</v>
      </c>
      <c r="BB51" s="4">
        <f t="shared" si="24"/>
        <v>1.9916910551528572E-2</v>
      </c>
      <c r="BC51" s="4">
        <f t="shared" si="24"/>
        <v>0</v>
      </c>
      <c r="BD51" s="4">
        <f t="shared" si="24"/>
        <v>0.13862801736297889</v>
      </c>
      <c r="BE51" s="4">
        <f t="shared" si="24"/>
        <v>0</v>
      </c>
      <c r="BF51" s="4">
        <f t="shared" si="24"/>
        <v>0.58485508934526231</v>
      </c>
      <c r="BG51" s="4">
        <f t="shared" si="24"/>
        <v>0</v>
      </c>
      <c r="BH51" s="4">
        <f t="shared" si="24"/>
        <v>0.40489869131403922</v>
      </c>
      <c r="BI51" s="4">
        <f t="shared" si="24"/>
        <v>0</v>
      </c>
      <c r="BJ51" s="4">
        <f t="shared" si="24"/>
        <v>0.7733469951791585</v>
      </c>
      <c r="BK51" s="4">
        <f t="shared" si="24"/>
        <v>0</v>
      </c>
      <c r="BL51" s="4">
        <f t="shared" si="24"/>
        <v>0.20588088930538251</v>
      </c>
      <c r="BM51" s="4">
        <f t="shared" si="24"/>
        <v>0</v>
      </c>
      <c r="BN51" s="4">
        <f t="shared" si="24"/>
        <v>0</v>
      </c>
      <c r="BO51" s="4">
        <f t="shared" si="24"/>
        <v>0</v>
      </c>
      <c r="BP51" s="4">
        <f t="shared" ref="BP51:CC51" si="25">AVERAGE(BP4:BP7)</f>
        <v>7.4132099676053507</v>
      </c>
      <c r="BQ51" s="4">
        <f t="shared" si="25"/>
        <v>0</v>
      </c>
      <c r="BR51" s="4">
        <f t="shared" si="25"/>
        <v>95.473585232963842</v>
      </c>
      <c r="BS51" s="4">
        <f t="shared" si="25"/>
        <v>0</v>
      </c>
      <c r="BT51" s="4">
        <f t="shared" si="25"/>
        <v>61.507040737694766</v>
      </c>
      <c r="BU51" s="4">
        <f t="shared" si="25"/>
        <v>0</v>
      </c>
      <c r="BV51" s="4">
        <f t="shared" si="25"/>
        <v>37.804323845825451</v>
      </c>
      <c r="BW51" s="4">
        <f t="shared" si="25"/>
        <v>0</v>
      </c>
      <c r="BX51" s="4">
        <f t="shared" si="25"/>
        <v>20.991912309041862</v>
      </c>
      <c r="BY51" s="4">
        <f t="shared" si="25"/>
        <v>0</v>
      </c>
      <c r="BZ51" s="4">
        <f t="shared" si="25"/>
        <v>22.595168661807797</v>
      </c>
      <c r="CA51" s="4">
        <f t="shared" si="25"/>
        <v>0</v>
      </c>
      <c r="CB51" s="4">
        <f t="shared" si="25"/>
        <v>6.3092202705548059</v>
      </c>
      <c r="CC51" s="4">
        <f t="shared" si="25"/>
        <v>1.1444569689378115E-2</v>
      </c>
      <c r="CD51" s="4">
        <f t="shared" ref="CD51:CE60" si="26">SUM(D51,F51,H51,J51,L51,N51,P51,R51,T51,V51,X51,Z51,AB51,AD51,AF51,AH51,AJ51,AL51,AN51,AP51,AR51,AT51,AV51,AX51,AZ51,BB51,BD51,BF51,BH51,BJ51,BL51,BN51,BP51,BR51,BT51,BV51,BX51,BZ51)</f>
        <v>707.87515023003448</v>
      </c>
      <c r="CE51" s="4">
        <f t="shared" si="26"/>
        <v>1.661696357537552E-2</v>
      </c>
      <c r="CF51" s="4">
        <f>SUM(D51,F51,H51,J51,L51,N51,P51,R51,T51,V51,X51)</f>
        <v>261.09321385724456</v>
      </c>
      <c r="CG51" s="4">
        <f>SUM(AT51,AV51,AX51,AZ51,BB51,BD51,BF51,BH51,BJ51)</f>
        <v>11.419990399135511</v>
      </c>
      <c r="CH51" s="4">
        <f>SUM(Z51,AB51,AD51,AF51,AH51,AJ51,AL51,AN51,AP51,AR51)</f>
        <v>189.37082432941008</v>
      </c>
      <c r="CI51" s="4">
        <f>SUM(BL51,BN51,BP51,BR51,BT51,BV51,BX51,BZ51)</f>
        <v>245.99112164424446</v>
      </c>
      <c r="CK51">
        <f>AVERAGE(CD51:CD55)</f>
        <v>1126.0540724635916</v>
      </c>
      <c r="CL51">
        <f>AVERAGE(CE51:CE55)</f>
        <v>28.009487542672879</v>
      </c>
    </row>
    <row r="52" spans="2:90" x14ac:dyDescent="0.25">
      <c r="B52" s="4"/>
      <c r="C52" s="63">
        <v>5</v>
      </c>
      <c r="D52" s="4">
        <f t="shared" ref="D52:AI52" si="27">AVERAGE(D8:D11)</f>
        <v>172.55025729380066</v>
      </c>
      <c r="E52" s="4">
        <f t="shared" si="27"/>
        <v>0.85321208016812011</v>
      </c>
      <c r="F52" s="4">
        <f t="shared" si="27"/>
        <v>40.583648136263442</v>
      </c>
      <c r="G52" s="4">
        <f t="shared" si="27"/>
        <v>1.3417906553632578E-2</v>
      </c>
      <c r="H52" s="4">
        <f t="shared" si="27"/>
        <v>8.9387467419751303</v>
      </c>
      <c r="I52" s="4">
        <f t="shared" si="27"/>
        <v>0</v>
      </c>
      <c r="J52" s="4">
        <f t="shared" si="27"/>
        <v>2.7605349244588533</v>
      </c>
      <c r="K52" s="4">
        <f t="shared" si="27"/>
        <v>0</v>
      </c>
      <c r="L52" s="4">
        <f t="shared" si="27"/>
        <v>52.628559747525046</v>
      </c>
      <c r="M52" s="4">
        <f t="shared" si="27"/>
        <v>7.117249006218368E-2</v>
      </c>
      <c r="N52" s="4">
        <f t="shared" si="27"/>
        <v>0.38618262110255053</v>
      </c>
      <c r="O52" s="4">
        <f t="shared" si="27"/>
        <v>3.4768101231260175E-3</v>
      </c>
      <c r="P52" s="4">
        <f t="shared" si="27"/>
        <v>0.95992861357052561</v>
      </c>
      <c r="Q52" s="4">
        <f t="shared" si="27"/>
        <v>2.0213739617112324E-2</v>
      </c>
      <c r="R52" s="4">
        <f t="shared" si="27"/>
        <v>0.53897320576267504</v>
      </c>
      <c r="S52" s="4">
        <f t="shared" si="27"/>
        <v>5.5917078665083803E-3</v>
      </c>
      <c r="T52" s="4">
        <f t="shared" si="27"/>
        <v>0.79266203665573742</v>
      </c>
      <c r="U52" s="4">
        <f t="shared" si="27"/>
        <v>1.97412126330273E-3</v>
      </c>
      <c r="V52" s="4">
        <f t="shared" si="27"/>
        <v>0.49535022842932763</v>
      </c>
      <c r="W52" s="4">
        <f t="shared" si="27"/>
        <v>0</v>
      </c>
      <c r="X52" s="4">
        <f t="shared" si="27"/>
        <v>0.35040926588403248</v>
      </c>
      <c r="Y52" s="4">
        <f t="shared" si="27"/>
        <v>0</v>
      </c>
      <c r="Z52" s="4">
        <f t="shared" si="27"/>
        <v>0.63234551943528439</v>
      </c>
      <c r="AA52" s="4">
        <f t="shared" si="27"/>
        <v>0</v>
      </c>
      <c r="AB52" s="4">
        <f t="shared" si="27"/>
        <v>0</v>
      </c>
      <c r="AC52" s="4">
        <f t="shared" si="27"/>
        <v>0</v>
      </c>
      <c r="AD52" s="4">
        <f t="shared" si="27"/>
        <v>1.0394325474807991</v>
      </c>
      <c r="AE52" s="4">
        <f t="shared" si="27"/>
        <v>0</v>
      </c>
      <c r="AF52" s="4">
        <f t="shared" si="27"/>
        <v>0.36172652046195153</v>
      </c>
      <c r="AG52" s="4">
        <f t="shared" si="27"/>
        <v>0</v>
      </c>
      <c r="AH52" s="4">
        <f t="shared" si="27"/>
        <v>107.6981278245207</v>
      </c>
      <c r="AI52" s="4">
        <f t="shared" si="27"/>
        <v>0.76866936520161011</v>
      </c>
      <c r="AJ52" s="4">
        <f t="shared" ref="AJ52:BO52" si="28">AVERAGE(AJ8:AJ11)</f>
        <v>107.00052868222582</v>
      </c>
      <c r="AK52" s="4">
        <f t="shared" si="28"/>
        <v>0.47404368291357957</v>
      </c>
      <c r="AL52" s="4">
        <f t="shared" si="28"/>
        <v>186.50743612315901</v>
      </c>
      <c r="AM52" s="4">
        <f t="shared" si="28"/>
        <v>0.3304335211617157</v>
      </c>
      <c r="AN52" s="4">
        <f t="shared" si="28"/>
        <v>24.503443624397423</v>
      </c>
      <c r="AO52" s="4">
        <f t="shared" si="28"/>
        <v>3.172583200893675E-2</v>
      </c>
      <c r="AP52" s="4">
        <f t="shared" si="28"/>
        <v>20.833200892598349</v>
      </c>
      <c r="AQ52" s="4">
        <f t="shared" si="28"/>
        <v>1.1606909627734998E-2</v>
      </c>
      <c r="AR52" s="4">
        <f t="shared" si="28"/>
        <v>5.0875445544118971</v>
      </c>
      <c r="AS52" s="4">
        <f t="shared" si="28"/>
        <v>0</v>
      </c>
      <c r="AT52" s="4">
        <f t="shared" si="28"/>
        <v>0</v>
      </c>
      <c r="AU52" s="4">
        <f t="shared" si="28"/>
        <v>0</v>
      </c>
      <c r="AV52" s="4">
        <f t="shared" si="28"/>
        <v>0.43714189734942899</v>
      </c>
      <c r="AW52" s="4">
        <f t="shared" si="28"/>
        <v>0</v>
      </c>
      <c r="AX52" s="4">
        <f t="shared" si="28"/>
        <v>16.591308447039602</v>
      </c>
      <c r="AY52" s="4">
        <f t="shared" si="28"/>
        <v>6.6656346684719038E-3</v>
      </c>
      <c r="AZ52" s="4">
        <f t="shared" si="28"/>
        <v>0.20444843670944568</v>
      </c>
      <c r="BA52" s="4">
        <f t="shared" si="28"/>
        <v>4.1172349751166751E-4</v>
      </c>
      <c r="BB52" s="4">
        <f t="shared" si="28"/>
        <v>0.16960943959123462</v>
      </c>
      <c r="BC52" s="4">
        <f t="shared" si="28"/>
        <v>0</v>
      </c>
      <c r="BD52" s="4">
        <f t="shared" si="28"/>
        <v>0.51812802519687484</v>
      </c>
      <c r="BE52" s="4">
        <f t="shared" si="28"/>
        <v>0</v>
      </c>
      <c r="BF52" s="4">
        <f t="shared" si="28"/>
        <v>2.3449070878245095</v>
      </c>
      <c r="BG52" s="4">
        <f t="shared" si="28"/>
        <v>7.0205606805730182E-4</v>
      </c>
      <c r="BH52" s="4">
        <f t="shared" si="28"/>
        <v>1.4483619134168007</v>
      </c>
      <c r="BI52" s="4">
        <f t="shared" si="28"/>
        <v>2.5133203793562845E-3</v>
      </c>
      <c r="BJ52" s="4">
        <f t="shared" si="28"/>
        <v>2.2616032257494196</v>
      </c>
      <c r="BK52" s="4">
        <f t="shared" si="28"/>
        <v>2.7415149856105272E-3</v>
      </c>
      <c r="BL52" s="4">
        <f t="shared" si="28"/>
        <v>0.21289956715955391</v>
      </c>
      <c r="BM52" s="4">
        <f t="shared" si="28"/>
        <v>0</v>
      </c>
      <c r="BN52" s="4">
        <f t="shared" si="28"/>
        <v>0</v>
      </c>
      <c r="BO52" s="4">
        <f t="shared" si="28"/>
        <v>0</v>
      </c>
      <c r="BP52" s="4">
        <f t="shared" ref="BP52:CC52" si="29">AVERAGE(BP8:BP11)</f>
        <v>17.867613808849956</v>
      </c>
      <c r="BQ52" s="4">
        <f t="shared" si="29"/>
        <v>0.14172760057861289</v>
      </c>
      <c r="BR52" s="4">
        <f t="shared" si="29"/>
        <v>232.68122448949794</v>
      </c>
      <c r="BS52" s="4">
        <f t="shared" si="29"/>
        <v>0.80640764981079505</v>
      </c>
      <c r="BT52" s="4">
        <f t="shared" si="29"/>
        <v>172.43337110671223</v>
      </c>
      <c r="BU52" s="4">
        <f t="shared" si="29"/>
        <v>0.20883309613596324</v>
      </c>
      <c r="BV52" s="4">
        <f t="shared" si="29"/>
        <v>137.76974280995077</v>
      </c>
      <c r="BW52" s="4">
        <f t="shared" si="29"/>
        <v>0.18899551615248475</v>
      </c>
      <c r="BX52" s="4">
        <f t="shared" si="29"/>
        <v>83.664403990786809</v>
      </c>
      <c r="BY52" s="4">
        <f t="shared" si="29"/>
        <v>5.4757186843355177E-2</v>
      </c>
      <c r="BZ52" s="4">
        <f t="shared" si="29"/>
        <v>89.578592344575796</v>
      </c>
      <c r="CA52" s="4">
        <f t="shared" si="29"/>
        <v>2.5464359033751355E-2</v>
      </c>
      <c r="CB52" s="4">
        <f t="shared" si="29"/>
        <v>14.662312961598651</v>
      </c>
      <c r="CC52" s="4">
        <f t="shared" si="29"/>
        <v>0.15434538411862475</v>
      </c>
      <c r="CD52" s="4">
        <f t="shared" si="26"/>
        <v>1492.8323956945294</v>
      </c>
      <c r="CE52" s="4">
        <f t="shared" si="26"/>
        <v>4.0247578247215339</v>
      </c>
      <c r="CF52" s="4">
        <f t="shared" ref="CF52:CF60" si="30">SUM(D52,F52,H52,J52,L52,N52,P52,R52,T52,V52,X52)</f>
        <v>280.98525281542794</v>
      </c>
      <c r="CG52" s="4">
        <f t="shared" ref="CG52:CG60" si="31">SUM(AT52,AV52,AX52,AZ52,BB52,BD52,BF52,BH52,BJ52)</f>
        <v>23.975508472877312</v>
      </c>
      <c r="CH52" s="4">
        <f t="shared" ref="CH52:CH60" si="32">SUM(Z52,AB52,AD52,AF52,AH52,AJ52,AL52,AN52,AP52,AR52)</f>
        <v>453.66378628869126</v>
      </c>
      <c r="CI52" s="4">
        <f t="shared" ref="CI52:CI60" si="33">SUM(BL52,BN52,BP52,BR52,BT52,BV52,BX52,BZ52)</f>
        <v>734.2078481175331</v>
      </c>
      <c r="CK52">
        <f>_xlfn.STDEV.P(CD51:CD55)</f>
        <v>404.95478217555069</v>
      </c>
      <c r="CL52">
        <f>_xlfn.STDEV.P(CE51:CE55)</f>
        <v>22.325443739036562</v>
      </c>
    </row>
    <row r="53" spans="2:90" x14ac:dyDescent="0.25">
      <c r="B53" s="4"/>
      <c r="C53" s="63">
        <v>17</v>
      </c>
      <c r="D53" s="4">
        <f t="shared" ref="D53:AI53" si="34">AVERAGE(D13:D16)</f>
        <v>218.376371445464</v>
      </c>
      <c r="E53" s="4">
        <f t="shared" si="34"/>
        <v>2.3089174589498578</v>
      </c>
      <c r="F53" s="4">
        <f t="shared" si="34"/>
        <v>53.105685457190098</v>
      </c>
      <c r="G53" s="4">
        <f t="shared" si="34"/>
        <v>4.0332966435350448E-2</v>
      </c>
      <c r="H53" s="4">
        <f t="shared" si="34"/>
        <v>11.2437509363321</v>
      </c>
      <c r="I53" s="4">
        <f t="shared" si="34"/>
        <v>0</v>
      </c>
      <c r="J53" s="4">
        <f t="shared" si="34"/>
        <v>3.3347835682208702</v>
      </c>
      <c r="K53" s="4">
        <f t="shared" si="34"/>
        <v>0</v>
      </c>
      <c r="L53" s="4">
        <f t="shared" si="34"/>
        <v>77.045806591399412</v>
      </c>
      <c r="M53" s="4">
        <f t="shared" si="34"/>
        <v>0.1414289265028722</v>
      </c>
      <c r="N53" s="4">
        <f t="shared" si="34"/>
        <v>0.39748327683575796</v>
      </c>
      <c r="O53" s="4">
        <f t="shared" si="34"/>
        <v>9.7374995094770336E-3</v>
      </c>
      <c r="P53" s="4">
        <f t="shared" si="34"/>
        <v>0.90041145810422996</v>
      </c>
      <c r="Q53" s="4">
        <f t="shared" si="34"/>
        <v>5.8444619636963291E-2</v>
      </c>
      <c r="R53" s="4">
        <f t="shared" si="34"/>
        <v>0.59737938427432902</v>
      </c>
      <c r="S53" s="4">
        <f t="shared" si="34"/>
        <v>2.8027010168973979E-2</v>
      </c>
      <c r="T53" s="4">
        <f t="shared" si="34"/>
        <v>0.83409934677813502</v>
      </c>
      <c r="U53" s="4">
        <f t="shared" si="34"/>
        <v>2.3854710311027448E-2</v>
      </c>
      <c r="V53" s="4">
        <f t="shared" si="34"/>
        <v>0.53578700364111598</v>
      </c>
      <c r="W53" s="4">
        <f t="shared" si="34"/>
        <v>8.3714475931800682E-3</v>
      </c>
      <c r="X53" s="4">
        <f t="shared" si="34"/>
        <v>0.41609464937940499</v>
      </c>
      <c r="Y53" s="4">
        <f t="shared" si="34"/>
        <v>1.9510441128170802E-3</v>
      </c>
      <c r="Z53" s="4">
        <f t="shared" si="34"/>
        <v>0.79719931461819704</v>
      </c>
      <c r="AA53" s="4">
        <f t="shared" si="34"/>
        <v>0</v>
      </c>
      <c r="AB53" s="4">
        <f t="shared" si="34"/>
        <v>0</v>
      </c>
      <c r="AC53" s="4">
        <f t="shared" si="34"/>
        <v>0</v>
      </c>
      <c r="AD53" s="4">
        <f t="shared" si="34"/>
        <v>1.19410425279479</v>
      </c>
      <c r="AE53" s="4">
        <f t="shared" si="34"/>
        <v>1.1669057824726343E-2</v>
      </c>
      <c r="AF53" s="4">
        <f t="shared" si="34"/>
        <v>0.33223387645118996</v>
      </c>
      <c r="AG53" s="4">
        <f t="shared" si="34"/>
        <v>8.0804028258339468E-3</v>
      </c>
      <c r="AH53" s="4">
        <f t="shared" si="34"/>
        <v>110.36203337917699</v>
      </c>
      <c r="AI53" s="4">
        <f t="shared" si="34"/>
        <v>7.4547068733911726</v>
      </c>
      <c r="AJ53" s="4">
        <f t="shared" ref="AJ53:BO53" si="35">AVERAGE(AJ13:AJ16)</f>
        <v>116.368513359074</v>
      </c>
      <c r="AK53" s="4">
        <f t="shared" si="35"/>
        <v>4.7880910271523653</v>
      </c>
      <c r="AL53" s="4">
        <f t="shared" si="35"/>
        <v>208.901888897612</v>
      </c>
      <c r="AM53" s="4">
        <f t="shared" si="35"/>
        <v>2.7656977465827026</v>
      </c>
      <c r="AN53" s="4">
        <f t="shared" si="35"/>
        <v>24.055441471286201</v>
      </c>
      <c r="AO53" s="4">
        <f t="shared" si="35"/>
        <v>0.25512834508986248</v>
      </c>
      <c r="AP53" s="4">
        <f t="shared" si="35"/>
        <v>22.0436688310037</v>
      </c>
      <c r="AQ53" s="4">
        <f t="shared" si="35"/>
        <v>0.12933294383887428</v>
      </c>
      <c r="AR53" s="4">
        <f t="shared" si="35"/>
        <v>4.7982055111767501</v>
      </c>
      <c r="AS53" s="4">
        <f t="shared" si="35"/>
        <v>1.5083610966765599E-2</v>
      </c>
      <c r="AT53" s="4">
        <f t="shared" si="35"/>
        <v>0</v>
      </c>
      <c r="AU53" s="4">
        <f t="shared" si="35"/>
        <v>0</v>
      </c>
      <c r="AV53" s="4">
        <f t="shared" si="35"/>
        <v>0.38373492039532697</v>
      </c>
      <c r="AW53" s="4">
        <f t="shared" si="35"/>
        <v>0</v>
      </c>
      <c r="AX53" s="4">
        <f t="shared" si="35"/>
        <v>21.472340384024399</v>
      </c>
      <c r="AY53" s="4">
        <f t="shared" si="35"/>
        <v>1.6566822189054919E-2</v>
      </c>
      <c r="AZ53" s="4">
        <f t="shared" si="35"/>
        <v>0.26380949213907701</v>
      </c>
      <c r="BA53" s="4">
        <f t="shared" si="35"/>
        <v>1.4264531186678039E-3</v>
      </c>
      <c r="BB53" s="4">
        <f t="shared" si="35"/>
        <v>0.15888313030511553</v>
      </c>
      <c r="BC53" s="4">
        <f t="shared" si="35"/>
        <v>7.0955579918327496E-4</v>
      </c>
      <c r="BD53" s="4">
        <f t="shared" si="35"/>
        <v>0.40669477758276495</v>
      </c>
      <c r="BE53" s="4">
        <f t="shared" si="35"/>
        <v>9.5527262010306237E-3</v>
      </c>
      <c r="BF53" s="4">
        <f t="shared" si="35"/>
        <v>2.7602047254563282</v>
      </c>
      <c r="BG53" s="4">
        <f t="shared" si="35"/>
        <v>3.5557836605531926E-2</v>
      </c>
      <c r="BH53" s="4">
        <f t="shared" si="35"/>
        <v>1.5991733186905421</v>
      </c>
      <c r="BI53" s="4">
        <f t="shared" si="35"/>
        <v>2.0303427222428429E-2</v>
      </c>
      <c r="BJ53" s="4">
        <f t="shared" si="35"/>
        <v>2.0541929666236749</v>
      </c>
      <c r="BK53" s="4">
        <f t="shared" si="35"/>
        <v>1.4997562172844203E-2</v>
      </c>
      <c r="BL53" s="4">
        <f t="shared" si="35"/>
        <v>0.2030070180817605</v>
      </c>
      <c r="BM53" s="4">
        <f t="shared" si="35"/>
        <v>0</v>
      </c>
      <c r="BN53" s="4">
        <f t="shared" si="35"/>
        <v>0</v>
      </c>
      <c r="BO53" s="4">
        <f t="shared" si="35"/>
        <v>0</v>
      </c>
      <c r="BP53" s="4">
        <f t="shared" ref="BP53:CC53" si="36">AVERAGE(BP13:BP16)</f>
        <v>17.930209122602253</v>
      </c>
      <c r="BQ53" s="4">
        <f t="shared" si="36"/>
        <v>0.99622041122724947</v>
      </c>
      <c r="BR53" s="4">
        <f t="shared" si="36"/>
        <v>252.31629336598149</v>
      </c>
      <c r="BS53" s="4">
        <f t="shared" si="36"/>
        <v>10.134075497016578</v>
      </c>
      <c r="BT53" s="4">
        <f t="shared" si="36"/>
        <v>199.02908846975811</v>
      </c>
      <c r="BU53" s="4">
        <f t="shared" si="36"/>
        <v>2.0577039885451338</v>
      </c>
      <c r="BV53" s="4">
        <f t="shared" si="36"/>
        <v>163.23895821010387</v>
      </c>
      <c r="BW53" s="4">
        <f t="shared" si="36"/>
        <v>1.1944071029853354</v>
      </c>
      <c r="BX53" s="4">
        <f t="shared" si="36"/>
        <v>95.938403390697857</v>
      </c>
      <c r="BY53" s="4">
        <f t="shared" si="36"/>
        <v>0.26709595247278245</v>
      </c>
      <c r="BZ53" s="4">
        <f t="shared" si="36"/>
        <v>106.23086859369408</v>
      </c>
      <c r="CA53" s="4">
        <f t="shared" si="36"/>
        <v>0.12181007200107703</v>
      </c>
      <c r="CB53" s="4">
        <f t="shared" si="36"/>
        <v>15.772165209496059</v>
      </c>
      <c r="CC53" s="4">
        <f t="shared" si="36"/>
        <v>0.56790575119780562</v>
      </c>
      <c r="CD53" s="4">
        <f t="shared" si="26"/>
        <v>1719.6268038969502</v>
      </c>
      <c r="CE53" s="4">
        <f t="shared" si="26"/>
        <v>32.919283098449718</v>
      </c>
      <c r="CF53" s="4">
        <f t="shared" si="30"/>
        <v>366.78765311761953</v>
      </c>
      <c r="CG53" s="4">
        <f t="shared" si="31"/>
        <v>29.099033715217232</v>
      </c>
      <c r="CH53" s="4">
        <f t="shared" si="32"/>
        <v>488.85328889319385</v>
      </c>
      <c r="CI53" s="4">
        <f t="shared" si="33"/>
        <v>834.88682817091944</v>
      </c>
    </row>
    <row r="54" spans="2:90" x14ac:dyDescent="0.25">
      <c r="B54" s="4"/>
      <c r="C54" s="63">
        <v>38</v>
      </c>
      <c r="D54" s="4">
        <f t="shared" ref="D54:AI54" si="37">AVERAGE(D19:D22)</f>
        <v>155.47020090144011</v>
      </c>
      <c r="E54" s="4">
        <f t="shared" si="37"/>
        <v>0.61947876401251878</v>
      </c>
      <c r="F54" s="4">
        <f t="shared" si="37"/>
        <v>37.090027792033517</v>
      </c>
      <c r="G54" s="4">
        <f t="shared" si="37"/>
        <v>1.5853995684656501E-2</v>
      </c>
      <c r="H54" s="4">
        <f t="shared" si="37"/>
        <v>8.0491206778539865</v>
      </c>
      <c r="I54" s="4">
        <f t="shared" si="37"/>
        <v>0</v>
      </c>
      <c r="J54" s="4">
        <f t="shared" si="37"/>
        <v>1.7629997888338071</v>
      </c>
      <c r="K54" s="4">
        <f t="shared" si="37"/>
        <v>0</v>
      </c>
      <c r="L54" s="4">
        <f t="shared" si="37"/>
        <v>27.926420806537408</v>
      </c>
      <c r="M54" s="4">
        <f t="shared" si="37"/>
        <v>2.5698304791204801E-2</v>
      </c>
      <c r="N54" s="4">
        <f t="shared" si="37"/>
        <v>0.22179836975832079</v>
      </c>
      <c r="O54" s="4">
        <f t="shared" si="37"/>
        <v>4.4841359669472742E-3</v>
      </c>
      <c r="P54" s="4">
        <f t="shared" si="37"/>
        <v>0.50418508967587095</v>
      </c>
      <c r="Q54" s="4">
        <f t="shared" si="37"/>
        <v>7.2693502659969059E-2</v>
      </c>
      <c r="R54" s="4">
        <f t="shared" si="37"/>
        <v>0.22197198355747338</v>
      </c>
      <c r="S54" s="4">
        <f t="shared" si="37"/>
        <v>3.8092317237744699E-2</v>
      </c>
      <c r="T54" s="4">
        <f t="shared" si="37"/>
        <v>0.28378982277853176</v>
      </c>
      <c r="U54" s="4">
        <f t="shared" si="37"/>
        <v>2.8409015678178148E-2</v>
      </c>
      <c r="V54" s="4">
        <f t="shared" si="37"/>
        <v>0.14252656987057394</v>
      </c>
      <c r="W54" s="4">
        <f t="shared" si="37"/>
        <v>1.0017572817538165E-2</v>
      </c>
      <c r="X54" s="4">
        <f t="shared" si="37"/>
        <v>0.10102500597245961</v>
      </c>
      <c r="Y54" s="4">
        <f t="shared" si="37"/>
        <v>1.751743256959135E-3</v>
      </c>
      <c r="Z54" s="4">
        <f t="shared" si="37"/>
        <v>0.71331767181043659</v>
      </c>
      <c r="AA54" s="4">
        <f t="shared" si="37"/>
        <v>0</v>
      </c>
      <c r="AB54" s="4">
        <f t="shared" si="37"/>
        <v>0</v>
      </c>
      <c r="AC54" s="4">
        <f t="shared" si="37"/>
        <v>0</v>
      </c>
      <c r="AD54" s="4">
        <f t="shared" si="37"/>
        <v>0.81463041090390254</v>
      </c>
      <c r="AE54" s="4">
        <f t="shared" si="37"/>
        <v>1.9639776176058475E-2</v>
      </c>
      <c r="AF54" s="4">
        <f t="shared" si="37"/>
        <v>0.20024382012773187</v>
      </c>
      <c r="AG54" s="4">
        <f t="shared" si="37"/>
        <v>1.5628639064206949E-2</v>
      </c>
      <c r="AH54" s="4">
        <f t="shared" si="37"/>
        <v>58.639419751260618</v>
      </c>
      <c r="AI54" s="4">
        <f t="shared" si="37"/>
        <v>11.605000344309133</v>
      </c>
      <c r="AJ54" s="4">
        <f t="shared" ref="AJ54:BO54" si="38">AVERAGE(AJ19:AJ22)</f>
        <v>77.958307148240607</v>
      </c>
      <c r="AK54" s="4">
        <f t="shared" si="38"/>
        <v>9.1402489407894727</v>
      </c>
      <c r="AL54" s="4">
        <f t="shared" si="38"/>
        <v>79.505231826687506</v>
      </c>
      <c r="AM54" s="4">
        <f t="shared" si="38"/>
        <v>3.6659224497913052</v>
      </c>
      <c r="AN54" s="4">
        <f t="shared" si="38"/>
        <v>6.5710760996155164</v>
      </c>
      <c r="AO54" s="4">
        <f t="shared" si="38"/>
        <v>0.29728735555045505</v>
      </c>
      <c r="AP54" s="4">
        <f t="shared" si="38"/>
        <v>5.0083262007883871</v>
      </c>
      <c r="AQ54" s="4">
        <f t="shared" si="38"/>
        <v>0.13548303765611597</v>
      </c>
      <c r="AR54" s="4">
        <f t="shared" si="38"/>
        <v>1.1469450474711063</v>
      </c>
      <c r="AS54" s="4">
        <f t="shared" si="38"/>
        <v>2.2057276647693649E-2</v>
      </c>
      <c r="AT54" s="4">
        <f t="shared" si="38"/>
        <v>0</v>
      </c>
      <c r="AU54" s="4">
        <f t="shared" si="38"/>
        <v>0</v>
      </c>
      <c r="AV54" s="4">
        <f t="shared" si="38"/>
        <v>0.30935189510169997</v>
      </c>
      <c r="AW54" s="4">
        <f t="shared" si="38"/>
        <v>0</v>
      </c>
      <c r="AX54" s="4">
        <f t="shared" si="38"/>
        <v>6.8426307821480634</v>
      </c>
      <c r="AY54" s="4">
        <f t="shared" si="38"/>
        <v>3.3886488638472266E-3</v>
      </c>
      <c r="AZ54" s="4">
        <f t="shared" si="38"/>
        <v>4.6627031360728328E-2</v>
      </c>
      <c r="BA54" s="4">
        <f t="shared" si="38"/>
        <v>6.5905630316147123E-5</v>
      </c>
      <c r="BB54" s="4">
        <f t="shared" si="38"/>
        <v>2.3388949583332007E-2</v>
      </c>
      <c r="BC54" s="4">
        <f t="shared" si="38"/>
        <v>3.4930438908842999E-3</v>
      </c>
      <c r="BD54" s="4">
        <f t="shared" si="38"/>
        <v>0.17730225701107249</v>
      </c>
      <c r="BE54" s="4">
        <f t="shared" si="38"/>
        <v>1.5172736562437047E-2</v>
      </c>
      <c r="BF54" s="4">
        <f t="shared" si="38"/>
        <v>0.62010145224592939</v>
      </c>
      <c r="BG54" s="4">
        <f t="shared" si="38"/>
        <v>4.9795363117221818E-2</v>
      </c>
      <c r="BH54" s="4">
        <f t="shared" si="38"/>
        <v>0.31332968671912054</v>
      </c>
      <c r="BI54" s="4">
        <f t="shared" si="38"/>
        <v>1.6244120266830316E-2</v>
      </c>
      <c r="BJ54" s="4">
        <f t="shared" si="38"/>
        <v>0.55487205952460772</v>
      </c>
      <c r="BK54" s="4">
        <f t="shared" si="38"/>
        <v>4.8260881816243545E-3</v>
      </c>
      <c r="BL54" s="4">
        <f t="shared" si="38"/>
        <v>0.19405605273753757</v>
      </c>
      <c r="BM54" s="4">
        <f t="shared" si="38"/>
        <v>0</v>
      </c>
      <c r="BN54" s="4">
        <f t="shared" si="38"/>
        <v>0</v>
      </c>
      <c r="BO54" s="4">
        <f t="shared" si="38"/>
        <v>0</v>
      </c>
      <c r="BP54" s="4">
        <f t="shared" ref="BP54:CC54" si="39">AVERAGE(BP19:BP22)</f>
        <v>7.5286040622558001</v>
      </c>
      <c r="BQ54" s="4">
        <f t="shared" si="39"/>
        <v>2.1150749164059017</v>
      </c>
      <c r="BR54" s="4">
        <f t="shared" si="39"/>
        <v>138.46662341183415</v>
      </c>
      <c r="BS54" s="4">
        <f t="shared" si="39"/>
        <v>19.204016230503196</v>
      </c>
      <c r="BT54" s="4">
        <f t="shared" si="39"/>
        <v>77.050581745597441</v>
      </c>
      <c r="BU54" s="4">
        <f t="shared" si="39"/>
        <v>2.6862473119152526</v>
      </c>
      <c r="BV54" s="4">
        <f t="shared" si="39"/>
        <v>42.034433392079691</v>
      </c>
      <c r="BW54" s="4">
        <f t="shared" si="39"/>
        <v>0.73668682239732575</v>
      </c>
      <c r="BX54" s="4">
        <f t="shared" si="39"/>
        <v>21.446036836039834</v>
      </c>
      <c r="BY54" s="4">
        <f t="shared" si="39"/>
        <v>0.1014179690881214</v>
      </c>
      <c r="BZ54" s="4">
        <f t="shared" si="39"/>
        <v>22.068410639462034</v>
      </c>
      <c r="CA54" s="4">
        <f t="shared" si="39"/>
        <v>3.3668774822408515E-2</v>
      </c>
      <c r="CB54" s="4">
        <f t="shared" si="39"/>
        <v>6.1968314539316953</v>
      </c>
      <c r="CC54" s="4">
        <f t="shared" si="39"/>
        <v>0.38098096131672654</v>
      </c>
      <c r="CD54" s="4">
        <f t="shared" si="26"/>
        <v>780.0079150389189</v>
      </c>
      <c r="CE54" s="4">
        <f t="shared" si="26"/>
        <v>50.687845103735519</v>
      </c>
      <c r="CF54" s="4">
        <f t="shared" si="30"/>
        <v>231.77406680831203</v>
      </c>
      <c r="CG54" s="4">
        <f t="shared" si="31"/>
        <v>8.8876041136945521</v>
      </c>
      <c r="CH54" s="4">
        <f t="shared" si="32"/>
        <v>230.55749797690578</v>
      </c>
      <c r="CI54" s="4">
        <f t="shared" si="33"/>
        <v>308.78874614000648</v>
      </c>
    </row>
    <row r="55" spans="2:90" x14ac:dyDescent="0.25">
      <c r="B55" s="4"/>
      <c r="C55" s="63">
        <v>54</v>
      </c>
      <c r="D55" s="4">
        <f t="shared" ref="D55:AI55" si="40">AVERAGE(D24:D27)</f>
        <v>146.425504220753</v>
      </c>
      <c r="E55" s="4">
        <f t="shared" si="40"/>
        <v>0.93878124748748693</v>
      </c>
      <c r="F55" s="4">
        <f t="shared" si="40"/>
        <v>39.474002096377198</v>
      </c>
      <c r="G55" s="4">
        <f t="shared" si="40"/>
        <v>1.9572606556625478E-2</v>
      </c>
      <c r="H55" s="4">
        <f t="shared" si="40"/>
        <v>10.412261070908901</v>
      </c>
      <c r="I55" s="4">
        <f t="shared" si="40"/>
        <v>0</v>
      </c>
      <c r="J55" s="4">
        <f t="shared" si="40"/>
        <v>3.10841470884594</v>
      </c>
      <c r="K55" s="4">
        <f t="shared" si="40"/>
        <v>0</v>
      </c>
      <c r="L55" s="4">
        <f t="shared" si="40"/>
        <v>64.349862861675902</v>
      </c>
      <c r="M55" s="4">
        <f t="shared" si="40"/>
        <v>3.641465374733014E-2</v>
      </c>
      <c r="N55" s="4">
        <f t="shared" si="40"/>
        <v>0.33704811618345898</v>
      </c>
      <c r="O55" s="4">
        <f t="shared" si="40"/>
        <v>2.8477948201427973E-3</v>
      </c>
      <c r="P55" s="4">
        <f t="shared" si="40"/>
        <v>0.61942591056679708</v>
      </c>
      <c r="Q55" s="4">
        <f t="shared" si="40"/>
        <v>6.9340278462715399E-2</v>
      </c>
      <c r="R55" s="4">
        <f t="shared" si="40"/>
        <v>0.28389636812834901</v>
      </c>
      <c r="S55" s="4">
        <f t="shared" si="40"/>
        <v>3.2621673697004923E-2</v>
      </c>
      <c r="T55" s="4">
        <f t="shared" si="40"/>
        <v>0.35383699277453601</v>
      </c>
      <c r="U55" s="4">
        <f t="shared" si="40"/>
        <v>2.4411039298320149E-2</v>
      </c>
      <c r="V55" s="4">
        <f t="shared" si="40"/>
        <v>0.195124215996584</v>
      </c>
      <c r="W55" s="4">
        <f t="shared" si="40"/>
        <v>6.7601928425284645E-3</v>
      </c>
      <c r="X55" s="4">
        <f t="shared" si="40"/>
        <v>0.14479768914199501</v>
      </c>
      <c r="Y55" s="4">
        <f t="shared" si="40"/>
        <v>3.1638680952942376E-3</v>
      </c>
      <c r="Z55" s="4">
        <f t="shared" si="40"/>
        <v>0.59187344211599302</v>
      </c>
      <c r="AA55" s="4">
        <f t="shared" si="40"/>
        <v>0</v>
      </c>
      <c r="AB55" s="4">
        <f t="shared" si="40"/>
        <v>0</v>
      </c>
      <c r="AC55" s="4">
        <f t="shared" si="40"/>
        <v>0</v>
      </c>
      <c r="AD55" s="4">
        <f t="shared" si="40"/>
        <v>1.07062830535455</v>
      </c>
      <c r="AE55" s="4">
        <f t="shared" si="40"/>
        <v>1.2951559184429225E-2</v>
      </c>
      <c r="AF55" s="4">
        <f t="shared" si="40"/>
        <v>0.262164070660097</v>
      </c>
      <c r="AG55" s="4">
        <f t="shared" si="40"/>
        <v>1.533833398812855E-2</v>
      </c>
      <c r="AH55" s="4">
        <f t="shared" si="40"/>
        <v>82.329132145330192</v>
      </c>
      <c r="AI55" s="4">
        <f t="shared" si="40"/>
        <v>12.114684260748042</v>
      </c>
      <c r="AJ55" s="4">
        <f t="shared" ref="AJ55:BO55" si="41">AVERAGE(AJ24:AJ27)</f>
        <v>75.193975807539999</v>
      </c>
      <c r="AK55" s="4">
        <f t="shared" si="41"/>
        <v>7.8088782781780939</v>
      </c>
      <c r="AL55" s="4">
        <f t="shared" si="41"/>
        <v>112.53699801953199</v>
      </c>
      <c r="AM55" s="4">
        <f t="shared" si="41"/>
        <v>5.1831890988993026</v>
      </c>
      <c r="AN55" s="4">
        <f t="shared" si="41"/>
        <v>8.3088763006417601</v>
      </c>
      <c r="AO55" s="4">
        <f t="shared" si="41"/>
        <v>0.26429538497007299</v>
      </c>
      <c r="AP55" s="4">
        <f t="shared" si="41"/>
        <v>6.1939318079831605</v>
      </c>
      <c r="AQ55" s="4">
        <f t="shared" si="41"/>
        <v>0.123179478032613</v>
      </c>
      <c r="AR55" s="4">
        <f t="shared" si="41"/>
        <v>1.6233744701902499</v>
      </c>
      <c r="AS55" s="4">
        <f t="shared" si="41"/>
        <v>1.6188053596271425E-2</v>
      </c>
      <c r="AT55" s="4">
        <f t="shared" si="41"/>
        <v>0</v>
      </c>
      <c r="AU55" s="4">
        <f t="shared" si="41"/>
        <v>0</v>
      </c>
      <c r="AV55" s="4">
        <f t="shared" si="41"/>
        <v>0.43076466121907403</v>
      </c>
      <c r="AW55" s="4">
        <f t="shared" si="41"/>
        <v>0</v>
      </c>
      <c r="AX55" s="4">
        <f t="shared" si="41"/>
        <v>16.361427991519299</v>
      </c>
      <c r="AY55" s="4">
        <f t="shared" si="41"/>
        <v>4.4242580664495736E-3</v>
      </c>
      <c r="AZ55" s="4">
        <f t="shared" si="41"/>
        <v>0.195461901986451</v>
      </c>
      <c r="BA55" s="4">
        <f t="shared" si="41"/>
        <v>6.7760773280484135E-5</v>
      </c>
      <c r="BB55" s="4">
        <f t="shared" si="41"/>
        <v>0.10268902897180246</v>
      </c>
      <c r="BC55" s="4">
        <f t="shared" si="41"/>
        <v>8.4950384452249386E-4</v>
      </c>
      <c r="BD55" s="4">
        <f t="shared" si="41"/>
        <v>0.19399390437815192</v>
      </c>
      <c r="BE55" s="4">
        <f t="shared" si="41"/>
        <v>1.4890973369154729E-2</v>
      </c>
      <c r="BF55" s="4">
        <f t="shared" si="41"/>
        <v>0.85807408592702106</v>
      </c>
      <c r="BG55" s="4">
        <f t="shared" si="41"/>
        <v>3.891122778689754E-2</v>
      </c>
      <c r="BH55" s="4">
        <f t="shared" si="41"/>
        <v>0.51756825450535904</v>
      </c>
      <c r="BI55" s="4">
        <f t="shared" si="41"/>
        <v>1.2913500800577613E-2</v>
      </c>
      <c r="BJ55" s="4">
        <f t="shared" si="41"/>
        <v>0.97506320197313945</v>
      </c>
      <c r="BK55" s="4">
        <f t="shared" si="41"/>
        <v>4.8088299198440635E-3</v>
      </c>
      <c r="BL55" s="4">
        <f t="shared" si="41"/>
        <v>0.20154178690187802</v>
      </c>
      <c r="BM55" s="4">
        <f t="shared" si="41"/>
        <v>0</v>
      </c>
      <c r="BN55" s="4">
        <f t="shared" si="41"/>
        <v>0</v>
      </c>
      <c r="BO55" s="4">
        <f t="shared" si="41"/>
        <v>0</v>
      </c>
      <c r="BP55" s="4">
        <f t="shared" ref="BP55:CC55" si="42">AVERAGE(BP24:BP27)</f>
        <v>11.258560692495381</v>
      </c>
      <c r="BQ55" s="4">
        <f t="shared" si="42"/>
        <v>2.3834637520754574</v>
      </c>
      <c r="BR55" s="4">
        <f t="shared" si="42"/>
        <v>149.04818280892346</v>
      </c>
      <c r="BS55" s="4">
        <f t="shared" si="42"/>
        <v>19.288553936407038</v>
      </c>
      <c r="BT55" s="4">
        <f t="shared" si="42"/>
        <v>87.609408194482157</v>
      </c>
      <c r="BU55" s="4">
        <f t="shared" si="42"/>
        <v>3.0188717339607516</v>
      </c>
      <c r="BV55" s="4">
        <f t="shared" si="42"/>
        <v>50.278417380908692</v>
      </c>
      <c r="BW55" s="4">
        <f t="shared" si="42"/>
        <v>0.7454181149147433</v>
      </c>
      <c r="BX55" s="4">
        <f t="shared" si="42"/>
        <v>28.023422094363486</v>
      </c>
      <c r="BY55" s="4">
        <f t="shared" si="42"/>
        <v>0.15013892063543224</v>
      </c>
      <c r="BZ55" s="4">
        <f t="shared" si="42"/>
        <v>30.058392848269872</v>
      </c>
      <c r="CA55" s="4">
        <f t="shared" si="42"/>
        <v>6.3004407723677242E-2</v>
      </c>
      <c r="CB55" s="4">
        <f t="shared" si="42"/>
        <v>9.1701965533747476</v>
      </c>
      <c r="CC55" s="4">
        <f t="shared" si="42"/>
        <v>0.37948051657319454</v>
      </c>
      <c r="CD55" s="4">
        <f t="shared" si="26"/>
        <v>929.92809745752595</v>
      </c>
      <c r="CE55" s="4">
        <f t="shared" si="26"/>
        <v>52.398934722882231</v>
      </c>
      <c r="CF55" s="4">
        <f t="shared" si="30"/>
        <v>265.70417425135264</v>
      </c>
      <c r="CG55" s="4">
        <f t="shared" si="31"/>
        <v>19.635043030480301</v>
      </c>
      <c r="CH55" s="4">
        <f t="shared" si="32"/>
        <v>288.11095436934801</v>
      </c>
      <c r="CI55" s="4">
        <f t="shared" si="33"/>
        <v>356.4779258063449</v>
      </c>
    </row>
    <row r="56" spans="2:90" x14ac:dyDescent="0.25">
      <c r="B56" s="4"/>
      <c r="C56" s="63">
        <v>57</v>
      </c>
      <c r="D56" s="4" t="e">
        <f t="shared" ref="D56:AI56" si="43">AVERAGE(D28:D31)</f>
        <v>#DIV/0!</v>
      </c>
      <c r="E56" s="4">
        <f t="shared" si="43"/>
        <v>0.40822934085581897</v>
      </c>
      <c r="F56" s="4" t="e">
        <f t="shared" si="43"/>
        <v>#DIV/0!</v>
      </c>
      <c r="G56" s="4">
        <f t="shared" si="43"/>
        <v>8.6545184158462306E-3</v>
      </c>
      <c r="H56" s="4" t="e">
        <f t="shared" si="43"/>
        <v>#DIV/0!</v>
      </c>
      <c r="I56" s="4">
        <f t="shared" si="43"/>
        <v>0</v>
      </c>
      <c r="J56" s="4" t="e">
        <f t="shared" si="43"/>
        <v>#DIV/0!</v>
      </c>
      <c r="K56" s="4">
        <f t="shared" si="43"/>
        <v>0</v>
      </c>
      <c r="L56" s="4" t="e">
        <f t="shared" si="43"/>
        <v>#DIV/0!</v>
      </c>
      <c r="M56" s="4">
        <f t="shared" si="43"/>
        <v>1.5278870960463086E-2</v>
      </c>
      <c r="N56" s="4" t="e">
        <f t="shared" si="43"/>
        <v>#DIV/0!</v>
      </c>
      <c r="O56" s="4">
        <f t="shared" si="43"/>
        <v>3.0239708036575519E-3</v>
      </c>
      <c r="P56" s="4" t="e">
        <f t="shared" si="43"/>
        <v>#DIV/0!</v>
      </c>
      <c r="Q56" s="4">
        <f t="shared" si="43"/>
        <v>8.4880293294181008E-2</v>
      </c>
      <c r="R56" s="4" t="e">
        <f t="shared" si="43"/>
        <v>#DIV/0!</v>
      </c>
      <c r="S56" s="4">
        <f t="shared" si="43"/>
        <v>4.058967984185665E-2</v>
      </c>
      <c r="T56" s="4" t="e">
        <f t="shared" si="43"/>
        <v>#DIV/0!</v>
      </c>
      <c r="U56" s="4">
        <f t="shared" si="43"/>
        <v>2.979014133004175E-2</v>
      </c>
      <c r="V56" s="4" t="e">
        <f t="shared" si="43"/>
        <v>#DIV/0!</v>
      </c>
      <c r="W56" s="4">
        <f t="shared" si="43"/>
        <v>9.9662282371779948E-3</v>
      </c>
      <c r="X56" s="4" t="e">
        <f t="shared" si="43"/>
        <v>#DIV/0!</v>
      </c>
      <c r="Y56" s="4">
        <f t="shared" si="43"/>
        <v>2.5899188419415452E-3</v>
      </c>
      <c r="Z56" s="4" t="e">
        <f t="shared" si="43"/>
        <v>#DIV/0!</v>
      </c>
      <c r="AA56" s="4">
        <f t="shared" si="43"/>
        <v>0</v>
      </c>
      <c r="AB56" s="4" t="e">
        <f t="shared" si="43"/>
        <v>#DIV/0!</v>
      </c>
      <c r="AC56" s="4">
        <f t="shared" si="43"/>
        <v>0</v>
      </c>
      <c r="AD56" s="4" t="e">
        <f t="shared" si="43"/>
        <v>#DIV/0!</v>
      </c>
      <c r="AE56" s="4">
        <f t="shared" si="43"/>
        <v>1.2746547846229405E-2</v>
      </c>
      <c r="AF56" s="4" t="e">
        <f t="shared" si="43"/>
        <v>#DIV/0!</v>
      </c>
      <c r="AG56" s="4">
        <f t="shared" si="43"/>
        <v>1.5669051325312426E-2</v>
      </c>
      <c r="AH56" s="4" t="e">
        <f t="shared" si="43"/>
        <v>#DIV/0!</v>
      </c>
      <c r="AI56" s="4">
        <f t="shared" si="43"/>
        <v>14.076704224348823</v>
      </c>
      <c r="AJ56" s="4" t="e">
        <f t="shared" ref="AJ56:BO56" si="44">AVERAGE(AJ28:AJ31)</f>
        <v>#DIV/0!</v>
      </c>
      <c r="AK56" s="4">
        <f t="shared" si="44"/>
        <v>10.780668198294162</v>
      </c>
      <c r="AL56" s="4" t="e">
        <f t="shared" si="44"/>
        <v>#DIV/0!</v>
      </c>
      <c r="AM56" s="4">
        <f t="shared" si="44"/>
        <v>4.0865793591024495</v>
      </c>
      <c r="AN56" s="4" t="e">
        <f t="shared" si="44"/>
        <v>#DIV/0!</v>
      </c>
      <c r="AO56" s="4">
        <f t="shared" si="44"/>
        <v>0.34071257998891524</v>
      </c>
      <c r="AP56" s="4" t="e">
        <f t="shared" si="44"/>
        <v>#DIV/0!</v>
      </c>
      <c r="AQ56" s="4">
        <f t="shared" si="44"/>
        <v>0.16384706643913874</v>
      </c>
      <c r="AR56" s="4" t="e">
        <f t="shared" si="44"/>
        <v>#DIV/0!</v>
      </c>
      <c r="AS56" s="4">
        <f t="shared" si="44"/>
        <v>2.6691177867022724E-2</v>
      </c>
      <c r="AT56" s="4" t="e">
        <f t="shared" si="44"/>
        <v>#DIV/0!</v>
      </c>
      <c r="AU56" s="4">
        <f t="shared" si="44"/>
        <v>0</v>
      </c>
      <c r="AV56" s="4" t="e">
        <f t="shared" si="44"/>
        <v>#DIV/0!</v>
      </c>
      <c r="AW56" s="4">
        <f t="shared" si="44"/>
        <v>0</v>
      </c>
      <c r="AX56" s="4" t="e">
        <f t="shared" si="44"/>
        <v>#DIV/0!</v>
      </c>
      <c r="AY56" s="4">
        <f t="shared" si="44"/>
        <v>1.1115165815001008E-3</v>
      </c>
      <c r="AZ56" s="4" t="e">
        <f t="shared" si="44"/>
        <v>#DIV/0!</v>
      </c>
      <c r="BA56" s="4">
        <f t="shared" si="44"/>
        <v>2.7385540593418113E-5</v>
      </c>
      <c r="BB56" s="4" t="e">
        <f t="shared" si="44"/>
        <v>#DIV/0!</v>
      </c>
      <c r="BC56" s="4">
        <f t="shared" si="44"/>
        <v>9.1641143603447622E-4</v>
      </c>
      <c r="BD56" s="4" t="e">
        <f t="shared" si="44"/>
        <v>#DIV/0!</v>
      </c>
      <c r="BE56" s="4">
        <f t="shared" si="44"/>
        <v>1.6622288173280701E-2</v>
      </c>
      <c r="BF56" s="4" t="e">
        <f t="shared" si="44"/>
        <v>#DIV/0!</v>
      </c>
      <c r="BG56" s="4">
        <f t="shared" si="44"/>
        <v>4.6756776342572602E-2</v>
      </c>
      <c r="BH56" s="4" t="e">
        <f t="shared" si="44"/>
        <v>#DIV/0!</v>
      </c>
      <c r="BI56" s="4">
        <f t="shared" si="44"/>
        <v>1.5065663346580231E-2</v>
      </c>
      <c r="BJ56" s="4" t="e">
        <f t="shared" si="44"/>
        <v>#DIV/0!</v>
      </c>
      <c r="BK56" s="4">
        <f t="shared" si="44"/>
        <v>5.9025164979644466E-3</v>
      </c>
      <c r="BL56" s="4" t="e">
        <f t="shared" si="44"/>
        <v>#DIV/0!</v>
      </c>
      <c r="BM56" s="4">
        <f t="shared" si="44"/>
        <v>0</v>
      </c>
      <c r="BN56" s="4" t="e">
        <f t="shared" si="44"/>
        <v>#DIV/0!</v>
      </c>
      <c r="BO56" s="4">
        <f t="shared" si="44"/>
        <v>0</v>
      </c>
      <c r="BP56" s="4" t="e">
        <f t="shared" ref="BP56:CC56" si="45">AVERAGE(BP28:BP31)</f>
        <v>#DIV/0!</v>
      </c>
      <c r="BQ56" s="4">
        <f t="shared" si="45"/>
        <v>2.4059463786285447</v>
      </c>
      <c r="BR56" s="4" t="e">
        <f t="shared" si="45"/>
        <v>#DIV/0!</v>
      </c>
      <c r="BS56" s="4">
        <f t="shared" si="45"/>
        <v>23.175070493982599</v>
      </c>
      <c r="BT56" s="4" t="e">
        <f t="shared" si="45"/>
        <v>#DIV/0!</v>
      </c>
      <c r="BU56" s="4">
        <f t="shared" si="45"/>
        <v>2.8364254659032624</v>
      </c>
      <c r="BV56" s="4" t="e">
        <f t="shared" si="45"/>
        <v>#DIV/0!</v>
      </c>
      <c r="BW56" s="4">
        <f t="shared" si="45"/>
        <v>0.81545233186239652</v>
      </c>
      <c r="BX56" s="4" t="e">
        <f t="shared" si="45"/>
        <v>#DIV/0!</v>
      </c>
      <c r="BY56" s="4">
        <f t="shared" si="45"/>
        <v>0.14310612453179825</v>
      </c>
      <c r="BZ56" s="4" t="e">
        <f t="shared" si="45"/>
        <v>#DIV/0!</v>
      </c>
      <c r="CA56" s="4">
        <f t="shared" si="45"/>
        <v>4.7832423123505712E-2</v>
      </c>
      <c r="CB56" s="4">
        <f t="shared" si="45"/>
        <v>0</v>
      </c>
      <c r="CC56" s="4">
        <f t="shared" si="45"/>
        <v>0.38411537980576216</v>
      </c>
      <c r="CD56" s="4" t="e">
        <f t="shared" si="26"/>
        <v>#DIV/0!</v>
      </c>
      <c r="CE56" s="4">
        <f t="shared" si="26"/>
        <v>59.616856943743677</v>
      </c>
      <c r="CF56" s="4" t="e">
        <f t="shared" si="30"/>
        <v>#DIV/0!</v>
      </c>
      <c r="CG56" s="4" t="e">
        <f t="shared" si="31"/>
        <v>#DIV/0!</v>
      </c>
      <c r="CH56" s="4" t="e">
        <f t="shared" si="32"/>
        <v>#DIV/0!</v>
      </c>
      <c r="CI56" s="4" t="e">
        <f t="shared" si="33"/>
        <v>#DIV/0!</v>
      </c>
    </row>
    <row r="57" spans="2:90" x14ac:dyDescent="0.25">
      <c r="B57" s="4"/>
      <c r="C57" s="63">
        <v>61</v>
      </c>
      <c r="D57" s="4" t="e">
        <f t="shared" ref="D57:AI57" si="46">AVERAGE(D32:D35)</f>
        <v>#DIV/0!</v>
      </c>
      <c r="E57" s="4">
        <f t="shared" si="46"/>
        <v>7.3325058500185898E-3</v>
      </c>
      <c r="F57" s="4" t="e">
        <f t="shared" si="46"/>
        <v>#DIV/0!</v>
      </c>
      <c r="G57" s="4">
        <f t="shared" si="46"/>
        <v>0</v>
      </c>
      <c r="H57" s="4" t="e">
        <f t="shared" si="46"/>
        <v>#DIV/0!</v>
      </c>
      <c r="I57" s="4">
        <f t="shared" si="46"/>
        <v>0</v>
      </c>
      <c r="J57" s="4" t="e">
        <f t="shared" si="46"/>
        <v>#DIV/0!</v>
      </c>
      <c r="K57" s="4">
        <f t="shared" si="46"/>
        <v>0</v>
      </c>
      <c r="L57" s="4" t="e">
        <f t="shared" si="46"/>
        <v>#DIV/0!</v>
      </c>
      <c r="M57" s="4">
        <f t="shared" si="46"/>
        <v>1.5661228155799275E-3</v>
      </c>
      <c r="N57" s="4" t="e">
        <f t="shared" si="46"/>
        <v>#DIV/0!</v>
      </c>
      <c r="O57" s="4">
        <f t="shared" si="46"/>
        <v>1.962361435948265E-3</v>
      </c>
      <c r="P57" s="4" t="e">
        <f t="shared" si="46"/>
        <v>#DIV/0!</v>
      </c>
      <c r="Q57" s="4">
        <f t="shared" si="46"/>
        <v>6.3439920700409339E-2</v>
      </c>
      <c r="R57" s="4" t="e">
        <f t="shared" si="46"/>
        <v>#DIV/0!</v>
      </c>
      <c r="S57" s="4">
        <f t="shared" si="46"/>
        <v>3.054371713531593E-2</v>
      </c>
      <c r="T57" s="4" t="e">
        <f t="shared" si="46"/>
        <v>#DIV/0!</v>
      </c>
      <c r="U57" s="4">
        <f t="shared" si="46"/>
        <v>2.1161698122101426E-2</v>
      </c>
      <c r="V57" s="4" t="e">
        <f t="shared" si="46"/>
        <v>#DIV/0!</v>
      </c>
      <c r="W57" s="4">
        <f t="shared" si="46"/>
        <v>5.7717847948439401E-3</v>
      </c>
      <c r="X57" s="4" t="e">
        <f t="shared" si="46"/>
        <v>#DIV/0!</v>
      </c>
      <c r="Y57" s="4">
        <f t="shared" si="46"/>
        <v>8.236536660502225E-4</v>
      </c>
      <c r="Z57" s="4" t="e">
        <f t="shared" si="46"/>
        <v>#DIV/0!</v>
      </c>
      <c r="AA57" s="4">
        <f t="shared" si="46"/>
        <v>0</v>
      </c>
      <c r="AB57" s="4" t="e">
        <f t="shared" si="46"/>
        <v>#DIV/0!</v>
      </c>
      <c r="AC57" s="4">
        <f t="shared" si="46"/>
        <v>0</v>
      </c>
      <c r="AD57" s="4" t="e">
        <f t="shared" si="46"/>
        <v>#DIV/0!</v>
      </c>
      <c r="AE57" s="4">
        <f t="shared" si="46"/>
        <v>6.5082837532847099E-3</v>
      </c>
      <c r="AF57" s="4" t="e">
        <f t="shared" si="46"/>
        <v>#DIV/0!</v>
      </c>
      <c r="AG57" s="4">
        <f t="shared" si="46"/>
        <v>1.071599614779597E-2</v>
      </c>
      <c r="AH57" s="4" t="e">
        <f t="shared" si="46"/>
        <v>#DIV/0!</v>
      </c>
      <c r="AI57" s="4">
        <f t="shared" si="46"/>
        <v>10.044136137578262</v>
      </c>
      <c r="AJ57" s="4" t="e">
        <f t="shared" ref="AJ57:BO57" si="47">AVERAGE(AJ32:AJ35)</f>
        <v>#DIV/0!</v>
      </c>
      <c r="AK57" s="4">
        <f t="shared" si="47"/>
        <v>7.1658652879994094</v>
      </c>
      <c r="AL57" s="4" t="e">
        <f t="shared" si="47"/>
        <v>#DIV/0!</v>
      </c>
      <c r="AM57" s="4">
        <f t="shared" si="47"/>
        <v>2.3999744360749475</v>
      </c>
      <c r="AN57" s="4" t="e">
        <f t="shared" si="47"/>
        <v>#DIV/0!</v>
      </c>
      <c r="AO57" s="4">
        <f t="shared" si="47"/>
        <v>0.18284579112865801</v>
      </c>
      <c r="AP57" s="4" t="e">
        <f t="shared" si="47"/>
        <v>#DIV/0!</v>
      </c>
      <c r="AQ57" s="4">
        <f t="shared" si="47"/>
        <v>9.2933531679118456E-2</v>
      </c>
      <c r="AR57" s="4" t="e">
        <f t="shared" si="47"/>
        <v>#DIV/0!</v>
      </c>
      <c r="AS57" s="4">
        <f t="shared" si="47"/>
        <v>1.589937472433375E-2</v>
      </c>
      <c r="AT57" s="4" t="e">
        <f t="shared" si="47"/>
        <v>#DIV/0!</v>
      </c>
      <c r="AU57" s="4">
        <f t="shared" si="47"/>
        <v>0</v>
      </c>
      <c r="AV57" s="4" t="e">
        <f t="shared" si="47"/>
        <v>#DIV/0!</v>
      </c>
      <c r="AW57" s="4">
        <f t="shared" si="47"/>
        <v>0</v>
      </c>
      <c r="AX57" s="4" t="e">
        <f t="shared" si="47"/>
        <v>#DIV/0!</v>
      </c>
      <c r="AY57" s="4">
        <f t="shared" si="47"/>
        <v>3.1928429689304621E-5</v>
      </c>
      <c r="AZ57" s="4" t="e">
        <f t="shared" si="47"/>
        <v>#DIV/0!</v>
      </c>
      <c r="BA57" s="4">
        <f t="shared" si="47"/>
        <v>0</v>
      </c>
      <c r="BB57" s="4" t="e">
        <f t="shared" si="47"/>
        <v>#DIV/0!</v>
      </c>
      <c r="BC57" s="4">
        <f t="shared" si="47"/>
        <v>6.1888828582567883E-4</v>
      </c>
      <c r="BD57" s="4" t="e">
        <f t="shared" si="47"/>
        <v>#DIV/0!</v>
      </c>
      <c r="BE57" s="4">
        <f t="shared" si="47"/>
        <v>1.2666054158735484E-2</v>
      </c>
      <c r="BF57" s="4" t="e">
        <f t="shared" si="47"/>
        <v>#DIV/0!</v>
      </c>
      <c r="BG57" s="4">
        <f t="shared" si="47"/>
        <v>3.4086192039754264E-2</v>
      </c>
      <c r="BH57" s="4" t="e">
        <f t="shared" si="47"/>
        <v>#DIV/0!</v>
      </c>
      <c r="BI57" s="4">
        <f t="shared" si="47"/>
        <v>7.2384018726777879E-3</v>
      </c>
      <c r="BJ57" s="4" t="e">
        <f t="shared" si="47"/>
        <v>#DIV/0!</v>
      </c>
      <c r="BK57" s="4">
        <f t="shared" si="47"/>
        <v>6.2150509336594503E-4</v>
      </c>
      <c r="BL57" s="4" t="e">
        <f t="shared" si="47"/>
        <v>#DIV/0!</v>
      </c>
      <c r="BM57" s="4">
        <f t="shared" si="47"/>
        <v>0</v>
      </c>
      <c r="BN57" s="4" t="e">
        <f t="shared" si="47"/>
        <v>#DIV/0!</v>
      </c>
      <c r="BO57" s="4">
        <f t="shared" si="47"/>
        <v>0</v>
      </c>
      <c r="BP57" s="4" t="e">
        <f t="shared" ref="BP57:CC57" si="48">AVERAGE(BP32:BP35)</f>
        <v>#DIV/0!</v>
      </c>
      <c r="BQ57" s="4">
        <f t="shared" si="48"/>
        <v>1.4996158559246471</v>
      </c>
      <c r="BR57" s="4" t="e">
        <f t="shared" si="48"/>
        <v>#DIV/0!</v>
      </c>
      <c r="BS57" s="4">
        <f t="shared" si="48"/>
        <v>13.345218149352268</v>
      </c>
      <c r="BT57" s="4" t="e">
        <f t="shared" si="48"/>
        <v>#DIV/0!</v>
      </c>
      <c r="BU57" s="4">
        <f t="shared" si="48"/>
        <v>1.3922926922367131</v>
      </c>
      <c r="BV57" s="4" t="e">
        <f t="shared" si="48"/>
        <v>#DIV/0!</v>
      </c>
      <c r="BW57" s="4">
        <f t="shared" si="48"/>
        <v>0.28691628090800103</v>
      </c>
      <c r="BX57" s="4" t="e">
        <f t="shared" si="48"/>
        <v>#DIV/0!</v>
      </c>
      <c r="BY57" s="4">
        <f t="shared" si="48"/>
        <v>3.4190712570129053E-2</v>
      </c>
      <c r="BZ57" s="4" t="e">
        <f t="shared" si="48"/>
        <v>#DIV/0!</v>
      </c>
      <c r="CA57" s="4">
        <f t="shared" si="48"/>
        <v>5.1645926733535075E-3</v>
      </c>
      <c r="CB57" s="4">
        <f t="shared" si="48"/>
        <v>0</v>
      </c>
      <c r="CC57" s="4">
        <f t="shared" si="48"/>
        <v>0.2188204758490655</v>
      </c>
      <c r="CD57" s="4" t="e">
        <f t="shared" si="26"/>
        <v>#DIV/0!</v>
      </c>
      <c r="CE57" s="4">
        <f t="shared" si="26"/>
        <v>36.670141857151243</v>
      </c>
      <c r="CF57" s="4" t="e">
        <f t="shared" si="30"/>
        <v>#DIV/0!</v>
      </c>
      <c r="CG57" s="4" t="e">
        <f t="shared" si="31"/>
        <v>#DIV/0!</v>
      </c>
      <c r="CH57" s="4" t="e">
        <f t="shared" si="32"/>
        <v>#DIV/0!</v>
      </c>
      <c r="CI57" s="4" t="e">
        <f t="shared" si="33"/>
        <v>#DIV/0!</v>
      </c>
    </row>
    <row r="58" spans="2:90" x14ac:dyDescent="0.25">
      <c r="B58" s="4"/>
      <c r="C58" s="63">
        <v>73</v>
      </c>
      <c r="D58" s="4" t="e">
        <f t="shared" ref="D58:AI58" si="49">AVERAGE(D36:D39)</f>
        <v>#DIV/0!</v>
      </c>
      <c r="E58" s="4">
        <f t="shared" si="49"/>
        <v>6.1730808417599196E-3</v>
      </c>
      <c r="F58" s="4" t="e">
        <f t="shared" si="49"/>
        <v>#DIV/0!</v>
      </c>
      <c r="G58" s="4">
        <f t="shared" si="49"/>
        <v>0</v>
      </c>
      <c r="H58" s="4" t="e">
        <f t="shared" si="49"/>
        <v>#DIV/0!</v>
      </c>
      <c r="I58" s="4">
        <f t="shared" si="49"/>
        <v>0</v>
      </c>
      <c r="J58" s="4" t="e">
        <f t="shared" si="49"/>
        <v>#DIV/0!</v>
      </c>
      <c r="K58" s="4">
        <f t="shared" si="49"/>
        <v>0</v>
      </c>
      <c r="L58" s="4" t="e">
        <f t="shared" si="49"/>
        <v>#DIV/0!</v>
      </c>
      <c r="M58" s="4">
        <f t="shared" si="49"/>
        <v>1.55329173132934E-3</v>
      </c>
      <c r="N58" s="4" t="e">
        <f t="shared" si="49"/>
        <v>#DIV/0!</v>
      </c>
      <c r="O58" s="4">
        <f t="shared" si="49"/>
        <v>1.2529159968816248E-3</v>
      </c>
      <c r="P58" s="4" t="e">
        <f t="shared" si="49"/>
        <v>#DIV/0!</v>
      </c>
      <c r="Q58" s="4">
        <f t="shared" si="49"/>
        <v>7.5488264432546637E-2</v>
      </c>
      <c r="R58" s="4" t="e">
        <f t="shared" si="49"/>
        <v>#DIV/0!</v>
      </c>
      <c r="S58" s="4">
        <f t="shared" si="49"/>
        <v>3.1717888853727096E-2</v>
      </c>
      <c r="T58" s="4" t="e">
        <f t="shared" si="49"/>
        <v>#DIV/0!</v>
      </c>
      <c r="U58" s="4">
        <f t="shared" si="49"/>
        <v>1.6928699171639375E-2</v>
      </c>
      <c r="V58" s="4" t="e">
        <f t="shared" si="49"/>
        <v>#DIV/0!</v>
      </c>
      <c r="W58" s="4">
        <f t="shared" si="49"/>
        <v>4.064834119247851E-3</v>
      </c>
      <c r="X58" s="4" t="e">
        <f t="shared" si="49"/>
        <v>#DIV/0!</v>
      </c>
      <c r="Y58" s="4">
        <f t="shared" si="49"/>
        <v>0</v>
      </c>
      <c r="Z58" s="4" t="e">
        <f t="shared" si="49"/>
        <v>#DIV/0!</v>
      </c>
      <c r="AA58" s="4">
        <f t="shared" si="49"/>
        <v>0</v>
      </c>
      <c r="AB58" s="4" t="e">
        <f t="shared" si="49"/>
        <v>#DIV/0!</v>
      </c>
      <c r="AC58" s="4">
        <f t="shared" si="49"/>
        <v>0</v>
      </c>
      <c r="AD58" s="4" t="e">
        <f t="shared" si="49"/>
        <v>#DIV/0!</v>
      </c>
      <c r="AE58" s="4">
        <f t="shared" si="49"/>
        <v>0</v>
      </c>
      <c r="AF58" s="4" t="e">
        <f t="shared" si="49"/>
        <v>#DIV/0!</v>
      </c>
      <c r="AG58" s="4">
        <f t="shared" si="49"/>
        <v>1.0571896179888364E-2</v>
      </c>
      <c r="AH58" s="4" t="e">
        <f t="shared" si="49"/>
        <v>#DIV/0!</v>
      </c>
      <c r="AI58" s="4">
        <f t="shared" si="49"/>
        <v>11.184738733030041</v>
      </c>
      <c r="AJ58" s="4" t="e">
        <f t="shared" ref="AJ58:BO58" si="50">AVERAGE(AJ36:AJ39)</f>
        <v>#DIV/0!</v>
      </c>
      <c r="AK58" s="4">
        <f t="shared" si="50"/>
        <v>7.5917563297611821</v>
      </c>
      <c r="AL58" s="4" t="e">
        <f t="shared" si="50"/>
        <v>#DIV/0!</v>
      </c>
      <c r="AM58" s="4">
        <f t="shared" si="50"/>
        <v>1.8726619176715349</v>
      </c>
      <c r="AN58" s="4" t="e">
        <f t="shared" si="50"/>
        <v>#DIV/0!</v>
      </c>
      <c r="AO58" s="4">
        <f t="shared" si="50"/>
        <v>0.10104042566593087</v>
      </c>
      <c r="AP58" s="4" t="e">
        <f t="shared" si="50"/>
        <v>#DIV/0!</v>
      </c>
      <c r="AQ58" s="4">
        <f t="shared" si="50"/>
        <v>3.7776014463438895E-2</v>
      </c>
      <c r="AR58" s="4" t="e">
        <f t="shared" si="50"/>
        <v>#DIV/0!</v>
      </c>
      <c r="AS58" s="4">
        <f t="shared" si="50"/>
        <v>6.7874211799915842E-3</v>
      </c>
      <c r="AT58" s="4" t="e">
        <f t="shared" si="50"/>
        <v>#DIV/0!</v>
      </c>
      <c r="AU58" s="4">
        <f t="shared" si="50"/>
        <v>0</v>
      </c>
      <c r="AV58" s="4" t="e">
        <f t="shared" si="50"/>
        <v>#DIV/0!</v>
      </c>
      <c r="AW58" s="4">
        <f t="shared" si="50"/>
        <v>0</v>
      </c>
      <c r="AX58" s="4" t="e">
        <f t="shared" si="50"/>
        <v>#DIV/0!</v>
      </c>
      <c r="AY58" s="4">
        <f t="shared" si="50"/>
        <v>1.0079106685117994E-5</v>
      </c>
      <c r="AZ58" s="4" t="e">
        <f t="shared" si="50"/>
        <v>#DIV/0!</v>
      </c>
      <c r="BA58" s="4">
        <f t="shared" si="50"/>
        <v>0</v>
      </c>
      <c r="BB58" s="4" t="e">
        <f t="shared" si="50"/>
        <v>#DIV/0!</v>
      </c>
      <c r="BC58" s="4">
        <f t="shared" si="50"/>
        <v>5.0517857492787756E-4</v>
      </c>
      <c r="BD58" s="4" t="e">
        <f t="shared" si="50"/>
        <v>#DIV/0!</v>
      </c>
      <c r="BE58" s="4">
        <f t="shared" si="50"/>
        <v>1.5560484120744669E-2</v>
      </c>
      <c r="BF58" s="4" t="e">
        <f t="shared" si="50"/>
        <v>#DIV/0!</v>
      </c>
      <c r="BG58" s="4">
        <f t="shared" si="50"/>
        <v>2.6381674552878129E-2</v>
      </c>
      <c r="BH58" s="4" t="e">
        <f t="shared" si="50"/>
        <v>#DIV/0!</v>
      </c>
      <c r="BI58" s="4">
        <f t="shared" si="50"/>
        <v>2.5396506640408185E-3</v>
      </c>
      <c r="BJ58" s="4" t="e">
        <f t="shared" si="50"/>
        <v>#DIV/0!</v>
      </c>
      <c r="BK58" s="4">
        <f t="shared" si="50"/>
        <v>6.8681134312208994E-5</v>
      </c>
      <c r="BL58" s="4" t="e">
        <f t="shared" si="50"/>
        <v>#DIV/0!</v>
      </c>
      <c r="BM58" s="4">
        <f t="shared" si="50"/>
        <v>0</v>
      </c>
      <c r="BN58" s="4" t="e">
        <f t="shared" si="50"/>
        <v>#DIV/0!</v>
      </c>
      <c r="BO58" s="4">
        <f t="shared" si="50"/>
        <v>0</v>
      </c>
      <c r="BP58" s="4" t="e">
        <f t="shared" ref="BP58:CC58" si="51">AVERAGE(BP36:BP39)</f>
        <v>#DIV/0!</v>
      </c>
      <c r="BQ58" s="4">
        <f t="shared" si="51"/>
        <v>1.7641916354149023</v>
      </c>
      <c r="BR58" s="4" t="e">
        <f t="shared" si="51"/>
        <v>#DIV/0!</v>
      </c>
      <c r="BS58" s="4">
        <f t="shared" si="51"/>
        <v>15.207864218962332</v>
      </c>
      <c r="BT58" s="4" t="e">
        <f t="shared" si="51"/>
        <v>#DIV/0!</v>
      </c>
      <c r="BU58" s="4">
        <f t="shared" si="51"/>
        <v>0.90250363309860937</v>
      </c>
      <c r="BV58" s="4" t="e">
        <f t="shared" si="51"/>
        <v>#DIV/0!</v>
      </c>
      <c r="BW58" s="4">
        <f t="shared" si="51"/>
        <v>3.943240579007358E-2</v>
      </c>
      <c r="BX58" s="4" t="e">
        <f t="shared" si="51"/>
        <v>#DIV/0!</v>
      </c>
      <c r="BY58" s="4">
        <f t="shared" si="51"/>
        <v>7.06158355288255E-4</v>
      </c>
      <c r="BZ58" s="4" t="e">
        <f t="shared" si="51"/>
        <v>#DIV/0!</v>
      </c>
      <c r="CA58" s="4">
        <f t="shared" si="51"/>
        <v>5.2049790325361879E-4</v>
      </c>
      <c r="CB58" s="4">
        <f t="shared" si="51"/>
        <v>0</v>
      </c>
      <c r="CC58" s="4">
        <f t="shared" si="51"/>
        <v>0.19395145772209435</v>
      </c>
      <c r="CD58" s="4" t="e">
        <f>SUM(D58,F58,H58,J58,L58,N58,P58,R58,T58,V58,X58,Z58,AB58,AD58,AF58,AH58,AJ58,AL58,AN58,AP58,AR58,AT58,AV58,AX58,AZ58,BB58,BD58,BF58,BH58,BJ58,BL58,BN58,BP58,BR58,BT58,BV58,BX58,BZ58)</f>
        <v>#DIV/0!</v>
      </c>
      <c r="CE58" s="4">
        <f t="shared" si="26"/>
        <v>38.902796010777188</v>
      </c>
      <c r="CF58" s="4" t="e">
        <f t="shared" si="30"/>
        <v>#DIV/0!</v>
      </c>
      <c r="CG58" s="4" t="e">
        <f t="shared" si="31"/>
        <v>#DIV/0!</v>
      </c>
      <c r="CH58" s="4" t="e">
        <f t="shared" si="32"/>
        <v>#DIV/0!</v>
      </c>
      <c r="CI58" s="4" t="e">
        <f t="shared" si="33"/>
        <v>#DIV/0!</v>
      </c>
    </row>
    <row r="59" spans="2:90" x14ac:dyDescent="0.25">
      <c r="B59" s="4"/>
      <c r="C59" s="63">
        <v>101</v>
      </c>
      <c r="D59" s="4" t="e">
        <f t="shared" ref="D59:AI59" si="52">AVERAGE(D40:D43)</f>
        <v>#DIV/0!</v>
      </c>
      <c r="E59" s="4">
        <f t="shared" si="52"/>
        <v>8.7786808739833133E-3</v>
      </c>
      <c r="F59" s="4" t="e">
        <f t="shared" si="52"/>
        <v>#DIV/0!</v>
      </c>
      <c r="G59" s="4">
        <f t="shared" si="52"/>
        <v>0</v>
      </c>
      <c r="H59" s="4" t="e">
        <f t="shared" si="52"/>
        <v>#DIV/0!</v>
      </c>
      <c r="I59" s="4">
        <f t="shared" si="52"/>
        <v>0</v>
      </c>
      <c r="J59" s="4" t="e">
        <f t="shared" si="52"/>
        <v>#DIV/0!</v>
      </c>
      <c r="K59" s="4">
        <f t="shared" si="52"/>
        <v>0</v>
      </c>
      <c r="L59" s="4" t="e">
        <f t="shared" si="52"/>
        <v>#DIV/0!</v>
      </c>
      <c r="M59" s="4">
        <f t="shared" si="52"/>
        <v>6.1192362091205257E-4</v>
      </c>
      <c r="N59" s="4" t="e">
        <f t="shared" si="52"/>
        <v>#DIV/0!</v>
      </c>
      <c r="O59" s="4">
        <f t="shared" si="52"/>
        <v>5.2078715969948756E-4</v>
      </c>
      <c r="P59" s="4" t="e">
        <f t="shared" si="52"/>
        <v>#DIV/0!</v>
      </c>
      <c r="Q59" s="4">
        <f t="shared" si="52"/>
        <v>4.2460387938881967E-2</v>
      </c>
      <c r="R59" s="4" t="e">
        <f t="shared" si="52"/>
        <v>#DIV/0!</v>
      </c>
      <c r="S59" s="4">
        <f t="shared" si="52"/>
        <v>1.4943290385150076E-2</v>
      </c>
      <c r="T59" s="4" t="e">
        <f t="shared" si="52"/>
        <v>#DIV/0!</v>
      </c>
      <c r="U59" s="4">
        <f t="shared" si="52"/>
        <v>5.0868400515241977E-3</v>
      </c>
      <c r="V59" s="4" t="e">
        <f t="shared" si="52"/>
        <v>#DIV/0!</v>
      </c>
      <c r="W59" s="4">
        <f t="shared" si="52"/>
        <v>0</v>
      </c>
      <c r="X59" s="4" t="e">
        <f t="shared" si="52"/>
        <v>#DIV/0!</v>
      </c>
      <c r="Y59" s="4">
        <f t="shared" si="52"/>
        <v>0</v>
      </c>
      <c r="Z59" s="4" t="e">
        <f t="shared" si="52"/>
        <v>#DIV/0!</v>
      </c>
      <c r="AA59" s="4">
        <f t="shared" si="52"/>
        <v>0</v>
      </c>
      <c r="AB59" s="4" t="e">
        <f t="shared" si="52"/>
        <v>#DIV/0!</v>
      </c>
      <c r="AC59" s="4">
        <f t="shared" si="52"/>
        <v>0</v>
      </c>
      <c r="AD59" s="4" t="e">
        <f t="shared" si="52"/>
        <v>#DIV/0!</v>
      </c>
      <c r="AE59" s="4">
        <f t="shared" si="52"/>
        <v>0</v>
      </c>
      <c r="AF59" s="4" t="e">
        <f t="shared" si="52"/>
        <v>#DIV/0!</v>
      </c>
      <c r="AG59" s="4">
        <f t="shared" si="52"/>
        <v>3.2426175690903826E-3</v>
      </c>
      <c r="AH59" s="4" t="e">
        <f t="shared" si="52"/>
        <v>#DIV/0!</v>
      </c>
      <c r="AI59" s="4">
        <f t="shared" si="52"/>
        <v>6.5502433168814678</v>
      </c>
      <c r="AJ59" s="4" t="e">
        <f t="shared" ref="AJ59:BO59" si="53">AVERAGE(AJ40:AJ43)</f>
        <v>#DIV/0!</v>
      </c>
      <c r="AK59" s="4">
        <f t="shared" si="53"/>
        <v>2.7015214236813452</v>
      </c>
      <c r="AL59" s="4" t="e">
        <f t="shared" si="53"/>
        <v>#DIV/0!</v>
      </c>
      <c r="AM59" s="4">
        <f t="shared" si="53"/>
        <v>0.50733103924064149</v>
      </c>
      <c r="AN59" s="4" t="e">
        <f t="shared" si="53"/>
        <v>#DIV/0!</v>
      </c>
      <c r="AO59" s="4">
        <f t="shared" si="53"/>
        <v>1.5974933137708775E-2</v>
      </c>
      <c r="AP59" s="4" t="e">
        <f t="shared" si="53"/>
        <v>#DIV/0!</v>
      </c>
      <c r="AQ59" s="4">
        <f t="shared" si="53"/>
        <v>5.5243730922837023E-3</v>
      </c>
      <c r="AR59" s="4" t="e">
        <f t="shared" si="53"/>
        <v>#DIV/0!</v>
      </c>
      <c r="AS59" s="4">
        <f t="shared" si="53"/>
        <v>5.0783188236733006E-4</v>
      </c>
      <c r="AT59" s="4" t="e">
        <f t="shared" si="53"/>
        <v>#DIV/0!</v>
      </c>
      <c r="AU59" s="4">
        <f t="shared" si="53"/>
        <v>0</v>
      </c>
      <c r="AV59" s="4" t="e">
        <f t="shared" si="53"/>
        <v>#DIV/0!</v>
      </c>
      <c r="AW59" s="4">
        <f t="shared" si="53"/>
        <v>0</v>
      </c>
      <c r="AX59" s="4" t="e">
        <f t="shared" si="53"/>
        <v>#DIV/0!</v>
      </c>
      <c r="AY59" s="4">
        <f t="shared" si="53"/>
        <v>2.6630698897605497E-5</v>
      </c>
      <c r="AZ59" s="4" t="e">
        <f t="shared" si="53"/>
        <v>#DIV/0!</v>
      </c>
      <c r="BA59" s="4">
        <f t="shared" si="53"/>
        <v>0</v>
      </c>
      <c r="BB59" s="4" t="e">
        <f t="shared" si="53"/>
        <v>#DIV/0!</v>
      </c>
      <c r="BC59" s="4">
        <f t="shared" si="53"/>
        <v>2.2022419137443299E-4</v>
      </c>
      <c r="BD59" s="4" t="e">
        <f t="shared" si="53"/>
        <v>#DIV/0!</v>
      </c>
      <c r="BE59" s="4">
        <f t="shared" si="53"/>
        <v>1.0172282507818688E-2</v>
      </c>
      <c r="BF59" s="4" t="e">
        <f t="shared" si="53"/>
        <v>#DIV/0!</v>
      </c>
      <c r="BG59" s="4">
        <f t="shared" si="53"/>
        <v>1.1049445916705753E-2</v>
      </c>
      <c r="BH59" s="4" t="e">
        <f t="shared" si="53"/>
        <v>#DIV/0!</v>
      </c>
      <c r="BI59" s="4">
        <f t="shared" si="53"/>
        <v>8.4295018724994515E-5</v>
      </c>
      <c r="BJ59" s="4" t="e">
        <f t="shared" si="53"/>
        <v>#DIV/0!</v>
      </c>
      <c r="BK59" s="4">
        <f t="shared" si="53"/>
        <v>0</v>
      </c>
      <c r="BL59" s="4" t="e">
        <f t="shared" si="53"/>
        <v>#DIV/0!</v>
      </c>
      <c r="BM59" s="4">
        <f t="shared" si="53"/>
        <v>0</v>
      </c>
      <c r="BN59" s="4" t="e">
        <f t="shared" si="53"/>
        <v>#DIV/0!</v>
      </c>
      <c r="BO59" s="4">
        <f t="shared" si="53"/>
        <v>0</v>
      </c>
      <c r="BP59" s="4" t="e">
        <f t="shared" ref="BP59:CC59" si="54">AVERAGE(BP40:BP43)</f>
        <v>#DIV/0!</v>
      </c>
      <c r="BQ59" s="4">
        <f t="shared" si="54"/>
        <v>0.91542596545072874</v>
      </c>
      <c r="BR59" s="4" t="e">
        <f t="shared" si="54"/>
        <v>#DIV/0!</v>
      </c>
      <c r="BS59" s="4">
        <f t="shared" si="54"/>
        <v>6.4602050004256322</v>
      </c>
      <c r="BT59" s="4" t="e">
        <f t="shared" si="54"/>
        <v>#DIV/0!</v>
      </c>
      <c r="BU59" s="4">
        <f t="shared" si="54"/>
        <v>0.20082621346622848</v>
      </c>
      <c r="BV59" s="4" t="e">
        <f t="shared" si="54"/>
        <v>#DIV/0!</v>
      </c>
      <c r="BW59" s="4">
        <f t="shared" si="54"/>
        <v>1.5277022996786024E-3</v>
      </c>
      <c r="BX59" s="4" t="e">
        <f t="shared" si="54"/>
        <v>#DIV/0!</v>
      </c>
      <c r="BY59" s="4">
        <f t="shared" si="54"/>
        <v>0</v>
      </c>
      <c r="BZ59" s="4" t="e">
        <f t="shared" si="54"/>
        <v>#DIV/0!</v>
      </c>
      <c r="CA59" s="4">
        <f t="shared" si="54"/>
        <v>0</v>
      </c>
      <c r="CB59" s="4">
        <f t="shared" si="54"/>
        <v>0</v>
      </c>
      <c r="CC59" s="4">
        <f t="shared" si="54"/>
        <v>8.892655694114697E-2</v>
      </c>
      <c r="CD59" s="4" t="e">
        <f t="shared" si="26"/>
        <v>#DIV/0!</v>
      </c>
      <c r="CE59" s="4">
        <f t="shared" si="26"/>
        <v>17.456285205490847</v>
      </c>
      <c r="CF59" s="4" t="e">
        <f t="shared" si="30"/>
        <v>#DIV/0!</v>
      </c>
      <c r="CG59" s="4" t="e">
        <f t="shared" si="31"/>
        <v>#DIV/0!</v>
      </c>
      <c r="CH59" s="4" t="e">
        <f t="shared" si="32"/>
        <v>#DIV/0!</v>
      </c>
      <c r="CI59" s="4" t="e">
        <f t="shared" si="33"/>
        <v>#DIV/0!</v>
      </c>
    </row>
    <row r="60" spans="2:90" x14ac:dyDescent="0.25">
      <c r="B60" s="4"/>
      <c r="C60" s="63">
        <v>136</v>
      </c>
      <c r="D60" s="4" t="e">
        <f t="shared" ref="D60:AI60" si="55">AVERAGE(D44:D47)</f>
        <v>#DIV/0!</v>
      </c>
      <c r="E60" s="4">
        <f t="shared" si="55"/>
        <v>6.9320652725452132E-3</v>
      </c>
      <c r="F60" s="4" t="e">
        <f t="shared" si="55"/>
        <v>#DIV/0!</v>
      </c>
      <c r="G60" s="4">
        <f t="shared" si="55"/>
        <v>0</v>
      </c>
      <c r="H60" s="4" t="e">
        <f t="shared" si="55"/>
        <v>#DIV/0!</v>
      </c>
      <c r="I60" s="4">
        <f t="shared" si="55"/>
        <v>0</v>
      </c>
      <c r="J60" s="4" t="e">
        <f t="shared" si="55"/>
        <v>#DIV/0!</v>
      </c>
      <c r="K60" s="4">
        <f t="shared" si="55"/>
        <v>0</v>
      </c>
      <c r="L60" s="4" t="e">
        <f t="shared" si="55"/>
        <v>#DIV/0!</v>
      </c>
      <c r="M60" s="4">
        <f t="shared" si="55"/>
        <v>0</v>
      </c>
      <c r="N60" s="4" t="e">
        <f t="shared" si="55"/>
        <v>#DIV/0!</v>
      </c>
      <c r="O60" s="4">
        <f t="shared" si="55"/>
        <v>0</v>
      </c>
      <c r="P60" s="4" t="e">
        <f t="shared" si="55"/>
        <v>#DIV/0!</v>
      </c>
      <c r="Q60" s="4">
        <f t="shared" si="55"/>
        <v>9.0009340121872637E-3</v>
      </c>
      <c r="R60" s="4" t="e">
        <f t="shared" si="55"/>
        <v>#DIV/0!</v>
      </c>
      <c r="S60" s="4">
        <f t="shared" si="55"/>
        <v>1.6614920594478775E-3</v>
      </c>
      <c r="T60" s="4" t="e">
        <f t="shared" si="55"/>
        <v>#DIV/0!</v>
      </c>
      <c r="U60" s="4">
        <f t="shared" si="55"/>
        <v>0</v>
      </c>
      <c r="V60" s="4" t="e">
        <f t="shared" si="55"/>
        <v>#DIV/0!</v>
      </c>
      <c r="W60" s="4">
        <f t="shared" si="55"/>
        <v>0</v>
      </c>
      <c r="X60" s="4" t="e">
        <f t="shared" si="55"/>
        <v>#DIV/0!</v>
      </c>
      <c r="Y60" s="4">
        <f t="shared" si="55"/>
        <v>0</v>
      </c>
      <c r="Z60" s="4" t="e">
        <f t="shared" si="55"/>
        <v>#DIV/0!</v>
      </c>
      <c r="AA60" s="4">
        <f t="shared" si="55"/>
        <v>0</v>
      </c>
      <c r="AB60" s="4" t="e">
        <f t="shared" si="55"/>
        <v>#DIV/0!</v>
      </c>
      <c r="AC60" s="4">
        <f t="shared" si="55"/>
        <v>0</v>
      </c>
      <c r="AD60" s="4" t="e">
        <f t="shared" si="55"/>
        <v>#DIV/0!</v>
      </c>
      <c r="AE60" s="4">
        <f t="shared" si="55"/>
        <v>0</v>
      </c>
      <c r="AF60" s="4" t="e">
        <f t="shared" si="55"/>
        <v>#DIV/0!</v>
      </c>
      <c r="AG60" s="4">
        <f t="shared" si="55"/>
        <v>0</v>
      </c>
      <c r="AH60" s="4" t="e">
        <f t="shared" si="55"/>
        <v>#DIV/0!</v>
      </c>
      <c r="AI60" s="4">
        <f t="shared" si="55"/>
        <v>1.8733297201410348</v>
      </c>
      <c r="AJ60" s="4" t="e">
        <f t="shared" ref="AJ60:BO60" si="56">AVERAGE(AJ44:AJ47)</f>
        <v>#DIV/0!</v>
      </c>
      <c r="AK60" s="4">
        <f t="shared" si="56"/>
        <v>0.33927030273870173</v>
      </c>
      <c r="AL60" s="4" t="e">
        <f t="shared" si="56"/>
        <v>#DIV/0!</v>
      </c>
      <c r="AM60" s="4">
        <f t="shared" si="56"/>
        <v>4.3991815676489028E-2</v>
      </c>
      <c r="AN60" s="4" t="e">
        <f t="shared" si="56"/>
        <v>#DIV/0!</v>
      </c>
      <c r="AO60" s="4">
        <f t="shared" si="56"/>
        <v>0</v>
      </c>
      <c r="AP60" s="4" t="e">
        <f t="shared" si="56"/>
        <v>#DIV/0!</v>
      </c>
      <c r="AQ60" s="4">
        <f t="shared" si="56"/>
        <v>0</v>
      </c>
      <c r="AR60" s="4" t="e">
        <f t="shared" si="56"/>
        <v>#DIV/0!</v>
      </c>
      <c r="AS60" s="4">
        <f t="shared" si="56"/>
        <v>0</v>
      </c>
      <c r="AT60" s="4" t="e">
        <f t="shared" si="56"/>
        <v>#DIV/0!</v>
      </c>
      <c r="AU60" s="4">
        <f t="shared" si="56"/>
        <v>0</v>
      </c>
      <c r="AV60" s="4" t="e">
        <f t="shared" si="56"/>
        <v>#DIV/0!</v>
      </c>
      <c r="AW60" s="4">
        <f t="shared" si="56"/>
        <v>0</v>
      </c>
      <c r="AX60" s="4" t="e">
        <f t="shared" si="56"/>
        <v>#DIV/0!</v>
      </c>
      <c r="AY60" s="4">
        <f t="shared" si="56"/>
        <v>1.964802978307012E-5</v>
      </c>
      <c r="AZ60" s="4" t="e">
        <f t="shared" si="56"/>
        <v>#DIV/0!</v>
      </c>
      <c r="BA60" s="4">
        <f t="shared" si="56"/>
        <v>0</v>
      </c>
      <c r="BB60" s="4" t="e">
        <f t="shared" si="56"/>
        <v>#DIV/0!</v>
      </c>
      <c r="BC60" s="4">
        <f t="shared" si="56"/>
        <v>7.3654394017892759E-5</v>
      </c>
      <c r="BD60" s="4" t="e">
        <f t="shared" si="56"/>
        <v>#DIV/0!</v>
      </c>
      <c r="BE60" s="4">
        <f t="shared" si="56"/>
        <v>1.3171140879265964E-3</v>
      </c>
      <c r="BF60" s="4" t="e">
        <f t="shared" si="56"/>
        <v>#DIV/0!</v>
      </c>
      <c r="BG60" s="4">
        <f t="shared" si="56"/>
        <v>9.7861468610703321E-4</v>
      </c>
      <c r="BH60" s="4" t="e">
        <f t="shared" si="56"/>
        <v>#DIV/0!</v>
      </c>
      <c r="BI60" s="4">
        <f t="shared" si="56"/>
        <v>0</v>
      </c>
      <c r="BJ60" s="4" t="e">
        <f t="shared" si="56"/>
        <v>#DIV/0!</v>
      </c>
      <c r="BK60" s="4">
        <f t="shared" si="56"/>
        <v>0</v>
      </c>
      <c r="BL60" s="4" t="e">
        <f t="shared" si="56"/>
        <v>#DIV/0!</v>
      </c>
      <c r="BM60" s="4">
        <f t="shared" si="56"/>
        <v>0</v>
      </c>
      <c r="BN60" s="4" t="e">
        <f t="shared" si="56"/>
        <v>#DIV/0!</v>
      </c>
      <c r="BO60" s="4">
        <f t="shared" si="56"/>
        <v>0</v>
      </c>
      <c r="BP60" s="4" t="e">
        <f t="shared" ref="BP60:CC60" si="57">AVERAGE(BP44:BP47)</f>
        <v>#DIV/0!</v>
      </c>
      <c r="BQ60" s="4">
        <f t="shared" si="57"/>
        <v>0.307309575185157</v>
      </c>
      <c r="BR60" s="4" t="e">
        <f t="shared" si="57"/>
        <v>#DIV/0!</v>
      </c>
      <c r="BS60" s="4">
        <f t="shared" si="57"/>
        <v>1.2941348516501363</v>
      </c>
      <c r="BT60" s="4" t="e">
        <f t="shared" si="57"/>
        <v>#DIV/0!</v>
      </c>
      <c r="BU60" s="4">
        <f t="shared" si="57"/>
        <v>3.8199928301204944E-2</v>
      </c>
      <c r="BV60" s="4" t="e">
        <f t="shared" si="57"/>
        <v>#DIV/0!</v>
      </c>
      <c r="BW60" s="4">
        <f t="shared" si="57"/>
        <v>0</v>
      </c>
      <c r="BX60" s="4" t="e">
        <f t="shared" si="57"/>
        <v>#DIV/0!</v>
      </c>
      <c r="BY60" s="4">
        <f t="shared" si="57"/>
        <v>0</v>
      </c>
      <c r="BZ60" s="4" t="e">
        <f t="shared" si="57"/>
        <v>#DIV/0!</v>
      </c>
      <c r="CA60" s="4">
        <f t="shared" si="57"/>
        <v>0</v>
      </c>
      <c r="CB60" s="4">
        <f t="shared" si="57"/>
        <v>0</v>
      </c>
      <c r="CC60" s="4">
        <f t="shared" si="57"/>
        <v>1.3051457269469734E-2</v>
      </c>
      <c r="CD60" s="4" t="e">
        <f t="shared" si="26"/>
        <v>#DIV/0!</v>
      </c>
      <c r="CE60" s="4">
        <f t="shared" si="26"/>
        <v>3.9162197162347385</v>
      </c>
      <c r="CF60" s="4" t="e">
        <f t="shared" si="30"/>
        <v>#DIV/0!</v>
      </c>
      <c r="CG60" s="4" t="e">
        <f t="shared" si="31"/>
        <v>#DIV/0!</v>
      </c>
      <c r="CH60" s="4" t="e">
        <f t="shared" si="32"/>
        <v>#DIV/0!</v>
      </c>
      <c r="CI60" s="4" t="e">
        <f t="shared" si="33"/>
        <v>#DIV/0!</v>
      </c>
    </row>
    <row r="61" spans="2:90" x14ac:dyDescent="0.25">
      <c r="B61" s="4" t="s">
        <v>90</v>
      </c>
      <c r="C61" s="63">
        <v>1</v>
      </c>
      <c r="D61" s="4">
        <f t="shared" ref="D61:AI61" si="58">_xlfn.STDEV.P(D4:D7)</f>
        <v>14.467652558662074</v>
      </c>
      <c r="E61" s="4">
        <f t="shared" si="58"/>
        <v>2.9947813422243025E-3</v>
      </c>
      <c r="F61" s="4">
        <f t="shared" si="58"/>
        <v>3.0964927877445345</v>
      </c>
      <c r="G61" s="4">
        <f t="shared" si="58"/>
        <v>0</v>
      </c>
      <c r="H61" s="4">
        <f t="shared" si="58"/>
        <v>0.59839795558648967</v>
      </c>
      <c r="I61" s="4">
        <f t="shared" si="58"/>
        <v>0</v>
      </c>
      <c r="J61" s="4">
        <f t="shared" si="58"/>
        <v>0.17118882886570275</v>
      </c>
      <c r="K61" s="4">
        <f t="shared" si="58"/>
        <v>0</v>
      </c>
      <c r="L61" s="4">
        <f t="shared" si="58"/>
        <v>6.2599043319914633</v>
      </c>
      <c r="M61" s="4">
        <f t="shared" si="58"/>
        <v>4.3879666204467958E-4</v>
      </c>
      <c r="N61" s="4">
        <f t="shared" si="58"/>
        <v>3.1429392200193168E-2</v>
      </c>
      <c r="O61" s="4">
        <f t="shared" si="58"/>
        <v>1.0307335611402881E-3</v>
      </c>
      <c r="P61" s="4">
        <f t="shared" si="58"/>
        <v>8.4138393640222353E-2</v>
      </c>
      <c r="Q61" s="4">
        <f t="shared" si="58"/>
        <v>5.5473373685735747E-3</v>
      </c>
      <c r="R61" s="4">
        <f t="shared" si="58"/>
        <v>2.0810249925815139E-2</v>
      </c>
      <c r="S61" s="4">
        <f t="shared" si="58"/>
        <v>1.1211340971280799E-3</v>
      </c>
      <c r="T61" s="4">
        <f t="shared" si="58"/>
        <v>4.269385030636829E-2</v>
      </c>
      <c r="U61" s="4">
        <f t="shared" si="58"/>
        <v>0</v>
      </c>
      <c r="V61" s="4">
        <f t="shared" si="58"/>
        <v>2.525717070099779E-2</v>
      </c>
      <c r="W61" s="4">
        <f t="shared" si="58"/>
        <v>0</v>
      </c>
      <c r="X61" s="4">
        <f t="shared" si="58"/>
        <v>1.4497159712353847E-2</v>
      </c>
      <c r="Y61" s="4">
        <f t="shared" si="58"/>
        <v>0</v>
      </c>
      <c r="Z61" s="4">
        <f t="shared" si="58"/>
        <v>5.4728212353775736E-2</v>
      </c>
      <c r="AA61" s="4">
        <f t="shared" si="58"/>
        <v>0</v>
      </c>
      <c r="AB61" s="4">
        <f t="shared" si="58"/>
        <v>0</v>
      </c>
      <c r="AC61" s="4">
        <f t="shared" si="58"/>
        <v>0</v>
      </c>
      <c r="AD61" s="4">
        <f t="shared" si="58"/>
        <v>0.14444816148485576</v>
      </c>
      <c r="AE61" s="4">
        <f t="shared" si="58"/>
        <v>0</v>
      </c>
      <c r="AF61" s="4">
        <f t="shared" si="58"/>
        <v>4.5699578469940348E-2</v>
      </c>
      <c r="AG61" s="4">
        <f t="shared" si="58"/>
        <v>0</v>
      </c>
      <c r="AH61" s="4">
        <f t="shared" si="58"/>
        <v>14.865744126865946</v>
      </c>
      <c r="AI61" s="4">
        <f t="shared" si="58"/>
        <v>0</v>
      </c>
      <c r="AJ61" s="4">
        <f t="shared" ref="AJ61:BO61" si="59">_xlfn.STDEV.P(AJ4:AJ7)</f>
        <v>5.4896246974734479</v>
      </c>
      <c r="AK61" s="4">
        <f t="shared" si="59"/>
        <v>0</v>
      </c>
      <c r="AL61" s="4">
        <f t="shared" si="59"/>
        <v>10.104587375502883</v>
      </c>
      <c r="AM61" s="4">
        <f t="shared" si="59"/>
        <v>0</v>
      </c>
      <c r="AN61" s="4">
        <f t="shared" si="59"/>
        <v>1.0609358098782573</v>
      </c>
      <c r="AO61" s="4">
        <f t="shared" si="59"/>
        <v>0</v>
      </c>
      <c r="AP61" s="4">
        <f t="shared" si="59"/>
        <v>0.51003353344475355</v>
      </c>
      <c r="AQ61" s="4">
        <f t="shared" si="59"/>
        <v>0</v>
      </c>
      <c r="AR61" s="4">
        <f t="shared" si="59"/>
        <v>6.9941188576953597E-2</v>
      </c>
      <c r="AS61" s="4">
        <f t="shared" si="59"/>
        <v>0</v>
      </c>
      <c r="AT61" s="4">
        <f t="shared" si="59"/>
        <v>0</v>
      </c>
      <c r="AU61" s="4">
        <f t="shared" si="59"/>
        <v>0</v>
      </c>
      <c r="AV61" s="4">
        <f t="shared" si="59"/>
        <v>3.6999135877057623E-2</v>
      </c>
      <c r="AW61" s="4">
        <f t="shared" si="59"/>
        <v>0</v>
      </c>
      <c r="AX61" s="4">
        <f t="shared" si="59"/>
        <v>1.2807332189850835</v>
      </c>
      <c r="AY61" s="4">
        <f t="shared" si="59"/>
        <v>2.2915561066460012E-5</v>
      </c>
      <c r="AZ61" s="4">
        <f t="shared" si="59"/>
        <v>6.8334907696192923E-2</v>
      </c>
      <c r="BA61" s="4">
        <f t="shared" si="59"/>
        <v>0</v>
      </c>
      <c r="BB61" s="4">
        <f t="shared" si="59"/>
        <v>3.4497101005052155E-2</v>
      </c>
      <c r="BC61" s="4">
        <f t="shared" si="59"/>
        <v>0</v>
      </c>
      <c r="BD61" s="4">
        <f t="shared" si="59"/>
        <v>3.5760700904756769E-2</v>
      </c>
      <c r="BE61" s="4">
        <f t="shared" si="59"/>
        <v>0</v>
      </c>
      <c r="BF61" s="4">
        <f t="shared" si="59"/>
        <v>5.4842740971940786E-2</v>
      </c>
      <c r="BG61" s="4">
        <f t="shared" si="59"/>
        <v>0</v>
      </c>
      <c r="BH61" s="4">
        <f t="shared" si="59"/>
        <v>5.296651625690714E-2</v>
      </c>
      <c r="BI61" s="4">
        <f t="shared" si="59"/>
        <v>0</v>
      </c>
      <c r="BJ61" s="4">
        <f t="shared" si="59"/>
        <v>0.14542367737350589</v>
      </c>
      <c r="BK61" s="4">
        <f t="shared" si="59"/>
        <v>0</v>
      </c>
      <c r="BL61" s="4">
        <f t="shared" si="59"/>
        <v>1.5902559551728552E-2</v>
      </c>
      <c r="BM61" s="4">
        <f t="shared" si="59"/>
        <v>0</v>
      </c>
      <c r="BN61" s="4">
        <f t="shared" si="59"/>
        <v>0</v>
      </c>
      <c r="BO61" s="4">
        <f t="shared" si="59"/>
        <v>0</v>
      </c>
      <c r="BP61" s="4">
        <f t="shared" ref="BP61:CE61" si="60">_xlfn.STDEV.P(BP4:BP7)</f>
        <v>2.1988918578254371</v>
      </c>
      <c r="BQ61" s="4">
        <f t="shared" si="60"/>
        <v>0</v>
      </c>
      <c r="BR61" s="4">
        <f t="shared" si="60"/>
        <v>24.270591328756225</v>
      </c>
      <c r="BS61" s="4">
        <f t="shared" si="60"/>
        <v>0</v>
      </c>
      <c r="BT61" s="4">
        <f t="shared" si="60"/>
        <v>5.7003320451569106</v>
      </c>
      <c r="BU61" s="4">
        <f t="shared" si="60"/>
        <v>0</v>
      </c>
      <c r="BV61" s="4">
        <f t="shared" si="60"/>
        <v>3.0680039069513509</v>
      </c>
      <c r="BW61" s="4">
        <f t="shared" si="60"/>
        <v>0</v>
      </c>
      <c r="BX61" s="4">
        <f t="shared" si="60"/>
        <v>2.1536019134108058</v>
      </c>
      <c r="BY61" s="4">
        <f t="shared" si="60"/>
        <v>0</v>
      </c>
      <c r="BZ61" s="4">
        <f t="shared" si="60"/>
        <v>2.2947535719118139</v>
      </c>
      <c r="CA61" s="4">
        <f t="shared" si="60"/>
        <v>0</v>
      </c>
      <c r="CB61" s="4">
        <f t="shared" si="60"/>
        <v>0.4419234130108301</v>
      </c>
      <c r="CC61" s="4">
        <f t="shared" si="60"/>
        <v>6.6159818159262519E-3</v>
      </c>
      <c r="CD61" s="4">
        <f t="shared" si="60"/>
        <v>43.551959293018427</v>
      </c>
      <c r="CE61" s="4">
        <f t="shared" si="60"/>
        <v>9.5836463403813459E-3</v>
      </c>
      <c r="CF61" s="4">
        <f>_xlfn.STDEV.P(CF4:CF7)</f>
        <v>11.902892882319877</v>
      </c>
      <c r="CG61" s="4">
        <f t="shared" ref="CG61:CI61" si="61">_xlfn.STDEV.P(CG4:CG7)</f>
        <v>1.3926775235818045</v>
      </c>
      <c r="CH61" s="4">
        <f t="shared" si="61"/>
        <v>17.724969954572234</v>
      </c>
      <c r="CI61" s="4">
        <f t="shared" si="61"/>
        <v>32.229367730490431</v>
      </c>
    </row>
    <row r="62" spans="2:90" x14ac:dyDescent="0.25">
      <c r="B62" s="4"/>
      <c r="C62" s="63">
        <v>5</v>
      </c>
      <c r="D62" s="4">
        <f t="shared" ref="D62:AI62" si="62">_xlfn.STDEV.P(D8:D11)</f>
        <v>21.193216329881501</v>
      </c>
      <c r="E62" s="4">
        <f t="shared" si="62"/>
        <v>0.84318827945281971</v>
      </c>
      <c r="F62" s="4">
        <f t="shared" si="62"/>
        <v>5.6547649876175079</v>
      </c>
      <c r="G62" s="4">
        <f t="shared" si="62"/>
        <v>1.2500721161884429E-2</v>
      </c>
      <c r="H62" s="4">
        <f t="shared" si="62"/>
        <v>1.8638311702728108</v>
      </c>
      <c r="I62" s="4">
        <f t="shared" si="62"/>
        <v>0</v>
      </c>
      <c r="J62" s="4">
        <f t="shared" si="62"/>
        <v>0.71909984194688037</v>
      </c>
      <c r="K62" s="4">
        <f t="shared" si="62"/>
        <v>0</v>
      </c>
      <c r="L62" s="4">
        <f t="shared" si="62"/>
        <v>20.624082849102749</v>
      </c>
      <c r="M62" s="4">
        <f t="shared" si="62"/>
        <v>8.0978444380364847E-2</v>
      </c>
      <c r="N62" s="4">
        <f t="shared" si="62"/>
        <v>0.13962253484172338</v>
      </c>
      <c r="O62" s="4">
        <f t="shared" si="62"/>
        <v>3.0946419287752559E-3</v>
      </c>
      <c r="P62" s="4">
        <f t="shared" si="62"/>
        <v>0.32663461754544709</v>
      </c>
      <c r="Q62" s="4">
        <f t="shared" si="62"/>
        <v>1.2462056514425918E-2</v>
      </c>
      <c r="R62" s="4">
        <f t="shared" si="62"/>
        <v>0.15693719570440848</v>
      </c>
      <c r="S62" s="4">
        <f t="shared" si="62"/>
        <v>3.4985811092530157E-3</v>
      </c>
      <c r="T62" s="4">
        <f t="shared" si="62"/>
        <v>0.26781381577872898</v>
      </c>
      <c r="U62" s="4">
        <f t="shared" si="62"/>
        <v>3.4192783283423854E-3</v>
      </c>
      <c r="V62" s="4">
        <f t="shared" si="62"/>
        <v>0.20446753884690863</v>
      </c>
      <c r="W62" s="4">
        <f t="shared" si="62"/>
        <v>0</v>
      </c>
      <c r="X62" s="4">
        <f t="shared" si="62"/>
        <v>0.15681901447353336</v>
      </c>
      <c r="Y62" s="4">
        <f t="shared" si="62"/>
        <v>0</v>
      </c>
      <c r="Z62" s="4">
        <f t="shared" si="62"/>
        <v>8.7038835221373276E-2</v>
      </c>
      <c r="AA62" s="4">
        <f t="shared" si="62"/>
        <v>0</v>
      </c>
      <c r="AB62" s="4">
        <f t="shared" si="62"/>
        <v>0</v>
      </c>
      <c r="AC62" s="4">
        <f t="shared" si="62"/>
        <v>0</v>
      </c>
      <c r="AD62" s="4">
        <f t="shared" si="62"/>
        <v>0.28821404425145841</v>
      </c>
      <c r="AE62" s="4">
        <f t="shared" si="62"/>
        <v>0</v>
      </c>
      <c r="AF62" s="4">
        <f t="shared" si="62"/>
        <v>0.12744373661474043</v>
      </c>
      <c r="AG62" s="4">
        <f t="shared" si="62"/>
        <v>0</v>
      </c>
      <c r="AH62" s="4">
        <f t="shared" si="62"/>
        <v>35.462946132706094</v>
      </c>
      <c r="AI62" s="4">
        <f t="shared" si="62"/>
        <v>0.67546560511218257</v>
      </c>
      <c r="AJ62" s="4">
        <f t="shared" ref="AJ62:BO62" si="63">_xlfn.STDEV.P(AJ8:AJ11)</f>
        <v>27.085311811567109</v>
      </c>
      <c r="AK62" s="4">
        <f t="shared" si="63"/>
        <v>0.3669799030428525</v>
      </c>
      <c r="AL62" s="4">
        <f t="shared" si="63"/>
        <v>49.31144521358511</v>
      </c>
      <c r="AM62" s="4">
        <f t="shared" si="63"/>
        <v>0.20579651551920461</v>
      </c>
      <c r="AN62" s="4">
        <f t="shared" si="63"/>
        <v>13.668913592342433</v>
      </c>
      <c r="AO62" s="4">
        <f t="shared" si="63"/>
        <v>2.5163052901526206E-2</v>
      </c>
      <c r="AP62" s="4">
        <f t="shared" si="63"/>
        <v>10.486475278299975</v>
      </c>
      <c r="AQ62" s="4">
        <f t="shared" si="63"/>
        <v>6.9101351667854877E-3</v>
      </c>
      <c r="AR62" s="4">
        <f t="shared" si="63"/>
        <v>2.7457003534643611</v>
      </c>
      <c r="AS62" s="4">
        <f t="shared" si="63"/>
        <v>0</v>
      </c>
      <c r="AT62" s="4">
        <f t="shared" si="63"/>
        <v>0</v>
      </c>
      <c r="AU62" s="4">
        <f t="shared" si="63"/>
        <v>0</v>
      </c>
      <c r="AV62" s="4">
        <f t="shared" si="63"/>
        <v>4.1065124682955985E-2</v>
      </c>
      <c r="AW62" s="4">
        <f t="shared" si="63"/>
        <v>0</v>
      </c>
      <c r="AX62" s="4">
        <f t="shared" si="63"/>
        <v>3.190202654491944</v>
      </c>
      <c r="AY62" s="4">
        <f t="shared" si="63"/>
        <v>7.5744095064432648E-3</v>
      </c>
      <c r="AZ62" s="4">
        <f t="shared" si="63"/>
        <v>0.15283827879240647</v>
      </c>
      <c r="BA62" s="4">
        <f t="shared" si="63"/>
        <v>7.1312601636016638E-4</v>
      </c>
      <c r="BB62" s="4">
        <f t="shared" si="63"/>
        <v>7.5175355313863185E-2</v>
      </c>
      <c r="BC62" s="4">
        <f t="shared" si="63"/>
        <v>0</v>
      </c>
      <c r="BD62" s="4">
        <f t="shared" si="63"/>
        <v>0.20418249113181419</v>
      </c>
      <c r="BE62" s="4">
        <f t="shared" si="63"/>
        <v>0</v>
      </c>
      <c r="BF62" s="4">
        <f t="shared" si="63"/>
        <v>0.9393544295409062</v>
      </c>
      <c r="BG62" s="4">
        <f t="shared" si="63"/>
        <v>1.2159967796372803E-3</v>
      </c>
      <c r="BH62" s="4">
        <f t="shared" si="63"/>
        <v>0.56465811942878497</v>
      </c>
      <c r="BI62" s="4">
        <f t="shared" si="63"/>
        <v>2.7580733637802817E-3</v>
      </c>
      <c r="BJ62" s="4">
        <f t="shared" si="63"/>
        <v>0.82849788713904982</v>
      </c>
      <c r="BK62" s="4">
        <f t="shared" si="63"/>
        <v>2.9458194890224225E-3</v>
      </c>
      <c r="BL62" s="4">
        <f t="shared" si="63"/>
        <v>3.0651368018637278E-2</v>
      </c>
      <c r="BM62" s="4">
        <f t="shared" si="63"/>
        <v>0</v>
      </c>
      <c r="BN62" s="4">
        <f t="shared" si="63"/>
        <v>0</v>
      </c>
      <c r="BO62" s="4">
        <f t="shared" si="63"/>
        <v>0</v>
      </c>
      <c r="BP62" s="4">
        <f t="shared" ref="BP62:CE62" si="64">_xlfn.STDEV.P(BP8:BP11)</f>
        <v>7.3235788592661102</v>
      </c>
      <c r="BQ62" s="4">
        <f t="shared" si="64"/>
        <v>8.7467898250365286E-2</v>
      </c>
      <c r="BR62" s="4">
        <f t="shared" si="64"/>
        <v>68.094567494690423</v>
      </c>
      <c r="BS62" s="4">
        <f t="shared" si="64"/>
        <v>0.69521926410998824</v>
      </c>
      <c r="BT62" s="4">
        <f t="shared" si="64"/>
        <v>49.842292963402386</v>
      </c>
      <c r="BU62" s="4">
        <f t="shared" si="64"/>
        <v>0.14667841972658169</v>
      </c>
      <c r="BV62" s="4">
        <f t="shared" si="64"/>
        <v>49.331552600734746</v>
      </c>
      <c r="BW62" s="4">
        <f t="shared" si="64"/>
        <v>0.15774528308481836</v>
      </c>
      <c r="BX62" s="4">
        <f t="shared" si="64"/>
        <v>35.507598147728316</v>
      </c>
      <c r="BY62" s="4">
        <f t="shared" si="64"/>
        <v>4.4312029254099265E-2</v>
      </c>
      <c r="BZ62" s="4">
        <f t="shared" si="64"/>
        <v>37.481958497839898</v>
      </c>
      <c r="CA62" s="4">
        <f t="shared" si="64"/>
        <v>1.7937659456684477E-2</v>
      </c>
      <c r="CB62" s="4">
        <f t="shared" si="64"/>
        <v>4.4314827493994731</v>
      </c>
      <c r="CC62" s="4">
        <f t="shared" si="64"/>
        <v>0.14110199468717427</v>
      </c>
      <c r="CD62" s="4">
        <f t="shared" si="64"/>
        <v>360.36117943752225</v>
      </c>
      <c r="CE62" s="4">
        <f t="shared" si="64"/>
        <v>3.3465664383896825</v>
      </c>
      <c r="CF62" s="4">
        <f>_xlfn.STDEV.P(CF8:CF11)</f>
        <v>38.505193239784283</v>
      </c>
      <c r="CG62" s="4">
        <f t="shared" ref="CG62:CI62" si="65">_xlfn.STDEV.P(CG8:CG11)</f>
        <v>4.1517024829345734</v>
      </c>
      <c r="CH62" s="4">
        <f t="shared" si="65"/>
        <v>121.61903286097458</v>
      </c>
      <c r="CI62" s="4">
        <f t="shared" si="65"/>
        <v>219.73519455042501</v>
      </c>
    </row>
    <row r="63" spans="2:90" x14ac:dyDescent="0.25">
      <c r="B63" s="4"/>
      <c r="C63" s="63">
        <v>17</v>
      </c>
      <c r="D63" s="4">
        <f t="shared" ref="D63:AI63" si="66">_xlfn.STDEV.P(D13:D16)</f>
        <v>0</v>
      </c>
      <c r="E63" s="4">
        <f t="shared" si="66"/>
        <v>0.97374221245996284</v>
      </c>
      <c r="F63" s="4">
        <f t="shared" si="66"/>
        <v>0</v>
      </c>
      <c r="G63" s="4">
        <f t="shared" si="66"/>
        <v>7.4828404845630175E-3</v>
      </c>
      <c r="H63" s="4">
        <f t="shared" si="66"/>
        <v>0</v>
      </c>
      <c r="I63" s="4">
        <f t="shared" si="66"/>
        <v>0</v>
      </c>
      <c r="J63" s="4">
        <f t="shared" si="66"/>
        <v>0</v>
      </c>
      <c r="K63" s="4">
        <f t="shared" si="66"/>
        <v>0</v>
      </c>
      <c r="L63" s="4">
        <f t="shared" si="66"/>
        <v>0</v>
      </c>
      <c r="M63" s="4">
        <f t="shared" si="66"/>
        <v>6.4760359202133438E-2</v>
      </c>
      <c r="N63" s="4">
        <f t="shared" si="66"/>
        <v>0</v>
      </c>
      <c r="O63" s="4">
        <f t="shared" si="66"/>
        <v>4.0477657135333262E-3</v>
      </c>
      <c r="P63" s="4">
        <f t="shared" si="66"/>
        <v>0</v>
      </c>
      <c r="Q63" s="4">
        <f t="shared" si="66"/>
        <v>2.1014656207140114E-2</v>
      </c>
      <c r="R63" s="4">
        <f t="shared" si="66"/>
        <v>0</v>
      </c>
      <c r="S63" s="4">
        <f t="shared" si="66"/>
        <v>1.0527548970547194E-2</v>
      </c>
      <c r="T63" s="4">
        <f t="shared" si="66"/>
        <v>0</v>
      </c>
      <c r="U63" s="4">
        <f t="shared" si="66"/>
        <v>8.1143542962750607E-3</v>
      </c>
      <c r="V63" s="4">
        <f t="shared" si="66"/>
        <v>0</v>
      </c>
      <c r="W63" s="4">
        <f t="shared" si="66"/>
        <v>3.7058113497675004E-3</v>
      </c>
      <c r="X63" s="4">
        <f t="shared" si="66"/>
        <v>0</v>
      </c>
      <c r="Y63" s="4">
        <f t="shared" si="66"/>
        <v>1.9553344076655181E-3</v>
      </c>
      <c r="Z63" s="4">
        <f t="shared" si="66"/>
        <v>0</v>
      </c>
      <c r="AA63" s="4">
        <f t="shared" si="66"/>
        <v>0</v>
      </c>
      <c r="AB63" s="4">
        <f t="shared" si="66"/>
        <v>0</v>
      </c>
      <c r="AC63" s="4">
        <f t="shared" si="66"/>
        <v>0</v>
      </c>
      <c r="AD63" s="4">
        <f t="shared" si="66"/>
        <v>0</v>
      </c>
      <c r="AE63" s="4">
        <f t="shared" si="66"/>
        <v>3.5807464740698104E-3</v>
      </c>
      <c r="AF63" s="4">
        <f t="shared" si="66"/>
        <v>0</v>
      </c>
      <c r="AG63" s="4">
        <f t="shared" si="66"/>
        <v>2.3954443908327733E-3</v>
      </c>
      <c r="AH63" s="4">
        <f t="shared" si="66"/>
        <v>0</v>
      </c>
      <c r="AI63" s="4">
        <f t="shared" si="66"/>
        <v>2.9027525564281991</v>
      </c>
      <c r="AJ63" s="4">
        <f t="shared" ref="AJ63:BO63" si="67">_xlfn.STDEV.P(AJ13:AJ16)</f>
        <v>0</v>
      </c>
      <c r="AK63" s="4">
        <f t="shared" si="67"/>
        <v>1.9761797236279168</v>
      </c>
      <c r="AL63" s="4">
        <f t="shared" si="67"/>
        <v>0</v>
      </c>
      <c r="AM63" s="4">
        <f t="shared" si="67"/>
        <v>0.84279458284109743</v>
      </c>
      <c r="AN63" s="4">
        <f t="shared" si="67"/>
        <v>0</v>
      </c>
      <c r="AO63" s="4">
        <f t="shared" si="67"/>
        <v>0.12015235403094293</v>
      </c>
      <c r="AP63" s="4">
        <f t="shared" si="67"/>
        <v>0</v>
      </c>
      <c r="AQ63" s="4">
        <f t="shared" si="67"/>
        <v>4.4938386215393894E-2</v>
      </c>
      <c r="AR63" s="4">
        <f t="shared" si="67"/>
        <v>0</v>
      </c>
      <c r="AS63" s="4">
        <f t="shared" si="67"/>
        <v>4.2736302306118782E-3</v>
      </c>
      <c r="AT63" s="4">
        <f t="shared" si="67"/>
        <v>0</v>
      </c>
      <c r="AU63" s="4">
        <f t="shared" si="67"/>
        <v>0</v>
      </c>
      <c r="AV63" s="4">
        <f t="shared" si="67"/>
        <v>0</v>
      </c>
      <c r="AW63" s="4">
        <f t="shared" si="67"/>
        <v>0</v>
      </c>
      <c r="AX63" s="4">
        <f t="shared" si="67"/>
        <v>0</v>
      </c>
      <c r="AY63" s="4">
        <f t="shared" si="67"/>
        <v>8.5669185311783042E-3</v>
      </c>
      <c r="AZ63" s="4">
        <f t="shared" si="67"/>
        <v>0</v>
      </c>
      <c r="BA63" s="4">
        <f t="shared" si="67"/>
        <v>6.8026827581884849E-4</v>
      </c>
      <c r="BB63" s="4">
        <f t="shared" si="67"/>
        <v>0</v>
      </c>
      <c r="BC63" s="4">
        <f t="shared" si="67"/>
        <v>1.2289866949905714E-3</v>
      </c>
      <c r="BD63" s="4">
        <f t="shared" si="67"/>
        <v>0</v>
      </c>
      <c r="BE63" s="4">
        <f t="shared" si="67"/>
        <v>3.1546233117639528E-3</v>
      </c>
      <c r="BF63" s="4">
        <f t="shared" si="67"/>
        <v>0</v>
      </c>
      <c r="BG63" s="4">
        <f t="shared" si="67"/>
        <v>1.5326551300052524E-2</v>
      </c>
      <c r="BH63" s="4">
        <f t="shared" si="67"/>
        <v>0</v>
      </c>
      <c r="BI63" s="4">
        <f t="shared" si="67"/>
        <v>9.8499309334650741E-3</v>
      </c>
      <c r="BJ63" s="4">
        <f t="shared" si="67"/>
        <v>0</v>
      </c>
      <c r="BK63" s="4">
        <f t="shared" si="67"/>
        <v>6.2441725610414269E-3</v>
      </c>
      <c r="BL63" s="4">
        <f t="shared" si="67"/>
        <v>0</v>
      </c>
      <c r="BM63" s="4">
        <f t="shared" si="67"/>
        <v>0</v>
      </c>
      <c r="BN63" s="4">
        <f t="shared" si="67"/>
        <v>0</v>
      </c>
      <c r="BO63" s="4">
        <f t="shared" si="67"/>
        <v>0</v>
      </c>
      <c r="BP63" s="4">
        <f t="shared" ref="BP63:CE63" si="68">_xlfn.STDEV.P(BP13:BP16)</f>
        <v>0</v>
      </c>
      <c r="BQ63" s="4">
        <f t="shared" si="68"/>
        <v>0.453444505510324</v>
      </c>
      <c r="BR63" s="4">
        <f t="shared" si="68"/>
        <v>0</v>
      </c>
      <c r="BS63" s="4">
        <f t="shared" si="68"/>
        <v>4.6415749259873618</v>
      </c>
      <c r="BT63" s="4">
        <f t="shared" si="68"/>
        <v>0</v>
      </c>
      <c r="BU63" s="4">
        <f t="shared" si="68"/>
        <v>0.76463163923447464</v>
      </c>
      <c r="BV63" s="4">
        <f t="shared" si="68"/>
        <v>0</v>
      </c>
      <c r="BW63" s="4">
        <f t="shared" si="68"/>
        <v>0.54211181512651196</v>
      </c>
      <c r="BX63" s="4">
        <f t="shared" si="68"/>
        <v>0</v>
      </c>
      <c r="BY63" s="4">
        <f t="shared" si="68"/>
        <v>0.1140657481883187</v>
      </c>
      <c r="BZ63" s="4">
        <f t="shared" si="68"/>
        <v>0</v>
      </c>
      <c r="CA63" s="4">
        <f t="shared" si="68"/>
        <v>4.9938292750805968E-2</v>
      </c>
      <c r="CB63" s="4">
        <f t="shared" si="68"/>
        <v>0</v>
      </c>
      <c r="CC63" s="4">
        <f t="shared" si="68"/>
        <v>0.19004251074206607</v>
      </c>
      <c r="CD63" s="4">
        <f t="shared" si="68"/>
        <v>0</v>
      </c>
      <c r="CE63" s="4">
        <f t="shared" si="68"/>
        <v>12.84202120343325</v>
      </c>
      <c r="CF63" s="4">
        <f>_xlfn.STDEV.P(CF13:CF16)</f>
        <v>0</v>
      </c>
      <c r="CG63" s="4">
        <f t="shared" ref="CG63:CI63" si="69">_xlfn.STDEV.P(CG13:CG16)</f>
        <v>0</v>
      </c>
      <c r="CH63" s="4">
        <f t="shared" si="69"/>
        <v>0</v>
      </c>
      <c r="CI63" s="4">
        <f t="shared" si="69"/>
        <v>0</v>
      </c>
    </row>
    <row r="64" spans="2:90" x14ac:dyDescent="0.25">
      <c r="B64" s="4"/>
      <c r="C64" s="63">
        <v>38</v>
      </c>
      <c r="D64" s="4">
        <f t="shared" ref="D64:AI64" si="70">_xlfn.STDEV.P(D19:D22)</f>
        <v>25.592886706492084</v>
      </c>
      <c r="E64" s="4">
        <f t="shared" si="70"/>
        <v>0.1258478596983251</v>
      </c>
      <c r="F64" s="4">
        <f t="shared" si="70"/>
        <v>6.0219739628430045</v>
      </c>
      <c r="G64" s="4">
        <f t="shared" si="70"/>
        <v>3.6953888954421943E-3</v>
      </c>
      <c r="H64" s="4">
        <f t="shared" si="70"/>
        <v>0.8713906754318208</v>
      </c>
      <c r="I64" s="4">
        <f t="shared" si="70"/>
        <v>0</v>
      </c>
      <c r="J64" s="4">
        <f t="shared" si="70"/>
        <v>0.19981525718630458</v>
      </c>
      <c r="K64" s="4">
        <f t="shared" si="70"/>
        <v>0</v>
      </c>
      <c r="L64" s="4">
        <f t="shared" si="70"/>
        <v>5.9004174381202068</v>
      </c>
      <c r="M64" s="4">
        <f t="shared" si="70"/>
        <v>5.0820226009474301E-3</v>
      </c>
      <c r="N64" s="4">
        <f t="shared" si="70"/>
        <v>4.8799287491101989E-2</v>
      </c>
      <c r="O64" s="4">
        <f t="shared" si="70"/>
        <v>1.9415489667925548E-3</v>
      </c>
      <c r="P64" s="4">
        <f t="shared" si="70"/>
        <v>0.24620644027140479</v>
      </c>
      <c r="Q64" s="4">
        <f t="shared" si="70"/>
        <v>2.8257346541359939E-2</v>
      </c>
      <c r="R64" s="4">
        <f t="shared" si="70"/>
        <v>8.022623099598479E-2</v>
      </c>
      <c r="S64" s="4">
        <f t="shared" si="70"/>
        <v>1.4103823059823245E-2</v>
      </c>
      <c r="T64" s="4">
        <f t="shared" si="70"/>
        <v>7.4893335220090715E-2</v>
      </c>
      <c r="U64" s="4">
        <f t="shared" si="70"/>
        <v>8.4134584692590747E-3</v>
      </c>
      <c r="V64" s="4">
        <f t="shared" si="70"/>
        <v>4.7191409647807422E-2</v>
      </c>
      <c r="W64" s="4">
        <f t="shared" si="70"/>
        <v>3.863015372313702E-3</v>
      </c>
      <c r="X64" s="4">
        <f t="shared" si="70"/>
        <v>2.0060239506327994E-2</v>
      </c>
      <c r="Y64" s="4">
        <f t="shared" si="70"/>
        <v>1.7724178758195552E-3</v>
      </c>
      <c r="Z64" s="4">
        <f t="shared" si="70"/>
        <v>0.21850406774040185</v>
      </c>
      <c r="AA64" s="4">
        <f t="shared" si="70"/>
        <v>0</v>
      </c>
      <c r="AB64" s="4">
        <f t="shared" si="70"/>
        <v>0</v>
      </c>
      <c r="AC64" s="4">
        <f t="shared" si="70"/>
        <v>0</v>
      </c>
      <c r="AD64" s="4">
        <f t="shared" si="70"/>
        <v>6.4105440688265625E-2</v>
      </c>
      <c r="AE64" s="4">
        <f t="shared" si="70"/>
        <v>6.5044863524036907E-3</v>
      </c>
      <c r="AF64" s="4">
        <f t="shared" si="70"/>
        <v>4.836584925715616E-2</v>
      </c>
      <c r="AG64" s="4">
        <f t="shared" si="70"/>
        <v>4.5613379808314147E-3</v>
      </c>
      <c r="AH64" s="4">
        <f t="shared" si="70"/>
        <v>22.371472141722041</v>
      </c>
      <c r="AI64" s="4">
        <f t="shared" si="70"/>
        <v>4.6899007877806449</v>
      </c>
      <c r="AJ64" s="4">
        <f t="shared" ref="AJ64:BO64" si="71">_xlfn.STDEV.P(AJ19:AJ22)</f>
        <v>20.624654172490125</v>
      </c>
      <c r="AK64" s="4">
        <f t="shared" si="71"/>
        <v>3.9962097650228157</v>
      </c>
      <c r="AL64" s="4">
        <f t="shared" si="71"/>
        <v>22.682525628211717</v>
      </c>
      <c r="AM64" s="4">
        <f t="shared" si="71"/>
        <v>0.97814355259682462</v>
      </c>
      <c r="AN64" s="4">
        <f t="shared" si="71"/>
        <v>2.7286043606144625</v>
      </c>
      <c r="AO64" s="4">
        <f t="shared" si="71"/>
        <v>0.12047453928695954</v>
      </c>
      <c r="AP64" s="4">
        <f t="shared" si="71"/>
        <v>2.6410114207857669</v>
      </c>
      <c r="AQ64" s="4">
        <f t="shared" si="71"/>
        <v>4.8227579748663464E-2</v>
      </c>
      <c r="AR64" s="4">
        <f t="shared" si="71"/>
        <v>0.62793495438806302</v>
      </c>
      <c r="AS64" s="4">
        <f t="shared" si="71"/>
        <v>7.1090368166007428E-3</v>
      </c>
      <c r="AT64" s="4">
        <f t="shared" si="71"/>
        <v>0</v>
      </c>
      <c r="AU64" s="4">
        <f t="shared" si="71"/>
        <v>0</v>
      </c>
      <c r="AV64" s="4">
        <f t="shared" si="71"/>
        <v>2.5882930575176995E-2</v>
      </c>
      <c r="AW64" s="4">
        <f t="shared" si="71"/>
        <v>0</v>
      </c>
      <c r="AX64" s="4">
        <f t="shared" si="71"/>
        <v>0.14548025673969969</v>
      </c>
      <c r="AY64" s="4">
        <f t="shared" si="71"/>
        <v>1.0908207728663924E-3</v>
      </c>
      <c r="AZ64" s="4">
        <f t="shared" si="71"/>
        <v>5.7106217527266814E-2</v>
      </c>
      <c r="BA64" s="4">
        <f t="shared" si="71"/>
        <v>1.1415190021241851E-4</v>
      </c>
      <c r="BB64" s="4">
        <f t="shared" si="71"/>
        <v>4.0510849013997964E-2</v>
      </c>
      <c r="BC64" s="4">
        <f t="shared" si="71"/>
        <v>4.1363639751392546E-3</v>
      </c>
      <c r="BD64" s="4">
        <f t="shared" si="71"/>
        <v>0.10654332101952356</v>
      </c>
      <c r="BE64" s="4">
        <f t="shared" si="71"/>
        <v>4.7519995315898787E-3</v>
      </c>
      <c r="BF64" s="4">
        <f t="shared" si="71"/>
        <v>0.37017900380779428</v>
      </c>
      <c r="BG64" s="4">
        <f t="shared" si="71"/>
        <v>2.0638302885415748E-2</v>
      </c>
      <c r="BH64" s="4">
        <f t="shared" si="71"/>
        <v>0.2147565090339561</v>
      </c>
      <c r="BI64" s="4">
        <f t="shared" si="71"/>
        <v>5.7283277138860285E-3</v>
      </c>
      <c r="BJ64" s="4">
        <f t="shared" si="71"/>
        <v>0.35336034600804189</v>
      </c>
      <c r="BK64" s="4">
        <f t="shared" si="71"/>
        <v>1.4125837728355115E-3</v>
      </c>
      <c r="BL64" s="4">
        <f t="shared" si="71"/>
        <v>2.1976976579295253E-2</v>
      </c>
      <c r="BM64" s="4">
        <f t="shared" si="71"/>
        <v>0</v>
      </c>
      <c r="BN64" s="4">
        <f t="shared" si="71"/>
        <v>0</v>
      </c>
      <c r="BO64" s="4">
        <f t="shared" si="71"/>
        <v>0</v>
      </c>
      <c r="BP64" s="4">
        <f t="shared" ref="BP64:CE64" si="72">_xlfn.STDEV.P(BP19:BP22)</f>
        <v>2.3000066046873489</v>
      </c>
      <c r="BQ64" s="4">
        <f t="shared" si="72"/>
        <v>1.0347384393060239</v>
      </c>
      <c r="BR64" s="4">
        <f t="shared" si="72"/>
        <v>53.722015784355882</v>
      </c>
      <c r="BS64" s="4">
        <f t="shared" si="72"/>
        <v>9.6627808240736126</v>
      </c>
      <c r="BT64" s="4">
        <f t="shared" si="72"/>
        <v>23.337630099235248</v>
      </c>
      <c r="BU64" s="4">
        <f t="shared" si="72"/>
        <v>0.94461086987070897</v>
      </c>
      <c r="BV64" s="4">
        <f t="shared" si="72"/>
        <v>15.001190600826368</v>
      </c>
      <c r="BW64" s="4">
        <f t="shared" si="72"/>
        <v>0.24264881814771469</v>
      </c>
      <c r="BX64" s="4">
        <f t="shared" si="72"/>
        <v>9.1410168172491684</v>
      </c>
      <c r="BY64" s="4">
        <f t="shared" si="72"/>
        <v>3.290347184909137E-2</v>
      </c>
      <c r="BZ64" s="4">
        <f t="shared" si="72"/>
        <v>10.654261817611562</v>
      </c>
      <c r="CA64" s="4">
        <f t="shared" si="72"/>
        <v>1.0561542037468027E-2</v>
      </c>
      <c r="CB64" s="4">
        <f t="shared" si="72"/>
        <v>1.4346666755413691</v>
      </c>
      <c r="CC64" s="4">
        <f t="shared" si="72"/>
        <v>0.11449150183404028</v>
      </c>
      <c r="CD64" s="4">
        <f t="shared" si="72"/>
        <v>203.07095802329516</v>
      </c>
      <c r="CE64" s="4">
        <f t="shared" si="72"/>
        <v>21.572520705513451</v>
      </c>
      <c r="CF64" s="4">
        <f>_xlfn.STDEV.P(CF19:CF22)</f>
        <v>36.592779631695869</v>
      </c>
      <c r="CG64" s="4">
        <f t="shared" ref="CG64:CI64" si="73">_xlfn.STDEV.P(CG19:CG22)</f>
        <v>0.79230389271378521</v>
      </c>
      <c r="CH64" s="4">
        <f t="shared" si="73"/>
        <v>63.043960488254875</v>
      </c>
      <c r="CI64" s="4">
        <f t="shared" si="73"/>
        <v>108.44542695513725</v>
      </c>
    </row>
    <row r="65" spans="2:87" x14ac:dyDescent="0.25">
      <c r="B65" s="4"/>
      <c r="C65" s="63">
        <v>54</v>
      </c>
      <c r="D65" s="4">
        <f t="shared" ref="D65:AI65" si="74">_xlfn.STDEV.P(D24:D27)</f>
        <v>0</v>
      </c>
      <c r="E65" s="4">
        <f t="shared" si="74"/>
        <v>0.18162906241020235</v>
      </c>
      <c r="F65" s="4">
        <f t="shared" si="74"/>
        <v>0</v>
      </c>
      <c r="G65" s="4">
        <f t="shared" si="74"/>
        <v>3.3750076930450764E-3</v>
      </c>
      <c r="H65" s="4">
        <f t="shared" si="74"/>
        <v>0</v>
      </c>
      <c r="I65" s="4">
        <f t="shared" si="74"/>
        <v>0</v>
      </c>
      <c r="J65" s="4">
        <f t="shared" si="74"/>
        <v>0</v>
      </c>
      <c r="K65" s="4">
        <f t="shared" si="74"/>
        <v>0</v>
      </c>
      <c r="L65" s="4">
        <f t="shared" si="74"/>
        <v>0</v>
      </c>
      <c r="M65" s="4">
        <f t="shared" si="74"/>
        <v>1.3145136961887856E-2</v>
      </c>
      <c r="N65" s="4">
        <f t="shared" si="74"/>
        <v>0</v>
      </c>
      <c r="O65" s="4">
        <f t="shared" si="74"/>
        <v>7.1323349684151787E-4</v>
      </c>
      <c r="P65" s="4">
        <f t="shared" si="74"/>
        <v>0</v>
      </c>
      <c r="Q65" s="4">
        <f t="shared" si="74"/>
        <v>1.8249187220356983E-2</v>
      </c>
      <c r="R65" s="4">
        <f t="shared" si="74"/>
        <v>0</v>
      </c>
      <c r="S65" s="4">
        <f t="shared" si="74"/>
        <v>7.3424033064985791E-3</v>
      </c>
      <c r="T65" s="4">
        <f t="shared" si="74"/>
        <v>0</v>
      </c>
      <c r="U65" s="4">
        <f t="shared" si="74"/>
        <v>2.0164583305121503E-3</v>
      </c>
      <c r="V65" s="4">
        <f t="shared" si="74"/>
        <v>0</v>
      </c>
      <c r="W65" s="4">
        <f t="shared" si="74"/>
        <v>1.4539142920270321E-3</v>
      </c>
      <c r="X65" s="4">
        <f t="shared" si="74"/>
        <v>0</v>
      </c>
      <c r="Y65" s="4">
        <f t="shared" si="74"/>
        <v>2.4021944004874412E-4</v>
      </c>
      <c r="Z65" s="4">
        <f t="shared" si="74"/>
        <v>0</v>
      </c>
      <c r="AA65" s="4">
        <f t="shared" si="74"/>
        <v>0</v>
      </c>
      <c r="AB65" s="4">
        <f t="shared" si="74"/>
        <v>0</v>
      </c>
      <c r="AC65" s="4">
        <f t="shared" si="74"/>
        <v>0</v>
      </c>
      <c r="AD65" s="4">
        <f t="shared" si="74"/>
        <v>0</v>
      </c>
      <c r="AE65" s="4">
        <f t="shared" si="74"/>
        <v>3.6833216489399355E-3</v>
      </c>
      <c r="AF65" s="4">
        <f t="shared" si="74"/>
        <v>0</v>
      </c>
      <c r="AG65" s="4">
        <f t="shared" si="74"/>
        <v>2.732956091409344E-3</v>
      </c>
      <c r="AH65" s="4">
        <f t="shared" si="74"/>
        <v>0</v>
      </c>
      <c r="AI65" s="4">
        <f t="shared" si="74"/>
        <v>1.9197627942087847</v>
      </c>
      <c r="AJ65" s="4">
        <f t="shared" ref="AJ65:BO65" si="75">_xlfn.STDEV.P(AJ24:AJ27)</f>
        <v>0</v>
      </c>
      <c r="AK65" s="4">
        <f t="shared" si="75"/>
        <v>1.285293050587657</v>
      </c>
      <c r="AL65" s="4">
        <f t="shared" si="75"/>
        <v>0</v>
      </c>
      <c r="AM65" s="4">
        <f t="shared" si="75"/>
        <v>1.3413476559917137</v>
      </c>
      <c r="AN65" s="4">
        <f t="shared" si="75"/>
        <v>0</v>
      </c>
      <c r="AO65" s="4">
        <f t="shared" si="75"/>
        <v>4.8440685697722467E-2</v>
      </c>
      <c r="AP65" s="4">
        <f t="shared" si="75"/>
        <v>0</v>
      </c>
      <c r="AQ65" s="4">
        <f t="shared" si="75"/>
        <v>1.5099483933474791E-2</v>
      </c>
      <c r="AR65" s="4">
        <f t="shared" si="75"/>
        <v>0</v>
      </c>
      <c r="AS65" s="4">
        <f t="shared" si="75"/>
        <v>9.4604698951327015E-3</v>
      </c>
      <c r="AT65" s="4">
        <f t="shared" si="75"/>
        <v>0</v>
      </c>
      <c r="AU65" s="4">
        <f t="shared" si="75"/>
        <v>0</v>
      </c>
      <c r="AV65" s="4">
        <f t="shared" si="75"/>
        <v>0</v>
      </c>
      <c r="AW65" s="4">
        <f t="shared" si="75"/>
        <v>0</v>
      </c>
      <c r="AX65" s="4">
        <f t="shared" si="75"/>
        <v>0</v>
      </c>
      <c r="AY65" s="4">
        <f t="shared" si="75"/>
        <v>1.5043067127745128E-3</v>
      </c>
      <c r="AZ65" s="4">
        <f t="shared" si="75"/>
        <v>0</v>
      </c>
      <c r="BA65" s="4">
        <f t="shared" si="75"/>
        <v>1.1736510208195415E-4</v>
      </c>
      <c r="BB65" s="4">
        <f t="shared" si="75"/>
        <v>0</v>
      </c>
      <c r="BC65" s="4">
        <f t="shared" si="75"/>
        <v>1.4713838199380514E-3</v>
      </c>
      <c r="BD65" s="4">
        <f t="shared" si="75"/>
        <v>0</v>
      </c>
      <c r="BE65" s="4">
        <f t="shared" si="75"/>
        <v>2.0019068440977708E-3</v>
      </c>
      <c r="BF65" s="4">
        <f t="shared" si="75"/>
        <v>0</v>
      </c>
      <c r="BG65" s="4">
        <f t="shared" si="75"/>
        <v>6.854199438562616E-3</v>
      </c>
      <c r="BH65" s="4">
        <f t="shared" si="75"/>
        <v>0</v>
      </c>
      <c r="BI65" s="4">
        <f t="shared" si="75"/>
        <v>2.9199541176835367E-3</v>
      </c>
      <c r="BJ65" s="4">
        <f t="shared" si="75"/>
        <v>0</v>
      </c>
      <c r="BK65" s="4">
        <f t="shared" si="75"/>
        <v>9.1037180463195404E-4</v>
      </c>
      <c r="BL65" s="4">
        <f t="shared" si="75"/>
        <v>0</v>
      </c>
      <c r="BM65" s="4">
        <f t="shared" si="75"/>
        <v>0</v>
      </c>
      <c r="BN65" s="4">
        <f t="shared" si="75"/>
        <v>0</v>
      </c>
      <c r="BO65" s="4">
        <f t="shared" si="75"/>
        <v>0</v>
      </c>
      <c r="BP65" s="4">
        <f t="shared" ref="BP65:CE65" si="76">_xlfn.STDEV.P(BP24:BP27)</f>
        <v>0</v>
      </c>
      <c r="BQ65" s="4">
        <f t="shared" si="76"/>
        <v>0.52877930643042881</v>
      </c>
      <c r="BR65" s="4">
        <f t="shared" si="76"/>
        <v>0</v>
      </c>
      <c r="BS65" s="4">
        <f t="shared" si="76"/>
        <v>3.0031802534005547</v>
      </c>
      <c r="BT65" s="4">
        <f t="shared" si="76"/>
        <v>0</v>
      </c>
      <c r="BU65" s="4">
        <f t="shared" si="76"/>
        <v>0.52237355188353951</v>
      </c>
      <c r="BV65" s="4">
        <f t="shared" si="76"/>
        <v>0</v>
      </c>
      <c r="BW65" s="4">
        <f t="shared" si="76"/>
        <v>0.22256203828540622</v>
      </c>
      <c r="BX65" s="4">
        <f t="shared" si="76"/>
        <v>0</v>
      </c>
      <c r="BY65" s="4">
        <f t="shared" si="76"/>
        <v>4.5213936875985287E-2</v>
      </c>
      <c r="BZ65" s="4">
        <f t="shared" si="76"/>
        <v>0</v>
      </c>
      <c r="CA65" s="4">
        <f t="shared" si="76"/>
        <v>1.6398264315453638E-2</v>
      </c>
      <c r="CB65" s="4">
        <f t="shared" si="76"/>
        <v>0</v>
      </c>
      <c r="CC65" s="4">
        <f t="shared" si="76"/>
        <v>4.4297020961840683E-2</v>
      </c>
      <c r="CD65" s="4">
        <f t="shared" si="76"/>
        <v>0</v>
      </c>
      <c r="CE65" s="4">
        <f t="shared" si="76"/>
        <v>4.1354076412082472</v>
      </c>
      <c r="CF65" s="4">
        <f>_xlfn.STDEV.P(CF24:CF27)</f>
        <v>0</v>
      </c>
      <c r="CG65" s="4">
        <f t="shared" ref="CG65:CI65" si="77">_xlfn.STDEV.P(CG24:CG27)</f>
        <v>0</v>
      </c>
      <c r="CH65" s="4">
        <f t="shared" si="77"/>
        <v>0</v>
      </c>
      <c r="CI65" s="4">
        <f t="shared" si="77"/>
        <v>0</v>
      </c>
    </row>
    <row r="66" spans="2:87" x14ac:dyDescent="0.25">
      <c r="B66" s="4"/>
      <c r="C66" s="63">
        <v>57</v>
      </c>
      <c r="D66" s="4" t="e">
        <f t="shared" ref="D66:AI66" si="78">_xlfn.STDEV.P(D28:D31)</f>
        <v>#DIV/0!</v>
      </c>
      <c r="E66" s="4">
        <f t="shared" si="78"/>
        <v>0.18305510761312499</v>
      </c>
      <c r="F66" s="4" t="e">
        <f t="shared" si="78"/>
        <v>#DIV/0!</v>
      </c>
      <c r="G66" s="4">
        <f t="shared" si="78"/>
        <v>3.9461360609997853E-3</v>
      </c>
      <c r="H66" s="4" t="e">
        <f t="shared" si="78"/>
        <v>#DIV/0!</v>
      </c>
      <c r="I66" s="4">
        <f t="shared" si="78"/>
        <v>0</v>
      </c>
      <c r="J66" s="4" t="e">
        <f t="shared" si="78"/>
        <v>#DIV/0!</v>
      </c>
      <c r="K66" s="4">
        <f t="shared" si="78"/>
        <v>0</v>
      </c>
      <c r="L66" s="4" t="e">
        <f t="shared" si="78"/>
        <v>#DIV/0!</v>
      </c>
      <c r="M66" s="4">
        <f t="shared" si="78"/>
        <v>9.2637694758202112E-3</v>
      </c>
      <c r="N66" s="4" t="e">
        <f t="shared" si="78"/>
        <v>#DIV/0!</v>
      </c>
      <c r="O66" s="4">
        <f t="shared" si="78"/>
        <v>1.2945915362622639E-3</v>
      </c>
      <c r="P66" s="4" t="e">
        <f t="shared" si="78"/>
        <v>#DIV/0!</v>
      </c>
      <c r="Q66" s="4">
        <f t="shared" si="78"/>
        <v>2.513899094456035E-2</v>
      </c>
      <c r="R66" s="4" t="e">
        <f t="shared" si="78"/>
        <v>#DIV/0!</v>
      </c>
      <c r="S66" s="4">
        <f t="shared" si="78"/>
        <v>1.1639773047045927E-2</v>
      </c>
      <c r="T66" s="4" t="e">
        <f t="shared" si="78"/>
        <v>#DIV/0!</v>
      </c>
      <c r="U66" s="4">
        <f t="shared" si="78"/>
        <v>7.7382829896761908E-3</v>
      </c>
      <c r="V66" s="4" t="e">
        <f t="shared" si="78"/>
        <v>#DIV/0!</v>
      </c>
      <c r="W66" s="4">
        <f t="shared" si="78"/>
        <v>2.946479232454959E-3</v>
      </c>
      <c r="X66" s="4" t="e">
        <f t="shared" si="78"/>
        <v>#DIV/0!</v>
      </c>
      <c r="Y66" s="4">
        <f t="shared" si="78"/>
        <v>1.5991378376138449E-3</v>
      </c>
      <c r="Z66" s="4" t="e">
        <f t="shared" si="78"/>
        <v>#DIV/0!</v>
      </c>
      <c r="AA66" s="4">
        <f t="shared" si="78"/>
        <v>0</v>
      </c>
      <c r="AB66" s="4" t="e">
        <f t="shared" si="78"/>
        <v>#DIV/0!</v>
      </c>
      <c r="AC66" s="4">
        <f t="shared" si="78"/>
        <v>0</v>
      </c>
      <c r="AD66" s="4" t="e">
        <f t="shared" si="78"/>
        <v>#DIV/0!</v>
      </c>
      <c r="AE66" s="4">
        <f t="shared" si="78"/>
        <v>3.892810026035861E-3</v>
      </c>
      <c r="AF66" s="4" t="e">
        <f t="shared" si="78"/>
        <v>#DIV/0!</v>
      </c>
      <c r="AG66" s="4">
        <f t="shared" si="78"/>
        <v>3.2261079452635369E-3</v>
      </c>
      <c r="AH66" s="4" t="e">
        <f t="shared" si="78"/>
        <v>#DIV/0!</v>
      </c>
      <c r="AI66" s="4">
        <f t="shared" si="78"/>
        <v>2.8239674597260396</v>
      </c>
      <c r="AJ66" s="4" t="e">
        <f t="shared" ref="AJ66:BO66" si="79">_xlfn.STDEV.P(AJ28:AJ31)</f>
        <v>#DIV/0!</v>
      </c>
      <c r="AK66" s="4">
        <f t="shared" si="79"/>
        <v>2.4593702734647498</v>
      </c>
      <c r="AL66" s="4" t="e">
        <f t="shared" si="79"/>
        <v>#DIV/0!</v>
      </c>
      <c r="AM66" s="4">
        <f t="shared" si="79"/>
        <v>0.89918392350536991</v>
      </c>
      <c r="AN66" s="4" t="e">
        <f t="shared" si="79"/>
        <v>#DIV/0!</v>
      </c>
      <c r="AO66" s="4">
        <f t="shared" si="79"/>
        <v>0.14232303050531128</v>
      </c>
      <c r="AP66" s="4" t="e">
        <f t="shared" si="79"/>
        <v>#DIV/0!</v>
      </c>
      <c r="AQ66" s="4">
        <f t="shared" si="79"/>
        <v>5.1013779423554687E-2</v>
      </c>
      <c r="AR66" s="4" t="e">
        <f t="shared" si="79"/>
        <v>#DIV/0!</v>
      </c>
      <c r="AS66" s="4">
        <f t="shared" si="79"/>
        <v>9.6356548493314112E-3</v>
      </c>
      <c r="AT66" s="4" t="e">
        <f t="shared" si="79"/>
        <v>#DIV/0!</v>
      </c>
      <c r="AU66" s="4">
        <f t="shared" si="79"/>
        <v>0</v>
      </c>
      <c r="AV66" s="4" t="e">
        <f t="shared" si="79"/>
        <v>#DIV/0!</v>
      </c>
      <c r="AW66" s="4">
        <f t="shared" si="79"/>
        <v>0</v>
      </c>
      <c r="AX66" s="4" t="e">
        <f t="shared" si="79"/>
        <v>#DIV/0!</v>
      </c>
      <c r="AY66" s="4">
        <f t="shared" si="79"/>
        <v>1.5376882047201312E-3</v>
      </c>
      <c r="AZ66" s="4" t="e">
        <f t="shared" si="79"/>
        <v>#DIV/0!</v>
      </c>
      <c r="BA66" s="4">
        <f t="shared" si="79"/>
        <v>4.7433147700540117E-5</v>
      </c>
      <c r="BB66" s="4" t="e">
        <f t="shared" si="79"/>
        <v>#DIV/0!</v>
      </c>
      <c r="BC66" s="4">
        <f t="shared" si="79"/>
        <v>1.587271167848869E-3</v>
      </c>
      <c r="BD66" s="4" t="e">
        <f t="shared" si="79"/>
        <v>#DIV/0!</v>
      </c>
      <c r="BE66" s="4">
        <f t="shared" si="79"/>
        <v>5.012690537881395E-3</v>
      </c>
      <c r="BF66" s="4" t="e">
        <f t="shared" si="79"/>
        <v>#DIV/0!</v>
      </c>
      <c r="BG66" s="4">
        <f t="shared" si="79"/>
        <v>1.5782881606996629E-2</v>
      </c>
      <c r="BH66" s="4" t="e">
        <f t="shared" si="79"/>
        <v>#DIV/0!</v>
      </c>
      <c r="BI66" s="4">
        <f t="shared" si="79"/>
        <v>6.0722018502298346E-3</v>
      </c>
      <c r="BJ66" s="4" t="e">
        <f t="shared" si="79"/>
        <v>#DIV/0!</v>
      </c>
      <c r="BK66" s="4">
        <f t="shared" si="79"/>
        <v>1.9984871146434555E-3</v>
      </c>
      <c r="BL66" s="4" t="e">
        <f t="shared" si="79"/>
        <v>#DIV/0!</v>
      </c>
      <c r="BM66" s="4">
        <f t="shared" si="79"/>
        <v>0</v>
      </c>
      <c r="BN66" s="4" t="e">
        <f t="shared" si="79"/>
        <v>#DIV/0!</v>
      </c>
      <c r="BO66" s="4">
        <f t="shared" si="79"/>
        <v>0</v>
      </c>
      <c r="BP66" s="4" t="e">
        <f t="shared" ref="BP66:CE66" si="80">_xlfn.STDEV.P(BP28:BP31)</f>
        <v>#DIV/0!</v>
      </c>
      <c r="BQ66" s="4">
        <f t="shared" si="80"/>
        <v>0.67371651745986827</v>
      </c>
      <c r="BR66" s="4" t="e">
        <f t="shared" si="80"/>
        <v>#DIV/0!</v>
      </c>
      <c r="BS66" s="4">
        <f t="shared" si="80"/>
        <v>5.2863485678630369</v>
      </c>
      <c r="BT66" s="4" t="e">
        <f t="shared" si="80"/>
        <v>#DIV/0!</v>
      </c>
      <c r="BU66" s="4">
        <f t="shared" si="80"/>
        <v>0.63989203675081119</v>
      </c>
      <c r="BV66" s="4" t="e">
        <f t="shared" si="80"/>
        <v>#DIV/0!</v>
      </c>
      <c r="BW66" s="4">
        <f t="shared" si="80"/>
        <v>0.31669119057820877</v>
      </c>
      <c r="BX66" s="4" t="e">
        <f t="shared" si="80"/>
        <v>#DIV/0!</v>
      </c>
      <c r="BY66" s="4">
        <f t="shared" si="80"/>
        <v>4.8151622484316967E-2</v>
      </c>
      <c r="BZ66" s="4" t="e">
        <f t="shared" si="80"/>
        <v>#DIV/0!</v>
      </c>
      <c r="CA66" s="4">
        <f t="shared" si="80"/>
        <v>1.6358277896897366E-2</v>
      </c>
      <c r="CB66" s="4">
        <f t="shared" si="80"/>
        <v>0</v>
      </c>
      <c r="CC66" s="4">
        <f t="shared" si="80"/>
        <v>0.10852614746755149</v>
      </c>
      <c r="CD66" s="4">
        <f t="shared" si="80"/>
        <v>0</v>
      </c>
      <c r="CE66" s="4">
        <f t="shared" si="80"/>
        <v>12.611270133621115</v>
      </c>
      <c r="CF66" s="4"/>
      <c r="CG66" s="4"/>
      <c r="CH66" s="4"/>
      <c r="CI66" s="4"/>
    </row>
    <row r="67" spans="2:87" x14ac:dyDescent="0.25">
      <c r="B67" s="4"/>
      <c r="C67" s="63">
        <v>61</v>
      </c>
      <c r="D67" s="4" t="e">
        <f t="shared" ref="D67:AI67" si="81">_xlfn.STDEV.P(D32:D35)</f>
        <v>#DIV/0!</v>
      </c>
      <c r="E67" s="4">
        <f t="shared" si="81"/>
        <v>4.2895760763891474E-3</v>
      </c>
      <c r="F67" s="4" t="e">
        <f t="shared" si="81"/>
        <v>#DIV/0!</v>
      </c>
      <c r="G67" s="4">
        <f t="shared" si="81"/>
        <v>0</v>
      </c>
      <c r="H67" s="4" t="e">
        <f t="shared" si="81"/>
        <v>#DIV/0!</v>
      </c>
      <c r="I67" s="4">
        <f t="shared" si="81"/>
        <v>0</v>
      </c>
      <c r="J67" s="4" t="e">
        <f t="shared" si="81"/>
        <v>#DIV/0!</v>
      </c>
      <c r="K67" s="4">
        <f t="shared" si="81"/>
        <v>0</v>
      </c>
      <c r="L67" s="4" t="e">
        <f t="shared" si="81"/>
        <v>#DIV/0!</v>
      </c>
      <c r="M67" s="4">
        <f t="shared" si="81"/>
        <v>9.7206972856086278E-4</v>
      </c>
      <c r="N67" s="4" t="e">
        <f t="shared" si="81"/>
        <v>#DIV/0!</v>
      </c>
      <c r="O67" s="4">
        <f t="shared" si="81"/>
        <v>1.3215121277185128E-3</v>
      </c>
      <c r="P67" s="4" t="e">
        <f t="shared" si="81"/>
        <v>#DIV/0!</v>
      </c>
      <c r="Q67" s="4">
        <f t="shared" si="81"/>
        <v>1.8509838857745275E-2</v>
      </c>
      <c r="R67" s="4" t="e">
        <f t="shared" si="81"/>
        <v>#DIV/0!</v>
      </c>
      <c r="S67" s="4">
        <f t="shared" si="81"/>
        <v>8.8706203551343552E-3</v>
      </c>
      <c r="T67" s="4" t="e">
        <f t="shared" si="81"/>
        <v>#DIV/0!</v>
      </c>
      <c r="U67" s="4">
        <f t="shared" si="81"/>
        <v>4.8728039415046054E-3</v>
      </c>
      <c r="V67" s="4" t="e">
        <f t="shared" si="81"/>
        <v>#DIV/0!</v>
      </c>
      <c r="W67" s="4">
        <f t="shared" si="81"/>
        <v>3.6952678582561436E-3</v>
      </c>
      <c r="X67" s="4" t="e">
        <f t="shared" si="81"/>
        <v>#DIV/0!</v>
      </c>
      <c r="Y67" s="4">
        <f t="shared" si="81"/>
        <v>1.4266099974393543E-3</v>
      </c>
      <c r="Z67" s="4" t="e">
        <f t="shared" si="81"/>
        <v>#DIV/0!</v>
      </c>
      <c r="AA67" s="4">
        <f t="shared" si="81"/>
        <v>0</v>
      </c>
      <c r="AB67" s="4" t="e">
        <f t="shared" si="81"/>
        <v>#DIV/0!</v>
      </c>
      <c r="AC67" s="4">
        <f t="shared" si="81"/>
        <v>0</v>
      </c>
      <c r="AD67" s="4" t="e">
        <f t="shared" si="81"/>
        <v>#DIV/0!</v>
      </c>
      <c r="AE67" s="4">
        <f t="shared" si="81"/>
        <v>2.7738321232488763E-3</v>
      </c>
      <c r="AF67" s="4" t="e">
        <f t="shared" si="81"/>
        <v>#DIV/0!</v>
      </c>
      <c r="AG67" s="4">
        <f t="shared" si="81"/>
        <v>2.4173838180683886E-3</v>
      </c>
      <c r="AH67" s="4" t="e">
        <f t="shared" si="81"/>
        <v>#DIV/0!</v>
      </c>
      <c r="AI67" s="4">
        <f t="shared" si="81"/>
        <v>2.5713987991176563</v>
      </c>
      <c r="AJ67" s="4" t="e">
        <f t="shared" ref="AJ67:BO67" si="82">_xlfn.STDEV.P(AJ32:AJ35)</f>
        <v>#DIV/0!</v>
      </c>
      <c r="AK67" s="4">
        <f t="shared" si="82"/>
        <v>2.4301721738783155</v>
      </c>
      <c r="AL67" s="4" t="e">
        <f t="shared" si="82"/>
        <v>#DIV/0!</v>
      </c>
      <c r="AM67" s="4">
        <f t="shared" si="82"/>
        <v>0.73706972872341614</v>
      </c>
      <c r="AN67" s="4" t="e">
        <f t="shared" si="82"/>
        <v>#DIV/0!</v>
      </c>
      <c r="AO67" s="4">
        <f t="shared" si="82"/>
        <v>6.7619011663906367E-2</v>
      </c>
      <c r="AP67" s="4" t="e">
        <f t="shared" si="82"/>
        <v>#DIV/0!</v>
      </c>
      <c r="AQ67" s="4">
        <f t="shared" si="82"/>
        <v>3.9876298886825159E-2</v>
      </c>
      <c r="AR67" s="4" t="e">
        <f t="shared" si="82"/>
        <v>#DIV/0!</v>
      </c>
      <c r="AS67" s="4">
        <f t="shared" si="82"/>
        <v>5.223461447410256E-3</v>
      </c>
      <c r="AT67" s="4" t="e">
        <f t="shared" si="82"/>
        <v>#DIV/0!</v>
      </c>
      <c r="AU67" s="4">
        <f t="shared" si="82"/>
        <v>0</v>
      </c>
      <c r="AV67" s="4" t="e">
        <f t="shared" si="82"/>
        <v>#DIV/0!</v>
      </c>
      <c r="AW67" s="4">
        <f t="shared" si="82"/>
        <v>0</v>
      </c>
      <c r="AX67" s="4" t="e">
        <f t="shared" si="82"/>
        <v>#DIV/0!</v>
      </c>
      <c r="AY67" s="4">
        <f t="shared" si="82"/>
        <v>5.5301662427766189E-5</v>
      </c>
      <c r="AZ67" s="4" t="e">
        <f t="shared" si="82"/>
        <v>#DIV/0!</v>
      </c>
      <c r="BA67" s="4">
        <f t="shared" si="82"/>
        <v>0</v>
      </c>
      <c r="BB67" s="4" t="e">
        <f t="shared" si="82"/>
        <v>#DIV/0!</v>
      </c>
      <c r="BC67" s="4">
        <f t="shared" si="82"/>
        <v>1.0719459552592852E-3</v>
      </c>
      <c r="BD67" s="4" t="e">
        <f t="shared" si="82"/>
        <v>#DIV/0!</v>
      </c>
      <c r="BE67" s="4">
        <f t="shared" si="82"/>
        <v>3.5747003584261816E-3</v>
      </c>
      <c r="BF67" s="4" t="e">
        <f t="shared" si="82"/>
        <v>#DIV/0!</v>
      </c>
      <c r="BG67" s="4">
        <f t="shared" si="82"/>
        <v>8.0552749482844799E-3</v>
      </c>
      <c r="BH67" s="4" t="e">
        <f t="shared" si="82"/>
        <v>#DIV/0!</v>
      </c>
      <c r="BI67" s="4">
        <f t="shared" si="82"/>
        <v>3.0311741322645034E-3</v>
      </c>
      <c r="BJ67" s="4" t="e">
        <f t="shared" si="82"/>
        <v>#DIV/0!</v>
      </c>
      <c r="BK67" s="4">
        <f t="shared" si="82"/>
        <v>1.0764783988726557E-3</v>
      </c>
      <c r="BL67" s="4" t="e">
        <f t="shared" si="82"/>
        <v>#DIV/0!</v>
      </c>
      <c r="BM67" s="4">
        <f t="shared" si="82"/>
        <v>0</v>
      </c>
      <c r="BN67" s="4" t="e">
        <f t="shared" si="82"/>
        <v>#DIV/0!</v>
      </c>
      <c r="BO67" s="4">
        <f t="shared" si="82"/>
        <v>0</v>
      </c>
      <c r="BP67" s="4" t="e">
        <f t="shared" ref="BP67:CE67" si="83">_xlfn.STDEV.P(BP32:BP35)</f>
        <v>#DIV/0!</v>
      </c>
      <c r="BQ67" s="4">
        <f t="shared" si="83"/>
        <v>0.53326695598718088</v>
      </c>
      <c r="BR67" s="4" t="e">
        <f t="shared" si="83"/>
        <v>#DIV/0!</v>
      </c>
      <c r="BS67" s="4">
        <f t="shared" si="83"/>
        <v>4.4574801836113611</v>
      </c>
      <c r="BT67" s="4" t="e">
        <f t="shared" si="83"/>
        <v>#DIV/0!</v>
      </c>
      <c r="BU67" s="4">
        <f t="shared" si="83"/>
        <v>0.31503763768789839</v>
      </c>
      <c r="BV67" s="4" t="e">
        <f t="shared" si="83"/>
        <v>#DIV/0!</v>
      </c>
      <c r="BW67" s="4">
        <f t="shared" si="83"/>
        <v>9.8179745071535166E-2</v>
      </c>
      <c r="BX67" s="4" t="e">
        <f t="shared" si="83"/>
        <v>#DIV/0!</v>
      </c>
      <c r="BY67" s="4">
        <f t="shared" si="83"/>
        <v>1.3549540963012342E-2</v>
      </c>
      <c r="BZ67" s="4" t="e">
        <f t="shared" si="83"/>
        <v>#DIV/0!</v>
      </c>
      <c r="CA67" s="4">
        <f t="shared" si="83"/>
        <v>5.4939783794482038E-3</v>
      </c>
      <c r="CB67" s="4">
        <f t="shared" si="83"/>
        <v>0</v>
      </c>
      <c r="CC67" s="4">
        <f t="shared" si="83"/>
        <v>5.6648316741182925E-2</v>
      </c>
      <c r="CD67" s="4">
        <f t="shared" si="83"/>
        <v>0</v>
      </c>
      <c r="CE67" s="4">
        <f t="shared" si="83"/>
        <v>10.69402750562489</v>
      </c>
      <c r="CF67" s="4"/>
      <c r="CG67" s="4"/>
      <c r="CH67" s="4"/>
      <c r="CI67" s="4"/>
    </row>
    <row r="68" spans="2:87" x14ac:dyDescent="0.25">
      <c r="B68" s="4"/>
      <c r="C68" s="63">
        <v>73</v>
      </c>
      <c r="D68" s="4" t="e">
        <f t="shared" ref="D68:AI68" si="84">_xlfn.STDEV.P(D36:D39)</f>
        <v>#DIV/0!</v>
      </c>
      <c r="E68" s="4">
        <f t="shared" si="84"/>
        <v>3.5781055111676367E-3</v>
      </c>
      <c r="F68" s="4" t="e">
        <f t="shared" si="84"/>
        <v>#DIV/0!</v>
      </c>
      <c r="G68" s="4">
        <f t="shared" si="84"/>
        <v>0</v>
      </c>
      <c r="H68" s="4" t="e">
        <f t="shared" si="84"/>
        <v>#DIV/0!</v>
      </c>
      <c r="I68" s="4">
        <f t="shared" si="84"/>
        <v>0</v>
      </c>
      <c r="J68" s="4" t="e">
        <f t="shared" si="84"/>
        <v>#DIV/0!</v>
      </c>
      <c r="K68" s="4">
        <f t="shared" si="84"/>
        <v>0</v>
      </c>
      <c r="L68" s="4" t="e">
        <f t="shared" si="84"/>
        <v>#DIV/0!</v>
      </c>
      <c r="M68" s="4">
        <f t="shared" si="84"/>
        <v>1.0061459947181748E-3</v>
      </c>
      <c r="N68" s="4" t="e">
        <f t="shared" si="84"/>
        <v>#DIV/0!</v>
      </c>
      <c r="O68" s="4">
        <f t="shared" si="84"/>
        <v>8.1460197224921178E-4</v>
      </c>
      <c r="P68" s="4" t="e">
        <f t="shared" si="84"/>
        <v>#DIV/0!</v>
      </c>
      <c r="Q68" s="4">
        <f t="shared" si="84"/>
        <v>1.9764695695649859E-2</v>
      </c>
      <c r="R68" s="4" t="e">
        <f t="shared" si="84"/>
        <v>#DIV/0!</v>
      </c>
      <c r="S68" s="4">
        <f t="shared" si="84"/>
        <v>7.0421203154275649E-3</v>
      </c>
      <c r="T68" s="4" t="e">
        <f t="shared" si="84"/>
        <v>#DIV/0!</v>
      </c>
      <c r="U68" s="4">
        <f t="shared" si="84"/>
        <v>3.5439156762589012E-3</v>
      </c>
      <c r="V68" s="4" t="e">
        <f t="shared" si="84"/>
        <v>#DIV/0!</v>
      </c>
      <c r="W68" s="4">
        <f t="shared" si="84"/>
        <v>8.9427479301721171E-4</v>
      </c>
      <c r="X68" s="4" t="e">
        <f t="shared" si="84"/>
        <v>#DIV/0!</v>
      </c>
      <c r="Y68" s="4">
        <f t="shared" si="84"/>
        <v>0</v>
      </c>
      <c r="Z68" s="4" t="e">
        <f t="shared" si="84"/>
        <v>#DIV/0!</v>
      </c>
      <c r="AA68" s="4">
        <f t="shared" si="84"/>
        <v>0</v>
      </c>
      <c r="AB68" s="4" t="e">
        <f t="shared" si="84"/>
        <v>#DIV/0!</v>
      </c>
      <c r="AC68" s="4">
        <f t="shared" si="84"/>
        <v>0</v>
      </c>
      <c r="AD68" s="4" t="e">
        <f t="shared" si="84"/>
        <v>#DIV/0!</v>
      </c>
      <c r="AE68" s="4">
        <f t="shared" si="84"/>
        <v>0</v>
      </c>
      <c r="AF68" s="4" t="e">
        <f t="shared" si="84"/>
        <v>#DIV/0!</v>
      </c>
      <c r="AG68" s="4">
        <f t="shared" si="84"/>
        <v>2.8766767916933987E-3</v>
      </c>
      <c r="AH68" s="4" t="e">
        <f t="shared" si="84"/>
        <v>#DIV/0!</v>
      </c>
      <c r="AI68" s="4">
        <f t="shared" si="84"/>
        <v>1.9017819229569395</v>
      </c>
      <c r="AJ68" s="4" t="e">
        <f t="shared" ref="AJ68:BO68" si="85">_xlfn.STDEV.P(AJ36:AJ39)</f>
        <v>#DIV/0!</v>
      </c>
      <c r="AK68" s="4">
        <f t="shared" si="85"/>
        <v>1.4478727871173755</v>
      </c>
      <c r="AL68" s="4" t="e">
        <f t="shared" si="85"/>
        <v>#DIV/0!</v>
      </c>
      <c r="AM68" s="4">
        <f t="shared" si="85"/>
        <v>0.46350029094275152</v>
      </c>
      <c r="AN68" s="4" t="e">
        <f t="shared" si="85"/>
        <v>#DIV/0!</v>
      </c>
      <c r="AO68" s="4">
        <f t="shared" si="85"/>
        <v>4.6305207826117231E-2</v>
      </c>
      <c r="AP68" s="4" t="e">
        <f t="shared" si="85"/>
        <v>#DIV/0!</v>
      </c>
      <c r="AQ68" s="4">
        <f t="shared" si="85"/>
        <v>1.0166904759045173E-2</v>
      </c>
      <c r="AR68" s="4" t="e">
        <f t="shared" si="85"/>
        <v>#DIV/0!</v>
      </c>
      <c r="AS68" s="4">
        <f t="shared" si="85"/>
        <v>1.2733508264804823E-3</v>
      </c>
      <c r="AT68" s="4" t="e">
        <f t="shared" si="85"/>
        <v>#DIV/0!</v>
      </c>
      <c r="AU68" s="4">
        <f t="shared" si="85"/>
        <v>0</v>
      </c>
      <c r="AV68" s="4" t="e">
        <f t="shared" si="85"/>
        <v>#DIV/0!</v>
      </c>
      <c r="AW68" s="4">
        <f t="shared" si="85"/>
        <v>0</v>
      </c>
      <c r="AX68" s="4" t="e">
        <f t="shared" si="85"/>
        <v>#DIV/0!</v>
      </c>
      <c r="AY68" s="4">
        <f t="shared" si="85"/>
        <v>1.7457524873531491E-5</v>
      </c>
      <c r="AZ68" s="4" t="e">
        <f t="shared" si="85"/>
        <v>#DIV/0!</v>
      </c>
      <c r="BA68" s="4">
        <f t="shared" si="85"/>
        <v>0</v>
      </c>
      <c r="BB68" s="4" t="e">
        <f t="shared" si="85"/>
        <v>#DIV/0!</v>
      </c>
      <c r="BC68" s="4">
        <f t="shared" si="85"/>
        <v>8.7499495867032491E-4</v>
      </c>
      <c r="BD68" s="4" t="e">
        <f t="shared" si="85"/>
        <v>#DIV/0!</v>
      </c>
      <c r="BE68" s="4">
        <f t="shared" si="85"/>
        <v>3.9387382921018373E-3</v>
      </c>
      <c r="BF68" s="4" t="e">
        <f t="shared" si="85"/>
        <v>#DIV/0!</v>
      </c>
      <c r="BG68" s="4">
        <f t="shared" si="85"/>
        <v>5.3444802352792548E-3</v>
      </c>
      <c r="BH68" s="4" t="e">
        <f t="shared" si="85"/>
        <v>#DIV/0!</v>
      </c>
      <c r="BI68" s="4">
        <f t="shared" si="85"/>
        <v>1.8864950387480651E-3</v>
      </c>
      <c r="BJ68" s="4" t="e">
        <f t="shared" si="85"/>
        <v>#DIV/0!</v>
      </c>
      <c r="BK68" s="4">
        <f t="shared" si="85"/>
        <v>1.1895921415020812E-4</v>
      </c>
      <c r="BL68" s="4" t="e">
        <f t="shared" si="85"/>
        <v>#DIV/0!</v>
      </c>
      <c r="BM68" s="4">
        <f t="shared" si="85"/>
        <v>0</v>
      </c>
      <c r="BN68" s="4" t="e">
        <f t="shared" si="85"/>
        <v>#DIV/0!</v>
      </c>
      <c r="BO68" s="4">
        <f t="shared" si="85"/>
        <v>0</v>
      </c>
      <c r="BP68" s="4" t="e">
        <f t="shared" ref="BP68:CE68" si="86">_xlfn.STDEV.P(BP36:BP39)</f>
        <v>#DIV/0!</v>
      </c>
      <c r="BQ68" s="4">
        <f t="shared" si="86"/>
        <v>0.49336921081517138</v>
      </c>
      <c r="BR68" s="4" t="e">
        <f t="shared" si="86"/>
        <v>#DIV/0!</v>
      </c>
      <c r="BS68" s="4">
        <f t="shared" si="86"/>
        <v>3.3348203326839907</v>
      </c>
      <c r="BT68" s="4" t="e">
        <f t="shared" si="86"/>
        <v>#DIV/0!</v>
      </c>
      <c r="BU68" s="4">
        <f t="shared" si="86"/>
        <v>0.22159045873091138</v>
      </c>
      <c r="BV68" s="4" t="e">
        <f t="shared" si="86"/>
        <v>#DIV/0!</v>
      </c>
      <c r="BW68" s="4">
        <f t="shared" si="86"/>
        <v>2.892021911476015E-2</v>
      </c>
      <c r="BX68" s="4" t="e">
        <f t="shared" si="86"/>
        <v>#DIV/0!</v>
      </c>
      <c r="BY68" s="4">
        <f t="shared" si="86"/>
        <v>1.2231021495485322E-3</v>
      </c>
      <c r="BZ68" s="4" t="e">
        <f t="shared" si="86"/>
        <v>#DIV/0!</v>
      </c>
      <c r="CA68" s="4">
        <f t="shared" si="86"/>
        <v>9.0152881366833786E-4</v>
      </c>
      <c r="CB68" s="4">
        <f t="shared" si="86"/>
        <v>0</v>
      </c>
      <c r="CC68" s="4">
        <f t="shared" si="86"/>
        <v>4.1284268036694584E-2</v>
      </c>
      <c r="CD68" s="4">
        <f t="shared" si="86"/>
        <v>0</v>
      </c>
      <c r="CE68" s="4">
        <f t="shared" si="86"/>
        <v>7.5697084797139791</v>
      </c>
      <c r="CF68" s="4"/>
      <c r="CG68" s="4"/>
      <c r="CH68" s="4"/>
      <c r="CI68" s="4"/>
    </row>
    <row r="69" spans="2:87" x14ac:dyDescent="0.25">
      <c r="B69" s="4"/>
      <c r="C69" s="63">
        <v>101</v>
      </c>
      <c r="D69" s="4" t="e">
        <f t="shared" ref="D69:AI69" si="87">_xlfn.STDEV.P(D40:D43)</f>
        <v>#DIV/0!</v>
      </c>
      <c r="E69" s="4">
        <f t="shared" si="87"/>
        <v>5.4228191203888956E-3</v>
      </c>
      <c r="F69" s="4" t="e">
        <f t="shared" si="87"/>
        <v>#DIV/0!</v>
      </c>
      <c r="G69" s="4">
        <f t="shared" si="87"/>
        <v>0</v>
      </c>
      <c r="H69" s="4" t="e">
        <f t="shared" si="87"/>
        <v>#DIV/0!</v>
      </c>
      <c r="I69" s="4">
        <f t="shared" si="87"/>
        <v>0</v>
      </c>
      <c r="J69" s="4" t="e">
        <f t="shared" si="87"/>
        <v>#DIV/0!</v>
      </c>
      <c r="K69" s="4">
        <f t="shared" si="87"/>
        <v>0</v>
      </c>
      <c r="L69" s="4" t="e">
        <f t="shared" si="87"/>
        <v>#DIV/0!</v>
      </c>
      <c r="M69" s="4">
        <f t="shared" si="87"/>
        <v>1.0598828017711922E-3</v>
      </c>
      <c r="N69" s="4" t="e">
        <f t="shared" si="87"/>
        <v>#DIV/0!</v>
      </c>
      <c r="O69" s="4">
        <f t="shared" si="87"/>
        <v>9.0202982052899928E-4</v>
      </c>
      <c r="P69" s="4" t="e">
        <f t="shared" si="87"/>
        <v>#DIV/0!</v>
      </c>
      <c r="Q69" s="4">
        <f t="shared" si="87"/>
        <v>1.080651141900126E-2</v>
      </c>
      <c r="R69" s="4" t="e">
        <f t="shared" si="87"/>
        <v>#DIV/0!</v>
      </c>
      <c r="S69" s="4">
        <f t="shared" si="87"/>
        <v>4.7208427794699316E-3</v>
      </c>
      <c r="T69" s="4" t="e">
        <f t="shared" si="87"/>
        <v>#DIV/0!</v>
      </c>
      <c r="U69" s="4">
        <f t="shared" si="87"/>
        <v>3.5321687708783785E-3</v>
      </c>
      <c r="V69" s="4" t="e">
        <f t="shared" si="87"/>
        <v>#DIV/0!</v>
      </c>
      <c r="W69" s="4">
        <f t="shared" si="87"/>
        <v>0</v>
      </c>
      <c r="X69" s="4" t="e">
        <f t="shared" si="87"/>
        <v>#DIV/0!</v>
      </c>
      <c r="Y69" s="4">
        <f t="shared" si="87"/>
        <v>0</v>
      </c>
      <c r="Z69" s="4" t="e">
        <f t="shared" si="87"/>
        <v>#DIV/0!</v>
      </c>
      <c r="AA69" s="4">
        <f t="shared" si="87"/>
        <v>0</v>
      </c>
      <c r="AB69" s="4" t="e">
        <f t="shared" si="87"/>
        <v>#DIV/0!</v>
      </c>
      <c r="AC69" s="4">
        <f t="shared" si="87"/>
        <v>0</v>
      </c>
      <c r="AD69" s="4" t="e">
        <f t="shared" si="87"/>
        <v>#DIV/0!</v>
      </c>
      <c r="AE69" s="4">
        <f t="shared" si="87"/>
        <v>0</v>
      </c>
      <c r="AF69" s="4" t="e">
        <f t="shared" si="87"/>
        <v>#DIV/0!</v>
      </c>
      <c r="AG69" s="4">
        <f t="shared" si="87"/>
        <v>2.5211151539765568E-3</v>
      </c>
      <c r="AH69" s="4" t="e">
        <f t="shared" si="87"/>
        <v>#DIV/0!</v>
      </c>
      <c r="AI69" s="4">
        <f t="shared" si="87"/>
        <v>1.1995903891613056</v>
      </c>
      <c r="AJ69" s="4" t="e">
        <f t="shared" ref="AJ69:BO69" si="88">_xlfn.STDEV.P(AJ40:AJ43)</f>
        <v>#DIV/0!</v>
      </c>
      <c r="AK69" s="4">
        <f t="shared" si="88"/>
        <v>0.75480200721279922</v>
      </c>
      <c r="AL69" s="4" t="e">
        <f t="shared" si="88"/>
        <v>#DIV/0!</v>
      </c>
      <c r="AM69" s="4">
        <f t="shared" si="88"/>
        <v>0.20299992058224905</v>
      </c>
      <c r="AN69" s="4" t="e">
        <f t="shared" si="88"/>
        <v>#DIV/0!</v>
      </c>
      <c r="AO69" s="4">
        <f t="shared" si="88"/>
        <v>1.1209499363845967E-2</v>
      </c>
      <c r="AP69" s="4" t="e">
        <f t="shared" si="88"/>
        <v>#DIV/0!</v>
      </c>
      <c r="AQ69" s="4">
        <f t="shared" si="88"/>
        <v>1.1513884208216769E-3</v>
      </c>
      <c r="AR69" s="4" t="e">
        <f t="shared" si="88"/>
        <v>#DIV/0!</v>
      </c>
      <c r="AS69" s="4">
        <f t="shared" si="88"/>
        <v>8.7959062196355713E-4</v>
      </c>
      <c r="AT69" s="4" t="e">
        <f t="shared" si="88"/>
        <v>#DIV/0!</v>
      </c>
      <c r="AU69" s="4">
        <f t="shared" si="88"/>
        <v>0</v>
      </c>
      <c r="AV69" s="4" t="e">
        <f t="shared" si="88"/>
        <v>#DIV/0!</v>
      </c>
      <c r="AW69" s="4">
        <f t="shared" si="88"/>
        <v>0</v>
      </c>
      <c r="AX69" s="4" t="e">
        <f t="shared" si="88"/>
        <v>#DIV/0!</v>
      </c>
      <c r="AY69" s="4">
        <f t="shared" si="88"/>
        <v>4.6125723531721206E-5</v>
      </c>
      <c r="AZ69" s="4" t="e">
        <f t="shared" si="88"/>
        <v>#DIV/0!</v>
      </c>
      <c r="BA69" s="4">
        <f t="shared" si="88"/>
        <v>0</v>
      </c>
      <c r="BB69" s="4" t="e">
        <f t="shared" si="88"/>
        <v>#DIV/0!</v>
      </c>
      <c r="BC69" s="4">
        <f t="shared" si="88"/>
        <v>3.8143948851628961E-4</v>
      </c>
      <c r="BD69" s="4" t="e">
        <f t="shared" si="88"/>
        <v>#DIV/0!</v>
      </c>
      <c r="BE69" s="4">
        <f t="shared" si="88"/>
        <v>2.0357340874596051E-3</v>
      </c>
      <c r="BF69" s="4" t="e">
        <f t="shared" si="88"/>
        <v>#DIV/0!</v>
      </c>
      <c r="BG69" s="4">
        <f t="shared" si="88"/>
        <v>3.0110453618624675E-3</v>
      </c>
      <c r="BH69" s="4" t="e">
        <f t="shared" si="88"/>
        <v>#DIV/0!</v>
      </c>
      <c r="BI69" s="4">
        <f t="shared" si="88"/>
        <v>1.4600325525666039E-4</v>
      </c>
      <c r="BJ69" s="4" t="e">
        <f t="shared" si="88"/>
        <v>#DIV/0!</v>
      </c>
      <c r="BK69" s="4">
        <f t="shared" si="88"/>
        <v>0</v>
      </c>
      <c r="BL69" s="4" t="e">
        <f t="shared" si="88"/>
        <v>#DIV/0!</v>
      </c>
      <c r="BM69" s="4">
        <f t="shared" si="88"/>
        <v>0</v>
      </c>
      <c r="BN69" s="4" t="e">
        <f t="shared" si="88"/>
        <v>#DIV/0!</v>
      </c>
      <c r="BO69" s="4">
        <f t="shared" si="88"/>
        <v>0</v>
      </c>
      <c r="BP69" s="4" t="e">
        <f t="shared" ref="BP69:CE69" si="89">_xlfn.STDEV.P(BP40:BP43)</f>
        <v>#DIV/0!</v>
      </c>
      <c r="BQ69" s="4">
        <f t="shared" si="89"/>
        <v>0.23125574683054745</v>
      </c>
      <c r="BR69" s="4" t="e">
        <f t="shared" si="89"/>
        <v>#DIV/0!</v>
      </c>
      <c r="BS69" s="4">
        <f t="shared" si="89"/>
        <v>1.391240529257961</v>
      </c>
      <c r="BT69" s="4" t="e">
        <f t="shared" si="89"/>
        <v>#DIV/0!</v>
      </c>
      <c r="BU69" s="4">
        <f t="shared" si="89"/>
        <v>4.7828253437151115E-2</v>
      </c>
      <c r="BV69" s="4" t="e">
        <f t="shared" si="89"/>
        <v>#DIV/0!</v>
      </c>
      <c r="BW69" s="4">
        <f t="shared" si="89"/>
        <v>2.6460580018831544E-3</v>
      </c>
      <c r="BX69" s="4" t="e">
        <f t="shared" si="89"/>
        <v>#DIV/0!</v>
      </c>
      <c r="BY69" s="4">
        <f t="shared" si="89"/>
        <v>0</v>
      </c>
      <c r="BZ69" s="4" t="e">
        <f t="shared" si="89"/>
        <v>#DIV/0!</v>
      </c>
      <c r="CA69" s="4">
        <f t="shared" si="89"/>
        <v>0</v>
      </c>
      <c r="CB69" s="4">
        <f t="shared" si="89"/>
        <v>0</v>
      </c>
      <c r="CC69" s="4">
        <f t="shared" si="89"/>
        <v>2.5778439180968428E-2</v>
      </c>
      <c r="CD69" s="4">
        <f t="shared" si="89"/>
        <v>0</v>
      </c>
      <c r="CE69" s="4">
        <f t="shared" si="89"/>
        <v>3.7945842349411461</v>
      </c>
      <c r="CF69" s="4"/>
      <c r="CG69" s="4"/>
      <c r="CH69" s="4"/>
      <c r="CI69" s="4"/>
    </row>
    <row r="70" spans="2:87" x14ac:dyDescent="0.25">
      <c r="B70" s="4"/>
      <c r="C70" s="63">
        <v>136</v>
      </c>
      <c r="D70" s="4" t="e">
        <f t="shared" ref="D70:AI70" si="90">_xlfn.STDEV.P(D44:D47)</f>
        <v>#DIV/0!</v>
      </c>
      <c r="E70" s="4">
        <f t="shared" si="90"/>
        <v>4.8336217275607518E-3</v>
      </c>
      <c r="F70" s="4" t="e">
        <f t="shared" si="90"/>
        <v>#DIV/0!</v>
      </c>
      <c r="G70" s="4">
        <f t="shared" si="90"/>
        <v>0</v>
      </c>
      <c r="H70" s="4" t="e">
        <f t="shared" si="90"/>
        <v>#DIV/0!</v>
      </c>
      <c r="I70" s="4">
        <f t="shared" si="90"/>
        <v>0</v>
      </c>
      <c r="J70" s="4" t="e">
        <f t="shared" si="90"/>
        <v>#DIV/0!</v>
      </c>
      <c r="K70" s="4">
        <f t="shared" si="90"/>
        <v>0</v>
      </c>
      <c r="L70" s="4" t="e">
        <f t="shared" si="90"/>
        <v>#DIV/0!</v>
      </c>
      <c r="M70" s="4">
        <f t="shared" si="90"/>
        <v>0</v>
      </c>
      <c r="N70" s="4" t="e">
        <f t="shared" si="90"/>
        <v>#DIV/0!</v>
      </c>
      <c r="O70" s="4">
        <f t="shared" si="90"/>
        <v>0</v>
      </c>
      <c r="P70" s="4" t="e">
        <f t="shared" si="90"/>
        <v>#DIV/0!</v>
      </c>
      <c r="Q70" s="4">
        <f t="shared" si="90"/>
        <v>5.2347572842189423E-3</v>
      </c>
      <c r="R70" s="4" t="e">
        <f t="shared" si="90"/>
        <v>#DIV/0!</v>
      </c>
      <c r="S70" s="4">
        <f t="shared" si="90"/>
        <v>1.6869573711145458E-3</v>
      </c>
      <c r="T70" s="4" t="e">
        <f t="shared" si="90"/>
        <v>#DIV/0!</v>
      </c>
      <c r="U70" s="4">
        <f t="shared" si="90"/>
        <v>0</v>
      </c>
      <c r="V70" s="4" t="e">
        <f t="shared" si="90"/>
        <v>#DIV/0!</v>
      </c>
      <c r="W70" s="4">
        <f t="shared" si="90"/>
        <v>0</v>
      </c>
      <c r="X70" s="4" t="e">
        <f t="shared" si="90"/>
        <v>#DIV/0!</v>
      </c>
      <c r="Y70" s="4">
        <f t="shared" si="90"/>
        <v>0</v>
      </c>
      <c r="Z70" s="4" t="e">
        <f t="shared" si="90"/>
        <v>#DIV/0!</v>
      </c>
      <c r="AA70" s="4">
        <f t="shared" si="90"/>
        <v>0</v>
      </c>
      <c r="AB70" s="4" t="e">
        <f t="shared" si="90"/>
        <v>#DIV/0!</v>
      </c>
      <c r="AC70" s="4">
        <f t="shared" si="90"/>
        <v>0</v>
      </c>
      <c r="AD70" s="4" t="e">
        <f t="shared" si="90"/>
        <v>#DIV/0!</v>
      </c>
      <c r="AE70" s="4">
        <f t="shared" si="90"/>
        <v>0</v>
      </c>
      <c r="AF70" s="4" t="e">
        <f t="shared" si="90"/>
        <v>#DIV/0!</v>
      </c>
      <c r="AG70" s="4">
        <f t="shared" si="90"/>
        <v>0</v>
      </c>
      <c r="AH70" s="4" t="e">
        <f t="shared" si="90"/>
        <v>#DIV/0!</v>
      </c>
      <c r="AI70" s="4">
        <f t="shared" si="90"/>
        <v>0.39945315356704136</v>
      </c>
      <c r="AJ70" s="4" t="e">
        <f t="shared" ref="AJ70:BO70" si="91">_xlfn.STDEV.P(AJ44:AJ47)</f>
        <v>#DIV/0!</v>
      </c>
      <c r="AK70" s="4">
        <f t="shared" si="91"/>
        <v>0.13131265352891533</v>
      </c>
      <c r="AL70" s="4" t="e">
        <f t="shared" si="91"/>
        <v>#DIV/0!</v>
      </c>
      <c r="AM70" s="4">
        <f t="shared" si="91"/>
        <v>2.5529402141570696E-2</v>
      </c>
      <c r="AN70" s="4" t="e">
        <f t="shared" si="91"/>
        <v>#DIV/0!</v>
      </c>
      <c r="AO70" s="4">
        <f t="shared" si="91"/>
        <v>0</v>
      </c>
      <c r="AP70" s="4" t="e">
        <f t="shared" si="91"/>
        <v>#DIV/0!</v>
      </c>
      <c r="AQ70" s="4">
        <f t="shared" si="91"/>
        <v>0</v>
      </c>
      <c r="AR70" s="4" t="e">
        <f t="shared" si="91"/>
        <v>#DIV/0!</v>
      </c>
      <c r="AS70" s="4">
        <f t="shared" si="91"/>
        <v>0</v>
      </c>
      <c r="AT70" s="4" t="e">
        <f t="shared" si="91"/>
        <v>#DIV/0!</v>
      </c>
      <c r="AU70" s="4">
        <f t="shared" si="91"/>
        <v>0</v>
      </c>
      <c r="AV70" s="4" t="e">
        <f t="shared" si="91"/>
        <v>#DIV/0!</v>
      </c>
      <c r="AW70" s="4">
        <f t="shared" si="91"/>
        <v>0</v>
      </c>
      <c r="AX70" s="4" t="e">
        <f t="shared" si="91"/>
        <v>#DIV/0!</v>
      </c>
      <c r="AY70" s="4">
        <f t="shared" si="91"/>
        <v>3.4031385852903956E-5</v>
      </c>
      <c r="AZ70" s="4" t="e">
        <f t="shared" si="91"/>
        <v>#DIV/0!</v>
      </c>
      <c r="BA70" s="4">
        <f t="shared" si="91"/>
        <v>0</v>
      </c>
      <c r="BB70" s="4" t="e">
        <f t="shared" si="91"/>
        <v>#DIV/0!</v>
      </c>
      <c r="BC70" s="4">
        <f t="shared" si="91"/>
        <v>1.2757315263968745E-4</v>
      </c>
      <c r="BD70" s="4" t="e">
        <f t="shared" si="91"/>
        <v>#DIV/0!</v>
      </c>
      <c r="BE70" s="4">
        <f t="shared" si="91"/>
        <v>2.2813085196536067E-3</v>
      </c>
      <c r="BF70" s="4" t="e">
        <f t="shared" si="91"/>
        <v>#DIV/0!</v>
      </c>
      <c r="BG70" s="4">
        <f t="shared" si="91"/>
        <v>1.6950103573704501E-3</v>
      </c>
      <c r="BH70" s="4" t="e">
        <f t="shared" si="91"/>
        <v>#DIV/0!</v>
      </c>
      <c r="BI70" s="4">
        <f t="shared" si="91"/>
        <v>0</v>
      </c>
      <c r="BJ70" s="4" t="e">
        <f t="shared" si="91"/>
        <v>#DIV/0!</v>
      </c>
      <c r="BK70" s="4">
        <f t="shared" si="91"/>
        <v>0</v>
      </c>
      <c r="BL70" s="4" t="e">
        <f t="shared" si="91"/>
        <v>#DIV/0!</v>
      </c>
      <c r="BM70" s="4">
        <f t="shared" si="91"/>
        <v>0</v>
      </c>
      <c r="BN70" s="4" t="e">
        <f t="shared" si="91"/>
        <v>#DIV/0!</v>
      </c>
      <c r="BO70" s="4">
        <f t="shared" si="91"/>
        <v>0</v>
      </c>
      <c r="BP70" s="4" t="e">
        <f t="shared" ref="BP70:CE70" si="92">_xlfn.STDEV.P(BP44:BP47)</f>
        <v>#DIV/0!</v>
      </c>
      <c r="BQ70" s="4">
        <f t="shared" si="92"/>
        <v>7.8441658911419562E-2</v>
      </c>
      <c r="BR70" s="4" t="e">
        <f t="shared" si="92"/>
        <v>#DIV/0!</v>
      </c>
      <c r="BS70" s="4">
        <f t="shared" si="92"/>
        <v>0.48669275578380811</v>
      </c>
      <c r="BT70" s="4" t="e">
        <f t="shared" si="92"/>
        <v>#DIV/0!</v>
      </c>
      <c r="BU70" s="4">
        <f t="shared" si="92"/>
        <v>2.0596312841423017E-2</v>
      </c>
      <c r="BV70" s="4" t="e">
        <f t="shared" si="92"/>
        <v>#DIV/0!</v>
      </c>
      <c r="BW70" s="4">
        <f t="shared" si="92"/>
        <v>0</v>
      </c>
      <c r="BX70" s="4" t="e">
        <f t="shared" si="92"/>
        <v>#DIV/0!</v>
      </c>
      <c r="BY70" s="4">
        <f t="shared" si="92"/>
        <v>0</v>
      </c>
      <c r="BZ70" s="4" t="e">
        <f t="shared" si="92"/>
        <v>#DIV/0!</v>
      </c>
      <c r="CA70" s="4">
        <f t="shared" si="92"/>
        <v>0</v>
      </c>
      <c r="CB70" s="4">
        <f t="shared" si="92"/>
        <v>0</v>
      </c>
      <c r="CC70" s="4">
        <f t="shared" si="92"/>
        <v>9.3405447143539936E-3</v>
      </c>
      <c r="CD70" s="4">
        <f t="shared" si="92"/>
        <v>0</v>
      </c>
      <c r="CE70" s="4">
        <f t="shared" si="92"/>
        <v>1.1196871489615341</v>
      </c>
      <c r="CF70" s="4"/>
      <c r="CG70" s="4"/>
      <c r="CH70" s="4"/>
      <c r="CI70" s="4"/>
    </row>
    <row r="71" spans="2:87" x14ac:dyDescent="0.25">
      <c r="B71" s="4" t="s">
        <v>184</v>
      </c>
      <c r="C71" s="63">
        <v>1</v>
      </c>
      <c r="D71" s="4">
        <f>D61/D51*100</f>
        <v>8.2699148641576912</v>
      </c>
      <c r="E71" s="4">
        <f>E61/E51*100</f>
        <v>57.899328787231596</v>
      </c>
      <c r="F71" s="4">
        <f t="shared" ref="F71:BQ71" si="93">F61/F51*100</f>
        <v>7.3525607067887062</v>
      </c>
      <c r="G71" s="4" t="e">
        <f t="shared" si="93"/>
        <v>#DIV/0!</v>
      </c>
      <c r="H71" s="4">
        <f t="shared" si="93"/>
        <v>7.6353914506122482</v>
      </c>
      <c r="I71" s="4" t="e">
        <f t="shared" si="93"/>
        <v>#DIV/0!</v>
      </c>
      <c r="J71" s="4">
        <f t="shared" si="93"/>
        <v>9.0860458641150466</v>
      </c>
      <c r="K71" s="4" t="e">
        <f t="shared" si="93"/>
        <v>#DIV/0!</v>
      </c>
      <c r="L71" s="4">
        <f t="shared" si="93"/>
        <v>19.019346889819957</v>
      </c>
      <c r="M71" s="4">
        <f t="shared" si="93"/>
        <v>173.20508075688775</v>
      </c>
      <c r="N71" s="4">
        <f t="shared" si="93"/>
        <v>15.186471965767929</v>
      </c>
      <c r="O71" s="4">
        <f t="shared" si="93"/>
        <v>102.66157819610815</v>
      </c>
      <c r="P71" s="4">
        <f t="shared" si="93"/>
        <v>20.59245968034347</v>
      </c>
      <c r="Q71" s="4">
        <f t="shared" si="93"/>
        <v>58.229358035323301</v>
      </c>
      <c r="R71" s="4">
        <f t="shared" si="93"/>
        <v>9.8963472719072278</v>
      </c>
      <c r="S71" s="4">
        <f t="shared" si="93"/>
        <v>173.20508075688772</v>
      </c>
      <c r="T71" s="4">
        <f t="shared" si="93"/>
        <v>15.00564382376507</v>
      </c>
      <c r="U71" s="4" t="e">
        <f t="shared" si="93"/>
        <v>#DIV/0!</v>
      </c>
      <c r="V71" s="4">
        <f t="shared" si="93"/>
        <v>15.085179164593873</v>
      </c>
      <c r="W71" s="4" t="e">
        <f t="shared" si="93"/>
        <v>#DIV/0!</v>
      </c>
      <c r="X71" s="4">
        <f t="shared" si="93"/>
        <v>11.769708051068887</v>
      </c>
      <c r="Y71" s="4" t="e">
        <f t="shared" si="93"/>
        <v>#DIV/0!</v>
      </c>
      <c r="Z71" s="4">
        <f t="shared" si="93"/>
        <v>10.35957166428927</v>
      </c>
      <c r="AA71" s="4" t="e">
        <f t="shared" si="93"/>
        <v>#DIV/0!</v>
      </c>
      <c r="AB71" s="4" t="e">
        <f t="shared" si="93"/>
        <v>#DIV/0!</v>
      </c>
      <c r="AC71" s="4" t="e">
        <f t="shared" si="93"/>
        <v>#DIV/0!</v>
      </c>
      <c r="AD71" s="4">
        <f t="shared" si="93"/>
        <v>15.95216612072864</v>
      </c>
      <c r="AE71" s="4" t="e">
        <f t="shared" si="93"/>
        <v>#DIV/0!</v>
      </c>
      <c r="AF71" s="4">
        <f t="shared" si="93"/>
        <v>21.827437879217175</v>
      </c>
      <c r="AG71" s="4" t="e">
        <f t="shared" si="93"/>
        <v>#DIV/0!</v>
      </c>
      <c r="AH71" s="4">
        <f t="shared" si="93"/>
        <v>30.252935096538309</v>
      </c>
      <c r="AI71" s="4" t="e">
        <f t="shared" si="93"/>
        <v>#DIV/0!</v>
      </c>
      <c r="AJ71" s="4">
        <f t="shared" si="93"/>
        <v>11.339190516010964</v>
      </c>
      <c r="AK71" s="4" t="e">
        <f t="shared" si="93"/>
        <v>#DIV/0!</v>
      </c>
      <c r="AL71" s="4">
        <f t="shared" si="93"/>
        <v>13.03770171680339</v>
      </c>
      <c r="AM71" s="4" t="e">
        <f t="shared" si="93"/>
        <v>#DIV/0!</v>
      </c>
      <c r="AN71" s="4">
        <f t="shared" si="93"/>
        <v>16.84947571481764</v>
      </c>
      <c r="AO71" s="4" t="e">
        <f t="shared" si="93"/>
        <v>#DIV/0!</v>
      </c>
      <c r="AP71" s="4">
        <f t="shared" si="93"/>
        <v>9.5751420913831939</v>
      </c>
      <c r="AQ71" s="4" t="e">
        <f t="shared" si="93"/>
        <v>#DIV/0!</v>
      </c>
      <c r="AR71" s="4">
        <f t="shared" si="93"/>
        <v>6.657198841010989</v>
      </c>
      <c r="AS71" s="4" t="e">
        <f t="shared" si="93"/>
        <v>#DIV/0!</v>
      </c>
      <c r="AT71" s="4" t="e">
        <f t="shared" si="93"/>
        <v>#DIV/0!</v>
      </c>
      <c r="AU71" s="4" t="e">
        <f t="shared" si="93"/>
        <v>#DIV/0!</v>
      </c>
      <c r="AV71" s="4">
        <f t="shared" si="93"/>
        <v>14.601376591889245</v>
      </c>
      <c r="AW71" s="4" t="e">
        <f t="shared" si="93"/>
        <v>#DIV/0!</v>
      </c>
      <c r="AX71" s="4">
        <f t="shared" si="93"/>
        <v>14.02243410509247</v>
      </c>
      <c r="AY71" s="4">
        <f t="shared" si="93"/>
        <v>173.20508075688775</v>
      </c>
      <c r="AZ71" s="4">
        <f t="shared" si="93"/>
        <v>61.29174423428794</v>
      </c>
      <c r="BA71" s="4" t="e">
        <f t="shared" si="93"/>
        <v>#DIV/0!</v>
      </c>
      <c r="BB71" s="4">
        <f t="shared" si="93"/>
        <v>173.20508075688772</v>
      </c>
      <c r="BC71" s="4" t="e">
        <f t="shared" si="93"/>
        <v>#DIV/0!</v>
      </c>
      <c r="BD71" s="4">
        <f t="shared" si="93"/>
        <v>25.796156927731399</v>
      </c>
      <c r="BE71" s="4" t="e">
        <f t="shared" si="93"/>
        <v>#DIV/0!</v>
      </c>
      <c r="BF71" s="4">
        <f t="shared" si="93"/>
        <v>9.3771503353653856</v>
      </c>
      <c r="BG71" s="4" t="e">
        <f t="shared" si="93"/>
        <v>#DIV/0!</v>
      </c>
      <c r="BH71" s="4">
        <f t="shared" si="93"/>
        <v>13.081424413848335</v>
      </c>
      <c r="BI71" s="4" t="e">
        <f t="shared" si="93"/>
        <v>#DIV/0!</v>
      </c>
      <c r="BJ71" s="4">
        <f t="shared" si="93"/>
        <v>18.804453664401464</v>
      </c>
      <c r="BK71" s="4" t="e">
        <f t="shared" si="93"/>
        <v>#DIV/0!</v>
      </c>
      <c r="BL71" s="4">
        <f t="shared" si="93"/>
        <v>7.7241552653973296</v>
      </c>
      <c r="BM71" s="4" t="e">
        <f t="shared" si="93"/>
        <v>#DIV/0!</v>
      </c>
      <c r="BN71" s="4" t="e">
        <f t="shared" si="93"/>
        <v>#DIV/0!</v>
      </c>
      <c r="BO71" s="4" t="e">
        <f t="shared" si="93"/>
        <v>#DIV/0!</v>
      </c>
      <c r="BP71" s="4">
        <f t="shared" si="93"/>
        <v>29.661804635701333</v>
      </c>
      <c r="BQ71" s="4" t="e">
        <f t="shared" si="93"/>
        <v>#DIV/0!</v>
      </c>
      <c r="BR71" s="4">
        <f t="shared" ref="BR71:CC71" si="94">BR61/BR51*100</f>
        <v>25.421263137373419</v>
      </c>
      <c r="BS71" s="4" t="e">
        <f t="shared" si="94"/>
        <v>#DIV/0!</v>
      </c>
      <c r="BT71" s="4">
        <f t="shared" si="94"/>
        <v>9.2677715864542414</v>
      </c>
      <c r="BU71" s="4" t="e">
        <f t="shared" si="94"/>
        <v>#DIV/0!</v>
      </c>
      <c r="BV71" s="4">
        <f t="shared" si="94"/>
        <v>8.1154841426693984</v>
      </c>
      <c r="BW71" s="4" t="e">
        <f t="shared" si="94"/>
        <v>#DIV/0!</v>
      </c>
      <c r="BX71" s="4">
        <f t="shared" si="94"/>
        <v>10.259198312691041</v>
      </c>
      <c r="BY71" s="4" t="e">
        <f t="shared" si="94"/>
        <v>#DIV/0!</v>
      </c>
      <c r="BZ71" s="4">
        <f t="shared" si="94"/>
        <v>10.155947965064737</v>
      </c>
      <c r="CA71" s="4" t="e">
        <f t="shared" si="94"/>
        <v>#DIV/0!</v>
      </c>
      <c r="CB71" s="4">
        <f t="shared" si="94"/>
        <v>7.0044061557541601</v>
      </c>
      <c r="CC71" s="4">
        <f t="shared" si="94"/>
        <v>57.808917202598266</v>
      </c>
      <c r="CD71" s="4">
        <f>CD61/CD51*100</f>
        <v>6.1524916193011681</v>
      </c>
      <c r="CE71" s="4">
        <f>CE61/CE51*100</f>
        <v>57.673872226471246</v>
      </c>
      <c r="CF71" s="4"/>
      <c r="CG71" s="4"/>
      <c r="CH71" s="4"/>
      <c r="CI71" s="4"/>
    </row>
    <row r="72" spans="2:87" x14ac:dyDescent="0.25">
      <c r="B72" s="4"/>
      <c r="C72" s="63">
        <v>5</v>
      </c>
      <c r="D72" s="4">
        <f t="shared" ref="D72:E72" si="95">D62/D52*100</f>
        <v>12.282344090508015</v>
      </c>
      <c r="E72" s="4">
        <f t="shared" si="95"/>
        <v>98.825168917753103</v>
      </c>
      <c r="F72" s="4">
        <f t="shared" ref="F72:BQ72" si="96">F62/F52*100</f>
        <v>13.933604412868696</v>
      </c>
      <c r="G72" s="4">
        <f t="shared" si="96"/>
        <v>93.164467287932908</v>
      </c>
      <c r="H72" s="4">
        <f t="shared" si="96"/>
        <v>20.851146408707553</v>
      </c>
      <c r="I72" s="4" t="e">
        <f t="shared" si="96"/>
        <v>#DIV/0!</v>
      </c>
      <c r="J72" s="4">
        <f t="shared" si="96"/>
        <v>26.049293402359158</v>
      </c>
      <c r="K72" s="4" t="e">
        <f t="shared" si="96"/>
        <v>#DIV/0!</v>
      </c>
      <c r="L72" s="4">
        <f t="shared" si="96"/>
        <v>39.188005425272223</v>
      </c>
      <c r="M72" s="4">
        <f t="shared" si="96"/>
        <v>113.77773112843694</v>
      </c>
      <c r="N72" s="4">
        <f t="shared" si="96"/>
        <v>36.154536017985826</v>
      </c>
      <c r="O72" s="4">
        <f t="shared" si="96"/>
        <v>89.008079796800871</v>
      </c>
      <c r="P72" s="4">
        <f t="shared" si="96"/>
        <v>34.026969602510903</v>
      </c>
      <c r="Q72" s="4">
        <f t="shared" si="96"/>
        <v>61.65141507945382</v>
      </c>
      <c r="R72" s="4">
        <f t="shared" si="96"/>
        <v>29.117810315326199</v>
      </c>
      <c r="S72" s="4">
        <f t="shared" si="96"/>
        <v>62.567308464160313</v>
      </c>
      <c r="T72" s="4">
        <f t="shared" si="96"/>
        <v>33.786633318361339</v>
      </c>
      <c r="U72" s="4">
        <f t="shared" si="96"/>
        <v>173.20508075688772</v>
      </c>
      <c r="V72" s="4">
        <f t="shared" si="96"/>
        <v>41.27736843793145</v>
      </c>
      <c r="W72" s="4" t="e">
        <f t="shared" si="96"/>
        <v>#DIV/0!</v>
      </c>
      <c r="X72" s="4">
        <f t="shared" si="96"/>
        <v>44.753101513426422</v>
      </c>
      <c r="Y72" s="4" t="e">
        <f t="shared" si="96"/>
        <v>#DIV/0!</v>
      </c>
      <c r="Z72" s="4">
        <f t="shared" si="96"/>
        <v>13.764442467956952</v>
      </c>
      <c r="AA72" s="4" t="e">
        <f t="shared" si="96"/>
        <v>#DIV/0!</v>
      </c>
      <c r="AB72" s="4" t="e">
        <f t="shared" si="96"/>
        <v>#DIV/0!</v>
      </c>
      <c r="AC72" s="4" t="e">
        <f t="shared" si="96"/>
        <v>#DIV/0!</v>
      </c>
      <c r="AD72" s="4">
        <f t="shared" si="96"/>
        <v>27.728018037339979</v>
      </c>
      <c r="AE72" s="4" t="e">
        <f t="shared" si="96"/>
        <v>#DIV/0!</v>
      </c>
      <c r="AF72" s="4">
        <f t="shared" si="96"/>
        <v>35.232068815962222</v>
      </c>
      <c r="AG72" s="4" t="e">
        <f t="shared" si="96"/>
        <v>#DIV/0!</v>
      </c>
      <c r="AH72" s="4">
        <f t="shared" si="96"/>
        <v>32.928098982823634</v>
      </c>
      <c r="AI72" s="4">
        <f t="shared" si="96"/>
        <v>87.874661810545589</v>
      </c>
      <c r="AJ72" s="4">
        <f t="shared" si="96"/>
        <v>25.313250453188026</v>
      </c>
      <c r="AK72" s="4">
        <f t="shared" si="96"/>
        <v>77.414786077795853</v>
      </c>
      <c r="AL72" s="4">
        <f t="shared" si="96"/>
        <v>26.439399006601867</v>
      </c>
      <c r="AM72" s="4">
        <f t="shared" si="96"/>
        <v>62.280762192552139</v>
      </c>
      <c r="AN72" s="4">
        <f t="shared" si="96"/>
        <v>55.783643319148254</v>
      </c>
      <c r="AO72" s="4">
        <f t="shared" si="96"/>
        <v>79.314083534320247</v>
      </c>
      <c r="AP72" s="4">
        <f t="shared" si="96"/>
        <v>50.335401325802152</v>
      </c>
      <c r="AQ72" s="4">
        <f t="shared" si="96"/>
        <v>59.534668472592813</v>
      </c>
      <c r="AR72" s="4">
        <f t="shared" si="96"/>
        <v>53.969067476437161</v>
      </c>
      <c r="AS72" s="4" t="e">
        <f t="shared" si="96"/>
        <v>#DIV/0!</v>
      </c>
      <c r="AT72" s="4" t="e">
        <f t="shared" si="96"/>
        <v>#DIV/0!</v>
      </c>
      <c r="AU72" s="4" t="e">
        <f t="shared" si="96"/>
        <v>#DIV/0!</v>
      </c>
      <c r="AV72" s="4">
        <f t="shared" si="96"/>
        <v>9.3940033961399525</v>
      </c>
      <c r="AW72" s="4" t="e">
        <f t="shared" si="96"/>
        <v>#DIV/0!</v>
      </c>
      <c r="AX72" s="4">
        <f t="shared" si="96"/>
        <v>19.228155902683937</v>
      </c>
      <c r="AY72" s="4">
        <f t="shared" si="96"/>
        <v>113.63373306775748</v>
      </c>
      <c r="AZ72" s="4">
        <f t="shared" si="96"/>
        <v>74.756393960406939</v>
      </c>
      <c r="BA72" s="4">
        <f t="shared" si="96"/>
        <v>173.20508075688775</v>
      </c>
      <c r="BB72" s="4">
        <f t="shared" si="96"/>
        <v>44.322624669380858</v>
      </c>
      <c r="BC72" s="4" t="e">
        <f t="shared" si="96"/>
        <v>#DIV/0!</v>
      </c>
      <c r="BD72" s="4">
        <f t="shared" si="96"/>
        <v>39.407729596219063</v>
      </c>
      <c r="BE72" s="4" t="e">
        <f t="shared" si="96"/>
        <v>#DIV/0!</v>
      </c>
      <c r="BF72" s="4">
        <f t="shared" si="96"/>
        <v>40.059345396597074</v>
      </c>
      <c r="BG72" s="4">
        <f t="shared" si="96"/>
        <v>173.20508075688772</v>
      </c>
      <c r="BH72" s="4">
        <f t="shared" si="96"/>
        <v>38.985982315477472</v>
      </c>
      <c r="BI72" s="4">
        <f t="shared" si="96"/>
        <v>109.73823259598458</v>
      </c>
      <c r="BJ72" s="4">
        <f t="shared" si="96"/>
        <v>36.633211241751454</v>
      </c>
      <c r="BK72" s="4">
        <f t="shared" si="96"/>
        <v>107.45224828185272</v>
      </c>
      <c r="BL72" s="4">
        <f t="shared" si="96"/>
        <v>14.397102083193122</v>
      </c>
      <c r="BM72" s="4" t="e">
        <f t="shared" si="96"/>
        <v>#DIV/0!</v>
      </c>
      <c r="BN72" s="4" t="e">
        <f t="shared" si="96"/>
        <v>#DIV/0!</v>
      </c>
      <c r="BO72" s="4" t="e">
        <f t="shared" si="96"/>
        <v>#DIV/0!</v>
      </c>
      <c r="BP72" s="4">
        <f t="shared" si="96"/>
        <v>40.9880073389469</v>
      </c>
      <c r="BQ72" s="4">
        <f t="shared" si="96"/>
        <v>61.715500645796197</v>
      </c>
      <c r="BR72" s="4">
        <f t="shared" ref="BR72:CC72" si="97">BR62/BR52*100</f>
        <v>29.265174980959358</v>
      </c>
      <c r="BS72" s="4">
        <f t="shared" si="97"/>
        <v>86.211888524756105</v>
      </c>
      <c r="BT72" s="4">
        <f t="shared" si="97"/>
        <v>28.905247657982024</v>
      </c>
      <c r="BU72" s="4">
        <f t="shared" si="97"/>
        <v>70.237152271632738</v>
      </c>
      <c r="BV72" s="4">
        <f t="shared" si="97"/>
        <v>35.807247364021102</v>
      </c>
      <c r="BW72" s="4">
        <f t="shared" si="97"/>
        <v>83.465092874238792</v>
      </c>
      <c r="BX72" s="4">
        <f t="shared" si="97"/>
        <v>42.440508094264842</v>
      </c>
      <c r="BY72" s="4">
        <f t="shared" si="97"/>
        <v>80.924590558063997</v>
      </c>
      <c r="BZ72" s="4">
        <f t="shared" si="97"/>
        <v>41.842540183775867</v>
      </c>
      <c r="CA72" s="4">
        <f t="shared" si="97"/>
        <v>70.442218604086108</v>
      </c>
      <c r="CB72" s="4">
        <f t="shared" si="97"/>
        <v>30.223626797530194</v>
      </c>
      <c r="CC72" s="4">
        <f t="shared" si="97"/>
        <v>91.419640109695763</v>
      </c>
      <c r="CD72" s="4">
        <f t="shared" ref="CD72:CE72" si="98">CD62/CD52*100</f>
        <v>24.139426534206933</v>
      </c>
      <c r="CE72" s="4">
        <f t="shared" si="98"/>
        <v>83.149510706801991</v>
      </c>
      <c r="CF72" s="4"/>
      <c r="CG72" s="4"/>
      <c r="CH72" s="4"/>
      <c r="CI72" s="4"/>
    </row>
    <row r="73" spans="2:87" x14ac:dyDescent="0.25">
      <c r="B73" s="4"/>
      <c r="C73" s="63">
        <v>17</v>
      </c>
      <c r="D73" s="4">
        <f t="shared" ref="D73:E73" si="99">D63/D53*100</f>
        <v>0</v>
      </c>
      <c r="E73" s="4">
        <f t="shared" si="99"/>
        <v>42.173106218480434</v>
      </c>
      <c r="F73" s="4">
        <f t="shared" ref="F73:BQ73" si="100">F63/F53*100</f>
        <v>0</v>
      </c>
      <c r="G73" s="4">
        <f t="shared" si="100"/>
        <v>18.55266583616465</v>
      </c>
      <c r="H73" s="4">
        <f t="shared" si="100"/>
        <v>0</v>
      </c>
      <c r="I73" s="4" t="e">
        <f t="shared" si="100"/>
        <v>#DIV/0!</v>
      </c>
      <c r="J73" s="4">
        <f t="shared" si="100"/>
        <v>0</v>
      </c>
      <c r="K73" s="4" t="e">
        <f t="shared" si="100"/>
        <v>#DIV/0!</v>
      </c>
      <c r="L73" s="4">
        <f t="shared" si="100"/>
        <v>0</v>
      </c>
      <c r="M73" s="4">
        <f t="shared" si="100"/>
        <v>45.790038009528594</v>
      </c>
      <c r="N73" s="4">
        <f t="shared" si="100"/>
        <v>0</v>
      </c>
      <c r="O73" s="4">
        <f t="shared" si="100"/>
        <v>41.568841257386794</v>
      </c>
      <c r="P73" s="4">
        <f t="shared" si="100"/>
        <v>0</v>
      </c>
      <c r="Q73" s="4">
        <f t="shared" si="100"/>
        <v>35.956528312914877</v>
      </c>
      <c r="R73" s="4">
        <f t="shared" si="100"/>
        <v>0</v>
      </c>
      <c r="S73" s="4">
        <f t="shared" si="100"/>
        <v>37.562154889433181</v>
      </c>
      <c r="T73" s="4">
        <f t="shared" si="100"/>
        <v>0</v>
      </c>
      <c r="U73" s="4">
        <f t="shared" si="100"/>
        <v>34.015731863756876</v>
      </c>
      <c r="V73" s="4">
        <f t="shared" si="100"/>
        <v>0</v>
      </c>
      <c r="W73" s="4">
        <f t="shared" si="100"/>
        <v>44.267270487203412</v>
      </c>
      <c r="X73" s="4">
        <f t="shared" si="100"/>
        <v>0</v>
      </c>
      <c r="Y73" s="4">
        <f t="shared" si="100"/>
        <v>100.2198973780374</v>
      </c>
      <c r="Z73" s="4">
        <f t="shared" si="100"/>
        <v>0</v>
      </c>
      <c r="AA73" s="4" t="e">
        <f t="shared" si="100"/>
        <v>#DIV/0!</v>
      </c>
      <c r="AB73" s="4" t="e">
        <f t="shared" si="100"/>
        <v>#DIV/0!</v>
      </c>
      <c r="AC73" s="4" t="e">
        <f t="shared" si="100"/>
        <v>#DIV/0!</v>
      </c>
      <c r="AD73" s="4">
        <f t="shared" si="100"/>
        <v>0</v>
      </c>
      <c r="AE73" s="4">
        <f t="shared" si="100"/>
        <v>30.685823378836368</v>
      </c>
      <c r="AF73" s="4">
        <f t="shared" si="100"/>
        <v>0</v>
      </c>
      <c r="AG73" s="4">
        <f t="shared" si="100"/>
        <v>29.645111047858542</v>
      </c>
      <c r="AH73" s="4">
        <f t="shared" si="100"/>
        <v>0</v>
      </c>
      <c r="AI73" s="4">
        <f t="shared" si="100"/>
        <v>38.938520396949244</v>
      </c>
      <c r="AJ73" s="4">
        <f t="shared" si="100"/>
        <v>0</v>
      </c>
      <c r="AK73" s="4">
        <f t="shared" si="100"/>
        <v>41.272810237344544</v>
      </c>
      <c r="AL73" s="4">
        <f t="shared" si="100"/>
        <v>0</v>
      </c>
      <c r="AM73" s="4">
        <f t="shared" si="100"/>
        <v>30.473126858582244</v>
      </c>
      <c r="AN73" s="4">
        <f t="shared" si="100"/>
        <v>0</v>
      </c>
      <c r="AO73" s="4">
        <f t="shared" si="100"/>
        <v>47.094866698806953</v>
      </c>
      <c r="AP73" s="4">
        <f t="shared" si="100"/>
        <v>0</v>
      </c>
      <c r="AQ73" s="4">
        <f t="shared" si="100"/>
        <v>34.746279549144951</v>
      </c>
      <c r="AR73" s="4">
        <f t="shared" si="100"/>
        <v>0</v>
      </c>
      <c r="AS73" s="4">
        <f t="shared" si="100"/>
        <v>28.332938578356075</v>
      </c>
      <c r="AT73" s="4" t="e">
        <f t="shared" si="100"/>
        <v>#DIV/0!</v>
      </c>
      <c r="AU73" s="4" t="e">
        <f t="shared" si="100"/>
        <v>#DIV/0!</v>
      </c>
      <c r="AV73" s="4">
        <f t="shared" si="100"/>
        <v>0</v>
      </c>
      <c r="AW73" s="4" t="e">
        <f t="shared" si="100"/>
        <v>#DIV/0!</v>
      </c>
      <c r="AX73" s="4">
        <f t="shared" si="100"/>
        <v>0</v>
      </c>
      <c r="AY73" s="4">
        <f t="shared" si="100"/>
        <v>51.711296429789336</v>
      </c>
      <c r="AZ73" s="4">
        <f t="shared" si="100"/>
        <v>0</v>
      </c>
      <c r="BA73" s="4">
        <f t="shared" si="100"/>
        <v>47.689494096670074</v>
      </c>
      <c r="BB73" s="4">
        <f t="shared" si="100"/>
        <v>0</v>
      </c>
      <c r="BC73" s="4">
        <f t="shared" si="100"/>
        <v>173.20508075688772</v>
      </c>
      <c r="BD73" s="4">
        <f t="shared" si="100"/>
        <v>0</v>
      </c>
      <c r="BE73" s="4">
        <f t="shared" si="100"/>
        <v>33.023277809674973</v>
      </c>
      <c r="BF73" s="4">
        <f t="shared" si="100"/>
        <v>0</v>
      </c>
      <c r="BG73" s="4">
        <f t="shared" si="100"/>
        <v>43.103160268383952</v>
      </c>
      <c r="BH73" s="4">
        <f t="shared" si="100"/>
        <v>0</v>
      </c>
      <c r="BI73" s="4">
        <f t="shared" si="100"/>
        <v>48.513636764655317</v>
      </c>
      <c r="BJ73" s="4">
        <f t="shared" si="100"/>
        <v>0</v>
      </c>
      <c r="BK73" s="4">
        <f t="shared" si="100"/>
        <v>41.634583601511117</v>
      </c>
      <c r="BL73" s="4">
        <f t="shared" si="100"/>
        <v>0</v>
      </c>
      <c r="BM73" s="4" t="e">
        <f t="shared" si="100"/>
        <v>#DIV/0!</v>
      </c>
      <c r="BN73" s="4" t="e">
        <f t="shared" si="100"/>
        <v>#DIV/0!</v>
      </c>
      <c r="BO73" s="4" t="e">
        <f t="shared" si="100"/>
        <v>#DIV/0!</v>
      </c>
      <c r="BP73" s="4">
        <f t="shared" si="100"/>
        <v>0</v>
      </c>
      <c r="BQ73" s="4">
        <f t="shared" si="100"/>
        <v>45.516484143476163</v>
      </c>
      <c r="BR73" s="4">
        <f t="shared" ref="BR73:CC73" si="101">BR63/BR53*100</f>
        <v>0</v>
      </c>
      <c r="BS73" s="4">
        <f t="shared" si="101"/>
        <v>45.801661210771705</v>
      </c>
      <c r="BT73" s="4">
        <f t="shared" si="101"/>
        <v>0</v>
      </c>
      <c r="BU73" s="4">
        <f t="shared" si="101"/>
        <v>37.159457506572416</v>
      </c>
      <c r="BV73" s="4">
        <f t="shared" si="101"/>
        <v>0</v>
      </c>
      <c r="BW73" s="4">
        <f t="shared" si="101"/>
        <v>45.387524385240354</v>
      </c>
      <c r="BX73" s="4">
        <f t="shared" si="101"/>
        <v>0</v>
      </c>
      <c r="BY73" s="4">
        <f t="shared" si="101"/>
        <v>42.705906672225666</v>
      </c>
      <c r="BZ73" s="4">
        <f t="shared" si="101"/>
        <v>0</v>
      </c>
      <c r="CA73" s="4">
        <f t="shared" si="101"/>
        <v>40.996850203293874</v>
      </c>
      <c r="CB73" s="4">
        <f t="shared" si="101"/>
        <v>0</v>
      </c>
      <c r="CC73" s="4">
        <f t="shared" si="101"/>
        <v>33.463741182623266</v>
      </c>
      <c r="CD73" s="4">
        <f t="shared" ref="CD73:CE73" si="102">CD63/CD53*100</f>
        <v>0</v>
      </c>
      <c r="CE73" s="4">
        <f t="shared" si="102"/>
        <v>39.010634481399215</v>
      </c>
      <c r="CF73" s="4"/>
      <c r="CG73" s="4"/>
      <c r="CH73" s="4"/>
      <c r="CI73" s="4"/>
    </row>
    <row r="74" spans="2:87" x14ac:dyDescent="0.25">
      <c r="B74" s="4"/>
      <c r="C74" s="63">
        <v>38</v>
      </c>
      <c r="D74" s="4">
        <f t="shared" ref="D74:E74" si="103">D64/D54*100</f>
        <v>16.461602646745547</v>
      </c>
      <c r="E74" s="4">
        <f t="shared" si="103"/>
        <v>20.315120874067912</v>
      </c>
      <c r="F74" s="4">
        <f t="shared" ref="F74:BQ74" si="104">F64/F54*100</f>
        <v>16.236099893504125</v>
      </c>
      <c r="G74" s="4">
        <f t="shared" si="104"/>
        <v>23.308880416932322</v>
      </c>
      <c r="H74" s="4">
        <f t="shared" si="104"/>
        <v>10.825911429422701</v>
      </c>
      <c r="I74" s="4" t="e">
        <f t="shared" si="104"/>
        <v>#DIV/0!</v>
      </c>
      <c r="J74" s="4">
        <f t="shared" si="104"/>
        <v>11.33382195799801</v>
      </c>
      <c r="K74" s="4" t="e">
        <f t="shared" si="104"/>
        <v>#DIV/0!</v>
      </c>
      <c r="L74" s="4">
        <f t="shared" si="104"/>
        <v>21.12844133874454</v>
      </c>
      <c r="M74" s="4">
        <f t="shared" si="104"/>
        <v>19.775711441817528</v>
      </c>
      <c r="N74" s="4">
        <f t="shared" si="104"/>
        <v>22.001643900392683</v>
      </c>
      <c r="O74" s="4">
        <f t="shared" si="104"/>
        <v>43.298173407402928</v>
      </c>
      <c r="P74" s="4">
        <f t="shared" si="104"/>
        <v>48.832550845501061</v>
      </c>
      <c r="Q74" s="4">
        <f t="shared" si="104"/>
        <v>38.871901211771878</v>
      </c>
      <c r="R74" s="4">
        <f t="shared" si="104"/>
        <v>36.142503080895558</v>
      </c>
      <c r="S74" s="4">
        <f t="shared" si="104"/>
        <v>37.025374360392362</v>
      </c>
      <c r="T74" s="4">
        <f t="shared" si="104"/>
        <v>26.390423196584155</v>
      </c>
      <c r="U74" s="4">
        <f t="shared" si="104"/>
        <v>29.615452237304069</v>
      </c>
      <c r="V74" s="4">
        <f t="shared" si="104"/>
        <v>33.110605054665371</v>
      </c>
      <c r="W74" s="4">
        <f t="shared" si="104"/>
        <v>38.56238874101885</v>
      </c>
      <c r="X74" s="4">
        <f t="shared" si="104"/>
        <v>19.856707072896988</v>
      </c>
      <c r="Y74" s="4">
        <f t="shared" si="104"/>
        <v>101.18023110854209</v>
      </c>
      <c r="Z74" s="4">
        <f t="shared" si="104"/>
        <v>30.632083905313518</v>
      </c>
      <c r="AA74" s="4" t="e">
        <f t="shared" si="104"/>
        <v>#DIV/0!</v>
      </c>
      <c r="AB74" s="4" t="e">
        <f t="shared" si="104"/>
        <v>#DIV/0!</v>
      </c>
      <c r="AC74" s="4" t="e">
        <f t="shared" si="104"/>
        <v>#DIV/0!</v>
      </c>
      <c r="AD74" s="4">
        <f t="shared" si="104"/>
        <v>7.8692668270430906</v>
      </c>
      <c r="AE74" s="4">
        <f t="shared" si="104"/>
        <v>33.118943383544618</v>
      </c>
      <c r="AF74" s="4">
        <f t="shared" si="104"/>
        <v>24.153479106773169</v>
      </c>
      <c r="AG74" s="4">
        <f t="shared" si="104"/>
        <v>29.185765709298966</v>
      </c>
      <c r="AH74" s="4">
        <f t="shared" si="104"/>
        <v>38.150909808825496</v>
      </c>
      <c r="AI74" s="4">
        <f t="shared" si="104"/>
        <v>40.412758712932579</v>
      </c>
      <c r="AJ74" s="4">
        <f t="shared" si="104"/>
        <v>26.456005686823829</v>
      </c>
      <c r="AK74" s="4">
        <f t="shared" si="104"/>
        <v>43.721016691233032</v>
      </c>
      <c r="AL74" s="4">
        <f t="shared" si="104"/>
        <v>28.5296012690801</v>
      </c>
      <c r="AM74" s="4">
        <f t="shared" si="104"/>
        <v>26.682057953858479</v>
      </c>
      <c r="AN74" s="4">
        <f t="shared" si="104"/>
        <v>41.524467518708505</v>
      </c>
      <c r="AO74" s="4">
        <f t="shared" si="104"/>
        <v>40.52460928379876</v>
      </c>
      <c r="AP74" s="4">
        <f t="shared" si="104"/>
        <v>52.732416278516993</v>
      </c>
      <c r="AQ74" s="4">
        <f t="shared" si="104"/>
        <v>35.596765900005181</v>
      </c>
      <c r="AR74" s="4">
        <f t="shared" si="104"/>
        <v>54.748477773420255</v>
      </c>
      <c r="AS74" s="4">
        <f t="shared" si="104"/>
        <v>32.229893699701485</v>
      </c>
      <c r="AT74" s="4" t="e">
        <f t="shared" si="104"/>
        <v>#DIV/0!</v>
      </c>
      <c r="AU74" s="4" t="e">
        <f t="shared" si="104"/>
        <v>#DIV/0!</v>
      </c>
      <c r="AV74" s="4">
        <f t="shared" si="104"/>
        <v>8.3668246372526447</v>
      </c>
      <c r="AW74" s="4" t="e">
        <f t="shared" si="104"/>
        <v>#DIV/0!</v>
      </c>
      <c r="AX74" s="4">
        <f t="shared" si="104"/>
        <v>2.1260866086658852</v>
      </c>
      <c r="AY74" s="4">
        <f t="shared" si="104"/>
        <v>32.190433907275754</v>
      </c>
      <c r="AZ74" s="4">
        <f t="shared" si="104"/>
        <v>122.47448713915891</v>
      </c>
      <c r="BA74" s="4">
        <f t="shared" si="104"/>
        <v>173.20508075688775</v>
      </c>
      <c r="BB74" s="4">
        <f t="shared" si="104"/>
        <v>173.20508075688775</v>
      </c>
      <c r="BC74" s="4">
        <f t="shared" si="104"/>
        <v>118.41717723426864</v>
      </c>
      <c r="BD74" s="4">
        <f t="shared" si="104"/>
        <v>60.091350677431002</v>
      </c>
      <c r="BE74" s="4">
        <f t="shared" si="104"/>
        <v>31.319330643058446</v>
      </c>
      <c r="BF74" s="4">
        <f t="shared" si="104"/>
        <v>59.696522636264206</v>
      </c>
      <c r="BG74" s="4">
        <f t="shared" si="104"/>
        <v>41.446234334774744</v>
      </c>
      <c r="BH74" s="4">
        <f t="shared" si="104"/>
        <v>68.540109072547338</v>
      </c>
      <c r="BI74" s="4">
        <f t="shared" si="104"/>
        <v>35.264007036336636</v>
      </c>
      <c r="BJ74" s="4">
        <f t="shared" si="104"/>
        <v>63.683211281315366</v>
      </c>
      <c r="BK74" s="4">
        <f t="shared" si="104"/>
        <v>29.26974642141883</v>
      </c>
      <c r="BL74" s="4">
        <f t="shared" si="104"/>
        <v>11.325066273000667</v>
      </c>
      <c r="BM74" s="4" t="e">
        <f t="shared" si="104"/>
        <v>#DIV/0!</v>
      </c>
      <c r="BN74" s="4" t="e">
        <f t="shared" si="104"/>
        <v>#DIV/0!</v>
      </c>
      <c r="BO74" s="4" t="e">
        <f t="shared" si="104"/>
        <v>#DIV/0!</v>
      </c>
      <c r="BP74" s="4">
        <f t="shared" si="104"/>
        <v>30.550239933831726</v>
      </c>
      <c r="BQ74" s="4">
        <f t="shared" si="104"/>
        <v>48.922070385304892</v>
      </c>
      <c r="BR74" s="4">
        <f t="shared" ref="BR74:CC74" si="105">BR64/BR54*100</f>
        <v>38.797808786434587</v>
      </c>
      <c r="BS74" s="4">
        <f t="shared" si="105"/>
        <v>50.316458328781685</v>
      </c>
      <c r="BT74" s="4">
        <f t="shared" si="105"/>
        <v>30.288713687186053</v>
      </c>
      <c r="BU74" s="4">
        <f t="shared" si="105"/>
        <v>35.164702284884413</v>
      </c>
      <c r="BV74" s="4">
        <f t="shared" si="105"/>
        <v>35.687862046102794</v>
      </c>
      <c r="BW74" s="4">
        <f t="shared" si="105"/>
        <v>32.937852391344137</v>
      </c>
      <c r="BX74" s="4">
        <f t="shared" si="105"/>
        <v>42.623338228570923</v>
      </c>
      <c r="BY74" s="4">
        <f t="shared" si="105"/>
        <v>32.443433984072158</v>
      </c>
      <c r="BZ74" s="4">
        <f t="shared" si="105"/>
        <v>48.278337718439715</v>
      </c>
      <c r="CA74" s="4">
        <f t="shared" si="105"/>
        <v>31.368952666607608</v>
      </c>
      <c r="CB74" s="4">
        <f t="shared" si="105"/>
        <v>23.151616857855931</v>
      </c>
      <c r="CC74" s="4">
        <f t="shared" si="105"/>
        <v>30.051764644180835</v>
      </c>
      <c r="CD74" s="4">
        <f t="shared" ref="CD74:CE74" si="106">CD64/CD54*100</f>
        <v>26.03447402365947</v>
      </c>
      <c r="CE74" s="4">
        <f t="shared" si="106"/>
        <v>42.559553797096875</v>
      </c>
      <c r="CF74" s="4"/>
      <c r="CG74" s="4"/>
      <c r="CH74" s="4"/>
      <c r="CI74" s="4"/>
    </row>
    <row r="75" spans="2:87" x14ac:dyDescent="0.25">
      <c r="B75" s="4"/>
      <c r="C75" s="63">
        <v>54</v>
      </c>
      <c r="D75" s="4">
        <f t="shared" ref="D75:E75" si="107">D65/D55*100</f>
        <v>0</v>
      </c>
      <c r="E75" s="4">
        <f t="shared" si="107"/>
        <v>19.347325364274845</v>
      </c>
      <c r="F75" s="4">
        <f t="shared" ref="F75:BQ75" si="108">F65/F55*100</f>
        <v>0</v>
      </c>
      <c r="G75" s="4">
        <f t="shared" si="108"/>
        <v>17.243526983903994</v>
      </c>
      <c r="H75" s="4">
        <f t="shared" si="108"/>
        <v>0</v>
      </c>
      <c r="I75" s="4" t="e">
        <f t="shared" si="108"/>
        <v>#DIV/0!</v>
      </c>
      <c r="J75" s="4">
        <f t="shared" si="108"/>
        <v>0</v>
      </c>
      <c r="K75" s="4" t="e">
        <f t="shared" si="108"/>
        <v>#DIV/0!</v>
      </c>
      <c r="L75" s="4">
        <f t="shared" si="108"/>
        <v>0</v>
      </c>
      <c r="M75" s="4">
        <f t="shared" si="108"/>
        <v>36.098481268276885</v>
      </c>
      <c r="N75" s="4">
        <f t="shared" si="108"/>
        <v>0</v>
      </c>
      <c r="O75" s="4">
        <f t="shared" si="108"/>
        <v>25.045115322098738</v>
      </c>
      <c r="P75" s="4">
        <f t="shared" si="108"/>
        <v>0</v>
      </c>
      <c r="Q75" s="4">
        <f t="shared" si="108"/>
        <v>26.318306797930813</v>
      </c>
      <c r="R75" s="4">
        <f t="shared" si="108"/>
        <v>0</v>
      </c>
      <c r="S75" s="4">
        <f t="shared" si="108"/>
        <v>22.507745539655446</v>
      </c>
      <c r="T75" s="4">
        <f t="shared" si="108"/>
        <v>0</v>
      </c>
      <c r="U75" s="4">
        <f t="shared" si="108"/>
        <v>8.2604362144094097</v>
      </c>
      <c r="V75" s="4">
        <f t="shared" si="108"/>
        <v>0</v>
      </c>
      <c r="W75" s="4">
        <f t="shared" si="108"/>
        <v>21.506994340167896</v>
      </c>
      <c r="X75" s="4">
        <f t="shared" si="108"/>
        <v>0</v>
      </c>
      <c r="Y75" s="4">
        <f t="shared" si="108"/>
        <v>7.592587074222001</v>
      </c>
      <c r="Z75" s="4">
        <f t="shared" si="108"/>
        <v>0</v>
      </c>
      <c r="AA75" s="4" t="e">
        <f t="shared" si="108"/>
        <v>#DIV/0!</v>
      </c>
      <c r="AB75" s="4" t="e">
        <f t="shared" si="108"/>
        <v>#DIV/0!</v>
      </c>
      <c r="AC75" s="4" t="e">
        <f t="shared" si="108"/>
        <v>#DIV/0!</v>
      </c>
      <c r="AD75" s="4">
        <f t="shared" si="108"/>
        <v>0</v>
      </c>
      <c r="AE75" s="4">
        <f t="shared" si="108"/>
        <v>28.439214124644863</v>
      </c>
      <c r="AF75" s="4">
        <f t="shared" si="108"/>
        <v>0</v>
      </c>
      <c r="AG75" s="4">
        <f t="shared" si="108"/>
        <v>17.817815764897134</v>
      </c>
      <c r="AH75" s="4">
        <f t="shared" si="108"/>
        <v>0</v>
      </c>
      <c r="AI75" s="4">
        <f t="shared" si="108"/>
        <v>15.846577202419351</v>
      </c>
      <c r="AJ75" s="4">
        <f t="shared" si="108"/>
        <v>0</v>
      </c>
      <c r="AK75" s="4">
        <f t="shared" si="108"/>
        <v>16.459381293974165</v>
      </c>
      <c r="AL75" s="4">
        <f t="shared" si="108"/>
        <v>0</v>
      </c>
      <c r="AM75" s="4">
        <f t="shared" si="108"/>
        <v>25.878809944953794</v>
      </c>
      <c r="AN75" s="4">
        <f t="shared" si="108"/>
        <v>0</v>
      </c>
      <c r="AO75" s="4">
        <f t="shared" si="108"/>
        <v>18.328237439033437</v>
      </c>
      <c r="AP75" s="4">
        <f t="shared" si="108"/>
        <v>0</v>
      </c>
      <c r="AQ75" s="4">
        <f t="shared" si="108"/>
        <v>12.258116509859745</v>
      </c>
      <c r="AR75" s="4">
        <f t="shared" si="108"/>
        <v>0</v>
      </c>
      <c r="AS75" s="4">
        <f t="shared" si="108"/>
        <v>58.441058641612855</v>
      </c>
      <c r="AT75" s="4" t="e">
        <f t="shared" si="108"/>
        <v>#DIV/0!</v>
      </c>
      <c r="AU75" s="4" t="e">
        <f t="shared" si="108"/>
        <v>#DIV/0!</v>
      </c>
      <c r="AV75" s="4">
        <f t="shared" si="108"/>
        <v>0</v>
      </c>
      <c r="AW75" s="4" t="e">
        <f t="shared" si="108"/>
        <v>#DIV/0!</v>
      </c>
      <c r="AX75" s="4">
        <f t="shared" si="108"/>
        <v>0</v>
      </c>
      <c r="AY75" s="4">
        <f t="shared" si="108"/>
        <v>34.001332882955111</v>
      </c>
      <c r="AZ75" s="4">
        <f t="shared" si="108"/>
        <v>0</v>
      </c>
      <c r="BA75" s="4">
        <f t="shared" si="108"/>
        <v>173.20508075688772</v>
      </c>
      <c r="BB75" s="4">
        <f t="shared" si="108"/>
        <v>0</v>
      </c>
      <c r="BC75" s="4">
        <f t="shared" si="108"/>
        <v>173.20508075688772</v>
      </c>
      <c r="BD75" s="4">
        <f t="shared" si="108"/>
        <v>0</v>
      </c>
      <c r="BE75" s="4">
        <f t="shared" si="108"/>
        <v>13.443760823886336</v>
      </c>
      <c r="BF75" s="4">
        <f t="shared" si="108"/>
        <v>0</v>
      </c>
      <c r="BG75" s="4">
        <f t="shared" si="108"/>
        <v>17.614965726860486</v>
      </c>
      <c r="BH75" s="4">
        <f t="shared" si="108"/>
        <v>0</v>
      </c>
      <c r="BI75" s="4">
        <f t="shared" si="108"/>
        <v>22.611638491964385</v>
      </c>
      <c r="BJ75" s="4">
        <f t="shared" si="108"/>
        <v>0</v>
      </c>
      <c r="BK75" s="4">
        <f t="shared" si="108"/>
        <v>18.93125396003764</v>
      </c>
      <c r="BL75" s="4">
        <f t="shared" si="108"/>
        <v>0</v>
      </c>
      <c r="BM75" s="4" t="e">
        <f t="shared" si="108"/>
        <v>#DIV/0!</v>
      </c>
      <c r="BN75" s="4" t="e">
        <f t="shared" si="108"/>
        <v>#DIV/0!</v>
      </c>
      <c r="BO75" s="4" t="e">
        <f t="shared" si="108"/>
        <v>#DIV/0!</v>
      </c>
      <c r="BP75" s="4">
        <f t="shared" si="108"/>
        <v>0</v>
      </c>
      <c r="BQ75" s="4">
        <f t="shared" si="108"/>
        <v>22.185330318952058</v>
      </c>
      <c r="BR75" s="4">
        <f t="shared" ref="BR75:CC75" si="109">BR65/BR55*100</f>
        <v>0</v>
      </c>
      <c r="BS75" s="4">
        <f t="shared" si="109"/>
        <v>15.569753250045713</v>
      </c>
      <c r="BT75" s="4">
        <f t="shared" si="109"/>
        <v>0</v>
      </c>
      <c r="BU75" s="4">
        <f t="shared" si="109"/>
        <v>17.303602071168054</v>
      </c>
      <c r="BV75" s="4">
        <f t="shared" si="109"/>
        <v>0</v>
      </c>
      <c r="BW75" s="4">
        <f t="shared" si="109"/>
        <v>29.857342320002729</v>
      </c>
      <c r="BX75" s="4">
        <f t="shared" si="109"/>
        <v>0</v>
      </c>
      <c r="BY75" s="4">
        <f t="shared" si="109"/>
        <v>30.114734197253156</v>
      </c>
      <c r="BZ75" s="4">
        <f t="shared" si="109"/>
        <v>0</v>
      </c>
      <c r="CA75" s="4">
        <f t="shared" si="109"/>
        <v>26.027170015425956</v>
      </c>
      <c r="CB75" s="4">
        <f t="shared" si="109"/>
        <v>0</v>
      </c>
      <c r="CC75" s="4">
        <f t="shared" si="109"/>
        <v>11.673068583824548</v>
      </c>
      <c r="CD75" s="4">
        <f t="shared" ref="CD75:CE75" si="110">CD65/CD55*100</f>
        <v>0</v>
      </c>
      <c r="CE75" s="4">
        <f t="shared" si="110"/>
        <v>7.8921597606493794</v>
      </c>
      <c r="CF75" s="4"/>
      <c r="CG75" s="4"/>
      <c r="CH75" s="4"/>
      <c r="CI75" s="4"/>
    </row>
    <row r="76" spans="2:87" x14ac:dyDescent="0.25">
      <c r="B76" s="4"/>
      <c r="C76" s="63">
        <v>57</v>
      </c>
      <c r="D76" s="4" t="e">
        <f t="shared" ref="D76:E76" si="111">D66/D56*100</f>
        <v>#DIV/0!</v>
      </c>
      <c r="E76" s="4">
        <f t="shared" si="111"/>
        <v>44.841242236377504</v>
      </c>
      <c r="F76" s="4" t="e">
        <f t="shared" ref="F76:BQ76" si="112">F66/F56*100</f>
        <v>#DIV/0!</v>
      </c>
      <c r="G76" s="4">
        <f t="shared" si="112"/>
        <v>45.596252401225442</v>
      </c>
      <c r="H76" s="4" t="e">
        <f t="shared" si="112"/>
        <v>#DIV/0!</v>
      </c>
      <c r="I76" s="4" t="e">
        <f t="shared" si="112"/>
        <v>#DIV/0!</v>
      </c>
      <c r="J76" s="4" t="e">
        <f t="shared" si="112"/>
        <v>#DIV/0!</v>
      </c>
      <c r="K76" s="4" t="e">
        <f t="shared" si="112"/>
        <v>#DIV/0!</v>
      </c>
      <c r="L76" s="4" t="e">
        <f t="shared" si="112"/>
        <v>#DIV/0!</v>
      </c>
      <c r="M76" s="4">
        <f t="shared" si="112"/>
        <v>60.631243629139441</v>
      </c>
      <c r="N76" s="4" t="e">
        <f t="shared" si="112"/>
        <v>#DIV/0!</v>
      </c>
      <c r="O76" s="4">
        <f t="shared" si="112"/>
        <v>42.810980010006382</v>
      </c>
      <c r="P76" s="4" t="e">
        <f t="shared" si="112"/>
        <v>#DIV/0!</v>
      </c>
      <c r="Q76" s="4">
        <f t="shared" si="112"/>
        <v>29.61699349627926</v>
      </c>
      <c r="R76" s="4" t="e">
        <f t="shared" si="112"/>
        <v>#DIV/0!</v>
      </c>
      <c r="S76" s="4">
        <f t="shared" si="112"/>
        <v>28.67668109824022</v>
      </c>
      <c r="T76" s="4" t="e">
        <f t="shared" si="112"/>
        <v>#DIV/0!</v>
      </c>
      <c r="U76" s="4">
        <f t="shared" si="112"/>
        <v>25.9759861624844</v>
      </c>
      <c r="V76" s="4" t="e">
        <f t="shared" si="112"/>
        <v>#DIV/0!</v>
      </c>
      <c r="W76" s="4">
        <f t="shared" si="112"/>
        <v>29.564637316486692</v>
      </c>
      <c r="X76" s="4" t="e">
        <f t="shared" si="112"/>
        <v>#DIV/0!</v>
      </c>
      <c r="Y76" s="4">
        <f t="shared" si="112"/>
        <v>61.744708433220374</v>
      </c>
      <c r="Z76" s="4" t="e">
        <f t="shared" si="112"/>
        <v>#DIV/0!</v>
      </c>
      <c r="AA76" s="4" t="e">
        <f t="shared" si="112"/>
        <v>#DIV/0!</v>
      </c>
      <c r="AB76" s="4" t="e">
        <f t="shared" si="112"/>
        <v>#DIV/0!</v>
      </c>
      <c r="AC76" s="4" t="e">
        <f t="shared" si="112"/>
        <v>#DIV/0!</v>
      </c>
      <c r="AD76" s="4" t="e">
        <f t="shared" si="112"/>
        <v>#DIV/0!</v>
      </c>
      <c r="AE76" s="4">
        <f t="shared" si="112"/>
        <v>30.540112295482459</v>
      </c>
      <c r="AF76" s="4" t="e">
        <f t="shared" si="112"/>
        <v>#DIV/0!</v>
      </c>
      <c r="AG76" s="4">
        <f t="shared" si="112"/>
        <v>20.589044469156537</v>
      </c>
      <c r="AH76" s="4" t="e">
        <f t="shared" si="112"/>
        <v>#DIV/0!</v>
      </c>
      <c r="AI76" s="4">
        <f t="shared" si="112"/>
        <v>20.061282916219504</v>
      </c>
      <c r="AJ76" s="4" t="e">
        <f t="shared" si="112"/>
        <v>#DIV/0!</v>
      </c>
      <c r="AK76" s="4">
        <f t="shared" si="112"/>
        <v>22.812781436441007</v>
      </c>
      <c r="AL76" s="4" t="e">
        <f t="shared" si="112"/>
        <v>#DIV/0!</v>
      </c>
      <c r="AM76" s="4">
        <f t="shared" si="112"/>
        <v>22.003339333237886</v>
      </c>
      <c r="AN76" s="4" t="e">
        <f t="shared" si="112"/>
        <v>#DIV/0!</v>
      </c>
      <c r="AO76" s="4">
        <f t="shared" si="112"/>
        <v>41.772167763791295</v>
      </c>
      <c r="AP76" s="4" t="e">
        <f t="shared" si="112"/>
        <v>#DIV/0!</v>
      </c>
      <c r="AQ76" s="4">
        <f t="shared" si="112"/>
        <v>31.134997123981979</v>
      </c>
      <c r="AR76" s="4" t="e">
        <f t="shared" si="112"/>
        <v>#DIV/0!</v>
      </c>
      <c r="AS76" s="4">
        <f t="shared" si="112"/>
        <v>36.100523166631696</v>
      </c>
      <c r="AT76" s="4" t="e">
        <f t="shared" si="112"/>
        <v>#DIV/0!</v>
      </c>
      <c r="AU76" s="4" t="e">
        <f t="shared" si="112"/>
        <v>#DIV/0!</v>
      </c>
      <c r="AV76" s="4" t="e">
        <f t="shared" si="112"/>
        <v>#DIV/0!</v>
      </c>
      <c r="AW76" s="4" t="e">
        <f t="shared" si="112"/>
        <v>#DIV/0!</v>
      </c>
      <c r="AX76" s="4" t="e">
        <f t="shared" si="112"/>
        <v>#DIV/0!</v>
      </c>
      <c r="AY76" s="4">
        <f t="shared" si="112"/>
        <v>138.34145439781653</v>
      </c>
      <c r="AZ76" s="4" t="e">
        <f t="shared" si="112"/>
        <v>#DIV/0!</v>
      </c>
      <c r="BA76" s="4">
        <f t="shared" si="112"/>
        <v>173.20508075688775</v>
      </c>
      <c r="BB76" s="4" t="e">
        <f t="shared" si="112"/>
        <v>#DIV/0!</v>
      </c>
      <c r="BC76" s="4">
        <f t="shared" si="112"/>
        <v>173.20508075688772</v>
      </c>
      <c r="BD76" s="4" t="e">
        <f t="shared" si="112"/>
        <v>#DIV/0!</v>
      </c>
      <c r="BE76" s="4">
        <f t="shared" si="112"/>
        <v>30.156441072529262</v>
      </c>
      <c r="BF76" s="4" t="e">
        <f t="shared" si="112"/>
        <v>#DIV/0!</v>
      </c>
      <c r="BG76" s="4">
        <f t="shared" si="112"/>
        <v>33.755281782816418</v>
      </c>
      <c r="BH76" s="4" t="e">
        <f t="shared" si="112"/>
        <v>#DIV/0!</v>
      </c>
      <c r="BI76" s="4">
        <f t="shared" si="112"/>
        <v>40.304908655802194</v>
      </c>
      <c r="BJ76" s="4" t="e">
        <f t="shared" si="112"/>
        <v>#DIV/0!</v>
      </c>
      <c r="BK76" s="4">
        <f t="shared" si="112"/>
        <v>33.858221579434087</v>
      </c>
      <c r="BL76" s="4" t="e">
        <f t="shared" si="112"/>
        <v>#DIV/0!</v>
      </c>
      <c r="BM76" s="4" t="e">
        <f t="shared" si="112"/>
        <v>#DIV/0!</v>
      </c>
      <c r="BN76" s="4" t="e">
        <f t="shared" si="112"/>
        <v>#DIV/0!</v>
      </c>
      <c r="BO76" s="4" t="e">
        <f t="shared" si="112"/>
        <v>#DIV/0!</v>
      </c>
      <c r="BP76" s="4" t="e">
        <f t="shared" si="112"/>
        <v>#DIV/0!</v>
      </c>
      <c r="BQ76" s="4">
        <f t="shared" si="112"/>
        <v>28.002141836756362</v>
      </c>
      <c r="BR76" s="4" t="e">
        <f t="shared" ref="BR76:CC76" si="113">BR66/BR56*100</f>
        <v>#DIV/0!</v>
      </c>
      <c r="BS76" s="4">
        <f t="shared" si="113"/>
        <v>22.810496171891412</v>
      </c>
      <c r="BT76" s="4" t="e">
        <f t="shared" si="113"/>
        <v>#DIV/0!</v>
      </c>
      <c r="BU76" s="4">
        <f t="shared" si="113"/>
        <v>22.559804389114696</v>
      </c>
      <c r="BV76" s="4" t="e">
        <f t="shared" si="113"/>
        <v>#DIV/0!</v>
      </c>
      <c r="BW76" s="4">
        <f t="shared" si="113"/>
        <v>38.836260343375756</v>
      </c>
      <c r="BX76" s="4" t="e">
        <f t="shared" si="113"/>
        <v>#DIV/0!</v>
      </c>
      <c r="BY76" s="4">
        <f t="shared" si="113"/>
        <v>33.647492475849731</v>
      </c>
      <c r="BZ76" s="4" t="e">
        <f t="shared" si="113"/>
        <v>#DIV/0!</v>
      </c>
      <c r="CA76" s="4">
        <f t="shared" si="113"/>
        <v>34.199141144615389</v>
      </c>
      <c r="CB76" s="4" t="e">
        <f t="shared" si="113"/>
        <v>#DIV/0!</v>
      </c>
      <c r="CC76" s="4">
        <f t="shared" si="113"/>
        <v>28.25352828164041</v>
      </c>
      <c r="CD76" s="4" t="e">
        <f t="shared" ref="CD76:CE76" si="114">CD66/CD56*100</f>
        <v>#DIV/0!</v>
      </c>
      <c r="CE76" s="4">
        <f t="shared" si="114"/>
        <v>21.153866171645884</v>
      </c>
      <c r="CF76" s="4"/>
      <c r="CG76" s="4"/>
      <c r="CH76" s="4"/>
      <c r="CI76" s="4"/>
    </row>
    <row r="77" spans="2:87" x14ac:dyDescent="0.25">
      <c r="B77" s="4"/>
      <c r="C77" s="63">
        <v>61</v>
      </c>
      <c r="D77" s="4" t="e">
        <f t="shared" ref="D77:E77" si="115">D67/D57*100</f>
        <v>#DIV/0!</v>
      </c>
      <c r="E77" s="4">
        <f t="shared" si="115"/>
        <v>58.500820376137476</v>
      </c>
      <c r="F77" s="4" t="e">
        <f t="shared" ref="F77:BQ77" si="116">F67/F57*100</f>
        <v>#DIV/0!</v>
      </c>
      <c r="G77" s="4" t="e">
        <f t="shared" si="116"/>
        <v>#DIV/0!</v>
      </c>
      <c r="H77" s="4" t="e">
        <f t="shared" si="116"/>
        <v>#DIV/0!</v>
      </c>
      <c r="I77" s="4" t="e">
        <f t="shared" si="116"/>
        <v>#DIV/0!</v>
      </c>
      <c r="J77" s="4" t="e">
        <f t="shared" si="116"/>
        <v>#DIV/0!</v>
      </c>
      <c r="K77" s="4" t="e">
        <f t="shared" si="116"/>
        <v>#DIV/0!</v>
      </c>
      <c r="L77" s="4" t="e">
        <f t="shared" si="116"/>
        <v>#DIV/0!</v>
      </c>
      <c r="M77" s="4">
        <f t="shared" si="116"/>
        <v>62.068550364673044</v>
      </c>
      <c r="N77" s="4" t="e">
        <f t="shared" si="116"/>
        <v>#DIV/0!</v>
      </c>
      <c r="O77" s="4">
        <f t="shared" si="116"/>
        <v>67.342952399588057</v>
      </c>
      <c r="P77" s="4" t="e">
        <f t="shared" si="116"/>
        <v>#DIV/0!</v>
      </c>
      <c r="Q77" s="4">
        <f t="shared" si="116"/>
        <v>29.176957747404376</v>
      </c>
      <c r="R77" s="4" t="e">
        <f t="shared" si="116"/>
        <v>#DIV/0!</v>
      </c>
      <c r="S77" s="4">
        <f t="shared" si="116"/>
        <v>29.042373316369446</v>
      </c>
      <c r="T77" s="4" t="e">
        <f t="shared" si="116"/>
        <v>#DIV/0!</v>
      </c>
      <c r="U77" s="4">
        <f t="shared" si="116"/>
        <v>23.026526101019346</v>
      </c>
      <c r="V77" s="4" t="e">
        <f t="shared" si="116"/>
        <v>#DIV/0!</v>
      </c>
      <c r="W77" s="4">
        <f t="shared" si="116"/>
        <v>64.022966718322664</v>
      </c>
      <c r="X77" s="4" t="e">
        <f t="shared" si="116"/>
        <v>#DIV/0!</v>
      </c>
      <c r="Y77" s="4">
        <f t="shared" si="116"/>
        <v>173.20508075688775</v>
      </c>
      <c r="Z77" s="4" t="e">
        <f t="shared" si="116"/>
        <v>#DIV/0!</v>
      </c>
      <c r="AA77" s="4" t="e">
        <f t="shared" si="116"/>
        <v>#DIV/0!</v>
      </c>
      <c r="AB77" s="4" t="e">
        <f t="shared" si="116"/>
        <v>#DIV/0!</v>
      </c>
      <c r="AC77" s="4" t="e">
        <f t="shared" si="116"/>
        <v>#DIV/0!</v>
      </c>
      <c r="AD77" s="4" t="e">
        <f t="shared" si="116"/>
        <v>#DIV/0!</v>
      </c>
      <c r="AE77" s="4">
        <f t="shared" si="116"/>
        <v>42.620024393511301</v>
      </c>
      <c r="AF77" s="4" t="e">
        <f t="shared" si="116"/>
        <v>#DIV/0!</v>
      </c>
      <c r="AG77" s="4">
        <f t="shared" si="116"/>
        <v>22.558647695721575</v>
      </c>
      <c r="AH77" s="4" t="e">
        <f t="shared" si="116"/>
        <v>#DIV/0!</v>
      </c>
      <c r="AI77" s="4">
        <f t="shared" si="116"/>
        <v>25.600995087046336</v>
      </c>
      <c r="AJ77" s="4" t="e">
        <f t="shared" si="116"/>
        <v>#DIV/0!</v>
      </c>
      <c r="AK77" s="4">
        <f t="shared" si="116"/>
        <v>33.913171350682468</v>
      </c>
      <c r="AL77" s="4" t="e">
        <f t="shared" si="116"/>
        <v>#DIV/0!</v>
      </c>
      <c r="AM77" s="4">
        <f t="shared" si="116"/>
        <v>30.711565825211924</v>
      </c>
      <c r="AN77" s="4" t="e">
        <f t="shared" si="116"/>
        <v>#DIV/0!</v>
      </c>
      <c r="AO77" s="4">
        <f t="shared" si="116"/>
        <v>36.981442802982968</v>
      </c>
      <c r="AP77" s="4" t="e">
        <f t="shared" si="116"/>
        <v>#DIV/0!</v>
      </c>
      <c r="AQ77" s="4">
        <f t="shared" si="116"/>
        <v>42.90840794096831</v>
      </c>
      <c r="AR77" s="4" t="e">
        <f t="shared" si="116"/>
        <v>#DIV/0!</v>
      </c>
      <c r="AS77" s="4">
        <f t="shared" si="116"/>
        <v>32.853250759703322</v>
      </c>
      <c r="AT77" s="4" t="e">
        <f t="shared" si="116"/>
        <v>#DIV/0!</v>
      </c>
      <c r="AU77" s="4" t="e">
        <f t="shared" si="116"/>
        <v>#DIV/0!</v>
      </c>
      <c r="AV77" s="4" t="e">
        <f t="shared" si="116"/>
        <v>#DIV/0!</v>
      </c>
      <c r="AW77" s="4" t="e">
        <f t="shared" si="116"/>
        <v>#DIV/0!</v>
      </c>
      <c r="AX77" s="4" t="e">
        <f t="shared" si="116"/>
        <v>#DIV/0!</v>
      </c>
      <c r="AY77" s="4">
        <f t="shared" si="116"/>
        <v>173.20508075688775</v>
      </c>
      <c r="AZ77" s="4" t="e">
        <f t="shared" si="116"/>
        <v>#DIV/0!</v>
      </c>
      <c r="BA77" s="4" t="e">
        <f t="shared" si="116"/>
        <v>#DIV/0!</v>
      </c>
      <c r="BB77" s="4" t="e">
        <f t="shared" si="116"/>
        <v>#DIV/0!</v>
      </c>
      <c r="BC77" s="4">
        <f t="shared" si="116"/>
        <v>173.20508075688775</v>
      </c>
      <c r="BD77" s="4" t="e">
        <f t="shared" si="116"/>
        <v>#DIV/0!</v>
      </c>
      <c r="BE77" s="4">
        <f t="shared" si="116"/>
        <v>28.222683352106099</v>
      </c>
      <c r="BF77" s="4" t="e">
        <f t="shared" si="116"/>
        <v>#DIV/0!</v>
      </c>
      <c r="BG77" s="4">
        <f t="shared" si="116"/>
        <v>23.632076410558629</v>
      </c>
      <c r="BH77" s="4" t="e">
        <f t="shared" si="116"/>
        <v>#DIV/0!</v>
      </c>
      <c r="BI77" s="4">
        <f t="shared" si="116"/>
        <v>41.876289622796882</v>
      </c>
      <c r="BJ77" s="4" t="e">
        <f t="shared" si="116"/>
        <v>#DIV/0!</v>
      </c>
      <c r="BK77" s="4">
        <f t="shared" si="116"/>
        <v>173.20508075688775</v>
      </c>
      <c r="BL77" s="4" t="e">
        <f t="shared" si="116"/>
        <v>#DIV/0!</v>
      </c>
      <c r="BM77" s="4" t="e">
        <f t="shared" si="116"/>
        <v>#DIV/0!</v>
      </c>
      <c r="BN77" s="4" t="e">
        <f t="shared" si="116"/>
        <v>#DIV/0!</v>
      </c>
      <c r="BO77" s="4" t="e">
        <f t="shared" si="116"/>
        <v>#DIV/0!</v>
      </c>
      <c r="BP77" s="4" t="e">
        <f t="shared" si="116"/>
        <v>#DIV/0!</v>
      </c>
      <c r="BQ77" s="4">
        <f t="shared" si="116"/>
        <v>35.56023723544682</v>
      </c>
      <c r="BR77" s="4" t="e">
        <f t="shared" ref="BR77:CC77" si="117">BR67/BR57*100</f>
        <v>#DIV/0!</v>
      </c>
      <c r="BS77" s="4">
        <f t="shared" si="117"/>
        <v>33.401328728580673</v>
      </c>
      <c r="BT77" s="4" t="e">
        <f t="shared" si="117"/>
        <v>#DIV/0!</v>
      </c>
      <c r="BU77" s="4">
        <f t="shared" si="117"/>
        <v>22.627256427080113</v>
      </c>
      <c r="BV77" s="4" t="e">
        <f t="shared" si="117"/>
        <v>#DIV/0!</v>
      </c>
      <c r="BW77" s="4">
        <f t="shared" si="117"/>
        <v>34.218952218684393</v>
      </c>
      <c r="BX77" s="4" t="e">
        <f t="shared" si="117"/>
        <v>#DIV/0!</v>
      </c>
      <c r="BY77" s="4">
        <f t="shared" si="117"/>
        <v>39.629302651182499</v>
      </c>
      <c r="BZ77" s="4" t="e">
        <f t="shared" si="117"/>
        <v>#DIV/0!</v>
      </c>
      <c r="CA77" s="4">
        <f t="shared" si="117"/>
        <v>106.37776736574305</v>
      </c>
      <c r="CB77" s="4" t="e">
        <f t="shared" si="117"/>
        <v>#DIV/0!</v>
      </c>
      <c r="CC77" s="4">
        <f t="shared" si="117"/>
        <v>25.888032882378383</v>
      </c>
      <c r="CD77" s="4" t="e">
        <f t="shared" ref="CD77:CE77" si="118">CD67/CD57*100</f>
        <v>#DIV/0!</v>
      </c>
      <c r="CE77" s="4">
        <f t="shared" si="118"/>
        <v>29.16276557446529</v>
      </c>
      <c r="CF77" s="4"/>
      <c r="CG77" s="4"/>
      <c r="CH77" s="4"/>
      <c r="CI77" s="4"/>
    </row>
    <row r="78" spans="2:87" x14ac:dyDescent="0.25">
      <c r="B78" s="4"/>
      <c r="C78" s="63">
        <v>73</v>
      </c>
      <c r="D78" s="4" t="e">
        <f t="shared" ref="D78:E78" si="119">D68/D58*100</f>
        <v>#DIV/0!</v>
      </c>
      <c r="E78" s="4">
        <f t="shared" si="119"/>
        <v>57.963043136618531</v>
      </c>
      <c r="F78" s="4" t="e">
        <f t="shared" ref="F78:BQ78" si="120">F68/F58*100</f>
        <v>#DIV/0!</v>
      </c>
      <c r="G78" s="4" t="e">
        <f t="shared" si="120"/>
        <v>#DIV/0!</v>
      </c>
      <c r="H78" s="4" t="e">
        <f t="shared" si="120"/>
        <v>#DIV/0!</v>
      </c>
      <c r="I78" s="4" t="e">
        <f t="shared" si="120"/>
        <v>#DIV/0!</v>
      </c>
      <c r="J78" s="4" t="e">
        <f t="shared" si="120"/>
        <v>#DIV/0!</v>
      </c>
      <c r="K78" s="4" t="e">
        <f t="shared" si="120"/>
        <v>#DIV/0!</v>
      </c>
      <c r="L78" s="4" t="e">
        <f t="shared" si="120"/>
        <v>#DIV/0!</v>
      </c>
      <c r="M78" s="4">
        <f t="shared" si="120"/>
        <v>64.775082132001927</v>
      </c>
      <c r="N78" s="4" t="e">
        <f t="shared" si="120"/>
        <v>#DIV/0!</v>
      </c>
      <c r="O78" s="4">
        <f t="shared" si="120"/>
        <v>65.016487480139901</v>
      </c>
      <c r="P78" s="4" t="e">
        <f t="shared" si="120"/>
        <v>#DIV/0!</v>
      </c>
      <c r="Q78" s="4">
        <f t="shared" si="120"/>
        <v>26.182474645858122</v>
      </c>
      <c r="R78" s="4" t="e">
        <f t="shared" si="120"/>
        <v>#DIV/0!</v>
      </c>
      <c r="S78" s="4">
        <f t="shared" si="120"/>
        <v>22.202361411579453</v>
      </c>
      <c r="T78" s="4" t="e">
        <f t="shared" si="120"/>
        <v>#DIV/0!</v>
      </c>
      <c r="U78" s="4">
        <f t="shared" si="120"/>
        <v>20.934365011317695</v>
      </c>
      <c r="V78" s="4" t="e">
        <f t="shared" si="120"/>
        <v>#DIV/0!</v>
      </c>
      <c r="W78" s="4">
        <f t="shared" si="120"/>
        <v>22.000277668961473</v>
      </c>
      <c r="X78" s="4" t="e">
        <f t="shared" si="120"/>
        <v>#DIV/0!</v>
      </c>
      <c r="Y78" s="4" t="e">
        <f t="shared" si="120"/>
        <v>#DIV/0!</v>
      </c>
      <c r="Z78" s="4" t="e">
        <f t="shared" si="120"/>
        <v>#DIV/0!</v>
      </c>
      <c r="AA78" s="4" t="e">
        <f t="shared" si="120"/>
        <v>#DIV/0!</v>
      </c>
      <c r="AB78" s="4" t="e">
        <f t="shared" si="120"/>
        <v>#DIV/0!</v>
      </c>
      <c r="AC78" s="4" t="e">
        <f t="shared" si="120"/>
        <v>#DIV/0!</v>
      </c>
      <c r="AD78" s="4" t="e">
        <f t="shared" si="120"/>
        <v>#DIV/0!</v>
      </c>
      <c r="AE78" s="4" t="e">
        <f t="shared" si="120"/>
        <v>#DIV/0!</v>
      </c>
      <c r="AF78" s="4" t="e">
        <f t="shared" si="120"/>
        <v>#DIV/0!</v>
      </c>
      <c r="AG78" s="4">
        <f t="shared" si="120"/>
        <v>27.210603876018912</v>
      </c>
      <c r="AH78" s="4" t="e">
        <f t="shared" si="120"/>
        <v>#DIV/0!</v>
      </c>
      <c r="AI78" s="4">
        <f t="shared" si="120"/>
        <v>17.003364748616981</v>
      </c>
      <c r="AJ78" s="4" t="e">
        <f t="shared" si="120"/>
        <v>#DIV/0!</v>
      </c>
      <c r="AK78" s="4">
        <f t="shared" si="120"/>
        <v>19.071644613268589</v>
      </c>
      <c r="AL78" s="4" t="e">
        <f t="shared" si="120"/>
        <v>#DIV/0!</v>
      </c>
      <c r="AM78" s="4">
        <f t="shared" si="120"/>
        <v>24.750879300149762</v>
      </c>
      <c r="AN78" s="4" t="e">
        <f t="shared" si="120"/>
        <v>#DIV/0!</v>
      </c>
      <c r="AO78" s="4">
        <f t="shared" si="120"/>
        <v>45.828397417104874</v>
      </c>
      <c r="AP78" s="4" t="e">
        <f t="shared" si="120"/>
        <v>#DIV/0!</v>
      </c>
      <c r="AQ78" s="4">
        <f t="shared" si="120"/>
        <v>26.913651171128976</v>
      </c>
      <c r="AR78" s="4" t="e">
        <f t="shared" si="120"/>
        <v>#DIV/0!</v>
      </c>
      <c r="AS78" s="4">
        <f t="shared" si="120"/>
        <v>18.760451027175847</v>
      </c>
      <c r="AT78" s="4" t="e">
        <f t="shared" si="120"/>
        <v>#DIV/0!</v>
      </c>
      <c r="AU78" s="4" t="e">
        <f t="shared" si="120"/>
        <v>#DIV/0!</v>
      </c>
      <c r="AV78" s="4" t="e">
        <f t="shared" si="120"/>
        <v>#DIV/0!</v>
      </c>
      <c r="AW78" s="4" t="e">
        <f t="shared" si="120"/>
        <v>#DIV/0!</v>
      </c>
      <c r="AX78" s="4" t="e">
        <f t="shared" si="120"/>
        <v>#DIV/0!</v>
      </c>
      <c r="AY78" s="4">
        <f t="shared" si="120"/>
        <v>173.20508075688772</v>
      </c>
      <c r="AZ78" s="4" t="e">
        <f t="shared" si="120"/>
        <v>#DIV/0!</v>
      </c>
      <c r="BA78" s="4" t="e">
        <f t="shared" si="120"/>
        <v>#DIV/0!</v>
      </c>
      <c r="BB78" s="4" t="e">
        <f t="shared" si="120"/>
        <v>#DIV/0!</v>
      </c>
      <c r="BC78" s="4">
        <f>BC68/BC58*100</f>
        <v>173.20508075688772</v>
      </c>
      <c r="BD78" s="4" t="e">
        <f t="shared" si="120"/>
        <v>#DIV/0!</v>
      </c>
      <c r="BE78" s="4">
        <f t="shared" si="120"/>
        <v>25.312440548368642</v>
      </c>
      <c r="BF78" s="4" t="e">
        <f t="shared" si="120"/>
        <v>#DIV/0!</v>
      </c>
      <c r="BG78" s="4">
        <f t="shared" si="120"/>
        <v>20.25830553161833</v>
      </c>
      <c r="BH78" s="4" t="e">
        <f t="shared" si="120"/>
        <v>#DIV/0!</v>
      </c>
      <c r="BI78" s="4">
        <f t="shared" si="120"/>
        <v>74.281674462521451</v>
      </c>
      <c r="BJ78" s="4" t="e">
        <f t="shared" si="120"/>
        <v>#DIV/0!</v>
      </c>
      <c r="BK78" s="4">
        <f t="shared" si="120"/>
        <v>173.20508075688772</v>
      </c>
      <c r="BL78" s="4" t="e">
        <f t="shared" si="120"/>
        <v>#DIV/0!</v>
      </c>
      <c r="BM78" s="4" t="e">
        <f t="shared" si="120"/>
        <v>#DIV/0!</v>
      </c>
      <c r="BN78" s="4" t="e">
        <f t="shared" si="120"/>
        <v>#DIV/0!</v>
      </c>
      <c r="BO78" s="4" t="e">
        <f t="shared" si="120"/>
        <v>#DIV/0!</v>
      </c>
      <c r="BP78" s="4" t="e">
        <f t="shared" si="120"/>
        <v>#DIV/0!</v>
      </c>
      <c r="BQ78" s="4">
        <f t="shared" si="120"/>
        <v>27.965738013440976</v>
      </c>
      <c r="BR78" s="4" t="e">
        <f t="shared" ref="BR78:CC78" si="121">BR68/BR58*100</f>
        <v>#DIV/0!</v>
      </c>
      <c r="BS78" s="4">
        <f t="shared" si="121"/>
        <v>21.9282621456199</v>
      </c>
      <c r="BT78" s="4" t="e">
        <f t="shared" si="121"/>
        <v>#DIV/0!</v>
      </c>
      <c r="BU78" s="4">
        <f t="shared" si="121"/>
        <v>24.552860576318583</v>
      </c>
      <c r="BV78" s="4" t="e">
        <f t="shared" si="121"/>
        <v>#DIV/0!</v>
      </c>
      <c r="BW78" s="4">
        <f t="shared" si="121"/>
        <v>73.341249501039357</v>
      </c>
      <c r="BX78" s="4" t="e">
        <f t="shared" si="121"/>
        <v>#DIV/0!</v>
      </c>
      <c r="BY78" s="4">
        <f t="shared" si="121"/>
        <v>173.20508075688772</v>
      </c>
      <c r="BZ78" s="4" t="e">
        <f t="shared" si="121"/>
        <v>#DIV/0!</v>
      </c>
      <c r="CA78" s="4">
        <f t="shared" si="121"/>
        <v>173.20508075688775</v>
      </c>
      <c r="CB78" s="4" t="e">
        <f t="shared" si="121"/>
        <v>#DIV/0!</v>
      </c>
      <c r="CC78" s="4">
        <f t="shared" si="121"/>
        <v>21.285876642313891</v>
      </c>
      <c r="CD78" s="4" t="e">
        <f t="shared" ref="CD78:CE78" si="122">CD68/CD58*100</f>
        <v>#DIV/0!</v>
      </c>
      <c r="CE78" s="4">
        <f t="shared" si="122"/>
        <v>19.458006251316622</v>
      </c>
      <c r="CF78" s="4"/>
      <c r="CG78" s="4"/>
      <c r="CH78" s="4"/>
      <c r="CI78" s="4"/>
    </row>
    <row r="79" spans="2:87" x14ac:dyDescent="0.25">
      <c r="B79" s="4"/>
      <c r="C79" s="63">
        <v>101</v>
      </c>
      <c r="D79" s="4" t="e">
        <f t="shared" ref="D79:E79" si="123">D69/D59*100</f>
        <v>#DIV/0!</v>
      </c>
      <c r="E79" s="4">
        <f t="shared" si="123"/>
        <v>61.772596569264508</v>
      </c>
      <c r="F79" s="4" t="e">
        <f t="shared" ref="F79:BQ79" si="124">F69/F59*100</f>
        <v>#DIV/0!</v>
      </c>
      <c r="G79" s="4" t="e">
        <f t="shared" si="124"/>
        <v>#DIV/0!</v>
      </c>
      <c r="H79" s="4" t="e">
        <f t="shared" si="124"/>
        <v>#DIV/0!</v>
      </c>
      <c r="I79" s="4" t="e">
        <f t="shared" si="124"/>
        <v>#DIV/0!</v>
      </c>
      <c r="J79" s="4" t="e">
        <f t="shared" si="124"/>
        <v>#DIV/0!</v>
      </c>
      <c r="K79" s="4" t="e">
        <f t="shared" si="124"/>
        <v>#DIV/0!</v>
      </c>
      <c r="L79" s="4" t="e">
        <f t="shared" si="124"/>
        <v>#DIV/0!</v>
      </c>
      <c r="M79" s="4">
        <f t="shared" si="124"/>
        <v>173.20508075688775</v>
      </c>
      <c r="N79" s="4" t="e">
        <f t="shared" si="124"/>
        <v>#DIV/0!</v>
      </c>
      <c r="O79" s="4">
        <f t="shared" si="124"/>
        <v>173.20508075688772</v>
      </c>
      <c r="P79" s="4" t="e">
        <f t="shared" si="124"/>
        <v>#DIV/0!</v>
      </c>
      <c r="Q79" s="4">
        <f t="shared" si="124"/>
        <v>25.450807078249717</v>
      </c>
      <c r="R79" s="4" t="e">
        <f t="shared" si="124"/>
        <v>#DIV/0!</v>
      </c>
      <c r="S79" s="4">
        <f t="shared" si="124"/>
        <v>31.59172215619445</v>
      </c>
      <c r="T79" s="4" t="e">
        <f t="shared" si="124"/>
        <v>#DIV/0!</v>
      </c>
      <c r="U79" s="4">
        <f t="shared" si="124"/>
        <v>69.437386178871805</v>
      </c>
      <c r="V79" s="4" t="e">
        <f t="shared" si="124"/>
        <v>#DIV/0!</v>
      </c>
      <c r="W79" s="4" t="e">
        <f t="shared" si="124"/>
        <v>#DIV/0!</v>
      </c>
      <c r="X79" s="4" t="e">
        <f t="shared" si="124"/>
        <v>#DIV/0!</v>
      </c>
      <c r="Y79" s="4" t="e">
        <f t="shared" si="124"/>
        <v>#DIV/0!</v>
      </c>
      <c r="Z79" s="4" t="e">
        <f t="shared" si="124"/>
        <v>#DIV/0!</v>
      </c>
      <c r="AA79" s="4" t="e">
        <f t="shared" si="124"/>
        <v>#DIV/0!</v>
      </c>
      <c r="AB79" s="4" t="e">
        <f t="shared" si="124"/>
        <v>#DIV/0!</v>
      </c>
      <c r="AC79" s="4" t="e">
        <f t="shared" si="124"/>
        <v>#DIV/0!</v>
      </c>
      <c r="AD79" s="4" t="e">
        <f t="shared" si="124"/>
        <v>#DIV/0!</v>
      </c>
      <c r="AE79" s="4" t="e">
        <f t="shared" si="124"/>
        <v>#DIV/0!</v>
      </c>
      <c r="AF79" s="4" t="e">
        <f t="shared" si="124"/>
        <v>#DIV/0!</v>
      </c>
      <c r="AG79" s="4">
        <f t="shared" si="124"/>
        <v>77.749383029580599</v>
      </c>
      <c r="AH79" s="4" t="e">
        <f t="shared" si="124"/>
        <v>#DIV/0!</v>
      </c>
      <c r="AI79" s="4">
        <f t="shared" si="124"/>
        <v>18.313676777009004</v>
      </c>
      <c r="AJ79" s="4" t="e">
        <f t="shared" si="124"/>
        <v>#DIV/0!</v>
      </c>
      <c r="AK79" s="4">
        <f t="shared" si="124"/>
        <v>27.93988604333315</v>
      </c>
      <c r="AL79" s="4" t="e">
        <f t="shared" si="124"/>
        <v>#DIV/0!</v>
      </c>
      <c r="AM79" s="4">
        <f t="shared" si="124"/>
        <v>40.013305885264487</v>
      </c>
      <c r="AN79" s="4" t="e">
        <f t="shared" si="124"/>
        <v>#DIV/0!</v>
      </c>
      <c r="AO79" s="4">
        <f t="shared" si="124"/>
        <v>70.169303791237667</v>
      </c>
      <c r="AP79" s="4" t="e">
        <f t="shared" si="124"/>
        <v>#DIV/0!</v>
      </c>
      <c r="AQ79" s="4">
        <f t="shared" si="124"/>
        <v>20.841974312522552</v>
      </c>
      <c r="AR79" s="4" t="e">
        <f t="shared" si="124"/>
        <v>#DIV/0!</v>
      </c>
      <c r="AS79" s="4">
        <f t="shared" si="124"/>
        <v>173.20508075688772</v>
      </c>
      <c r="AT79" s="4" t="e">
        <f t="shared" si="124"/>
        <v>#DIV/0!</v>
      </c>
      <c r="AU79" s="4" t="e">
        <f t="shared" si="124"/>
        <v>#DIV/0!</v>
      </c>
      <c r="AV79" s="4" t="e">
        <f t="shared" si="124"/>
        <v>#DIV/0!</v>
      </c>
      <c r="AW79" s="4" t="e">
        <f t="shared" si="124"/>
        <v>#DIV/0!</v>
      </c>
      <c r="AX79" s="4" t="e">
        <f t="shared" si="124"/>
        <v>#DIV/0!</v>
      </c>
      <c r="AY79" s="4">
        <f t="shared" si="124"/>
        <v>173.20508075688772</v>
      </c>
      <c r="AZ79" s="4" t="e">
        <f t="shared" si="124"/>
        <v>#DIV/0!</v>
      </c>
      <c r="BA79" s="4" t="e">
        <f t="shared" si="124"/>
        <v>#DIV/0!</v>
      </c>
      <c r="BB79" s="4" t="e">
        <f t="shared" si="124"/>
        <v>#DIV/0!</v>
      </c>
      <c r="BC79" s="4">
        <f t="shared" si="124"/>
        <v>173.20508075688772</v>
      </c>
      <c r="BD79" s="4" t="e">
        <f t="shared" si="124"/>
        <v>#DIV/0!</v>
      </c>
      <c r="BE79" s="4">
        <f t="shared" si="124"/>
        <v>20.012559481069125</v>
      </c>
      <c r="BF79" s="4" t="e">
        <f t="shared" si="124"/>
        <v>#DIV/0!</v>
      </c>
      <c r="BG79" s="4">
        <f t="shared" si="124"/>
        <v>27.250645729755934</v>
      </c>
      <c r="BH79" s="4" t="e">
        <f t="shared" si="124"/>
        <v>#DIV/0!</v>
      </c>
      <c r="BI79" s="4">
        <f t="shared" si="124"/>
        <v>173.20508075688775</v>
      </c>
      <c r="BJ79" s="4" t="e">
        <f t="shared" si="124"/>
        <v>#DIV/0!</v>
      </c>
      <c r="BK79" s="4" t="e">
        <f t="shared" si="124"/>
        <v>#DIV/0!</v>
      </c>
      <c r="BL79" s="4" t="e">
        <f t="shared" si="124"/>
        <v>#DIV/0!</v>
      </c>
      <c r="BM79" s="4" t="e">
        <f t="shared" si="124"/>
        <v>#DIV/0!</v>
      </c>
      <c r="BN79" s="4" t="e">
        <f t="shared" si="124"/>
        <v>#DIV/0!</v>
      </c>
      <c r="BO79" s="4" t="e">
        <f t="shared" si="124"/>
        <v>#DIV/0!</v>
      </c>
      <c r="BP79" s="4" t="e">
        <f t="shared" si="124"/>
        <v>#DIV/0!</v>
      </c>
      <c r="BQ79" s="4">
        <f t="shared" si="124"/>
        <v>25.262091699210643</v>
      </c>
      <c r="BR79" s="4" t="e">
        <f t="shared" ref="BR79:CC79" si="125">BR69/BR59*100</f>
        <v>#DIV/0!</v>
      </c>
      <c r="BS79" s="4">
        <f t="shared" si="125"/>
        <v>21.53554769804207</v>
      </c>
      <c r="BT79" s="4" t="e">
        <f t="shared" si="125"/>
        <v>#DIV/0!</v>
      </c>
      <c r="BU79" s="4">
        <f t="shared" si="125"/>
        <v>23.815742283660622</v>
      </c>
      <c r="BV79" s="4" t="e">
        <f t="shared" si="125"/>
        <v>#DIV/0!</v>
      </c>
      <c r="BW79" s="4">
        <f t="shared" si="125"/>
        <v>173.20508075688775</v>
      </c>
      <c r="BX79" s="4" t="e">
        <f t="shared" si="125"/>
        <v>#DIV/0!</v>
      </c>
      <c r="BY79" s="4" t="e">
        <f t="shared" si="125"/>
        <v>#DIV/0!</v>
      </c>
      <c r="BZ79" s="4" t="e">
        <f t="shared" si="125"/>
        <v>#DIV/0!</v>
      </c>
      <c r="CA79" s="4" t="e">
        <f t="shared" si="125"/>
        <v>#DIV/0!</v>
      </c>
      <c r="CB79" s="4" t="e">
        <f t="shared" si="125"/>
        <v>#DIV/0!</v>
      </c>
      <c r="CC79" s="4">
        <f t="shared" si="125"/>
        <v>28.988459766893946</v>
      </c>
      <c r="CD79" s="4" t="e">
        <f t="shared" ref="CD79:CE79" si="126">CD69/CD59*100</f>
        <v>#DIV/0!</v>
      </c>
      <c r="CE79" s="4">
        <f t="shared" si="126"/>
        <v>21.737638851979604</v>
      </c>
      <c r="CF79" s="4"/>
      <c r="CG79" s="4"/>
      <c r="CH79" s="4"/>
      <c r="CI79" s="4"/>
    </row>
    <row r="80" spans="2:87" x14ac:dyDescent="0.25">
      <c r="B80" s="4"/>
      <c r="C80" s="63">
        <v>136</v>
      </c>
      <c r="D80" s="4" t="e">
        <f t="shared" ref="D80:E80" si="127">D70/D60*100</f>
        <v>#DIV/0!</v>
      </c>
      <c r="E80" s="4">
        <f t="shared" si="127"/>
        <v>69.728450865928068</v>
      </c>
      <c r="F80" s="4" t="e">
        <f t="shared" ref="F80:BQ80" si="128">F70/F60*100</f>
        <v>#DIV/0!</v>
      </c>
      <c r="G80" s="4" t="e">
        <f t="shared" si="128"/>
        <v>#DIV/0!</v>
      </c>
      <c r="H80" s="4" t="e">
        <f t="shared" si="128"/>
        <v>#DIV/0!</v>
      </c>
      <c r="I80" s="4" t="e">
        <f t="shared" si="128"/>
        <v>#DIV/0!</v>
      </c>
      <c r="J80" s="4" t="e">
        <f t="shared" si="128"/>
        <v>#DIV/0!</v>
      </c>
      <c r="K80" s="4" t="e">
        <f t="shared" si="128"/>
        <v>#DIV/0!</v>
      </c>
      <c r="L80" s="4" t="e">
        <f t="shared" si="128"/>
        <v>#DIV/0!</v>
      </c>
      <c r="M80" s="4" t="e">
        <f t="shared" si="128"/>
        <v>#DIV/0!</v>
      </c>
      <c r="N80" s="4" t="e">
        <f t="shared" si="128"/>
        <v>#DIV/0!</v>
      </c>
      <c r="O80" s="4" t="e">
        <f t="shared" si="128"/>
        <v>#DIV/0!</v>
      </c>
      <c r="P80" s="4" t="e">
        <f t="shared" si="128"/>
        <v>#DIV/0!</v>
      </c>
      <c r="Q80" s="4">
        <f t="shared" si="128"/>
        <v>58.157934244724842</v>
      </c>
      <c r="R80" s="4" t="e">
        <f t="shared" si="128"/>
        <v>#DIV/0!</v>
      </c>
      <c r="S80" s="4">
        <f t="shared" si="128"/>
        <v>101.53267730181814</v>
      </c>
      <c r="T80" s="4" t="e">
        <f t="shared" si="128"/>
        <v>#DIV/0!</v>
      </c>
      <c r="U80" s="4" t="e">
        <f t="shared" si="128"/>
        <v>#DIV/0!</v>
      </c>
      <c r="V80" s="4" t="e">
        <f t="shared" si="128"/>
        <v>#DIV/0!</v>
      </c>
      <c r="W80" s="4" t="e">
        <f t="shared" si="128"/>
        <v>#DIV/0!</v>
      </c>
      <c r="X80" s="4" t="e">
        <f t="shared" si="128"/>
        <v>#DIV/0!</v>
      </c>
      <c r="Y80" s="4" t="e">
        <f t="shared" si="128"/>
        <v>#DIV/0!</v>
      </c>
      <c r="Z80" s="4" t="e">
        <f t="shared" si="128"/>
        <v>#DIV/0!</v>
      </c>
      <c r="AA80" s="4" t="e">
        <f t="shared" si="128"/>
        <v>#DIV/0!</v>
      </c>
      <c r="AB80" s="4" t="e">
        <f t="shared" si="128"/>
        <v>#DIV/0!</v>
      </c>
      <c r="AC80" s="4" t="e">
        <f t="shared" si="128"/>
        <v>#DIV/0!</v>
      </c>
      <c r="AD80" s="4" t="e">
        <f t="shared" si="128"/>
        <v>#DIV/0!</v>
      </c>
      <c r="AE80" s="4" t="e">
        <f t="shared" si="128"/>
        <v>#DIV/0!</v>
      </c>
      <c r="AF80" s="4" t="e">
        <f t="shared" si="128"/>
        <v>#DIV/0!</v>
      </c>
      <c r="AG80" s="4" t="e">
        <f t="shared" si="128"/>
        <v>#DIV/0!</v>
      </c>
      <c r="AH80" s="4" t="e">
        <f t="shared" si="128"/>
        <v>#DIV/0!</v>
      </c>
      <c r="AI80" s="4">
        <f t="shared" si="128"/>
        <v>21.323163203590678</v>
      </c>
      <c r="AJ80" s="4" t="e">
        <f t="shared" si="128"/>
        <v>#DIV/0!</v>
      </c>
      <c r="AK80" s="4">
        <f t="shared" si="128"/>
        <v>38.704434920744987</v>
      </c>
      <c r="AL80" s="4" t="e">
        <f t="shared" si="128"/>
        <v>#DIV/0!</v>
      </c>
      <c r="AM80" s="4">
        <f t="shared" si="128"/>
        <v>58.032162912554256</v>
      </c>
      <c r="AN80" s="4" t="e">
        <f t="shared" si="128"/>
        <v>#DIV/0!</v>
      </c>
      <c r="AO80" s="4" t="e">
        <f t="shared" si="128"/>
        <v>#DIV/0!</v>
      </c>
      <c r="AP80" s="4" t="e">
        <f t="shared" si="128"/>
        <v>#DIV/0!</v>
      </c>
      <c r="AQ80" s="4" t="e">
        <f t="shared" si="128"/>
        <v>#DIV/0!</v>
      </c>
      <c r="AR80" s="4" t="e">
        <f t="shared" si="128"/>
        <v>#DIV/0!</v>
      </c>
      <c r="AS80" s="4" t="e">
        <f t="shared" si="128"/>
        <v>#DIV/0!</v>
      </c>
      <c r="AT80" s="4" t="e">
        <f t="shared" si="128"/>
        <v>#DIV/0!</v>
      </c>
      <c r="AU80" s="4" t="e">
        <f t="shared" si="128"/>
        <v>#DIV/0!</v>
      </c>
      <c r="AV80" s="4" t="e">
        <f t="shared" si="128"/>
        <v>#DIV/0!</v>
      </c>
      <c r="AW80" s="4" t="e">
        <f t="shared" si="128"/>
        <v>#DIV/0!</v>
      </c>
      <c r="AX80" s="4" t="e">
        <f t="shared" si="128"/>
        <v>#DIV/0!</v>
      </c>
      <c r="AY80" s="4">
        <f t="shared" si="128"/>
        <v>173.20508075688775</v>
      </c>
      <c r="AZ80" s="4" t="e">
        <f t="shared" si="128"/>
        <v>#DIV/0!</v>
      </c>
      <c r="BA80" s="4" t="e">
        <f t="shared" si="128"/>
        <v>#DIV/0!</v>
      </c>
      <c r="BB80" s="4" t="e">
        <f t="shared" si="128"/>
        <v>#DIV/0!</v>
      </c>
      <c r="BC80" s="4">
        <f t="shared" si="128"/>
        <v>173.20508075688775</v>
      </c>
      <c r="BD80" s="4" t="e">
        <f t="shared" si="128"/>
        <v>#DIV/0!</v>
      </c>
      <c r="BE80" s="4">
        <f t="shared" si="128"/>
        <v>173.20508075688775</v>
      </c>
      <c r="BF80" s="4" t="e">
        <f t="shared" si="128"/>
        <v>#DIV/0!</v>
      </c>
      <c r="BG80" s="4">
        <f t="shared" si="128"/>
        <v>173.20508075688772</v>
      </c>
      <c r="BH80" s="4" t="e">
        <f t="shared" si="128"/>
        <v>#DIV/0!</v>
      </c>
      <c r="BI80" s="4" t="e">
        <f t="shared" si="128"/>
        <v>#DIV/0!</v>
      </c>
      <c r="BJ80" s="4" t="e">
        <f t="shared" si="128"/>
        <v>#DIV/0!</v>
      </c>
      <c r="BK80" s="4" t="e">
        <f t="shared" si="128"/>
        <v>#DIV/0!</v>
      </c>
      <c r="BL80" s="4" t="e">
        <f t="shared" si="128"/>
        <v>#DIV/0!</v>
      </c>
      <c r="BM80" s="4" t="e">
        <f t="shared" si="128"/>
        <v>#DIV/0!</v>
      </c>
      <c r="BN80" s="4" t="e">
        <f t="shared" si="128"/>
        <v>#DIV/0!</v>
      </c>
      <c r="BO80" s="4" t="e">
        <f t="shared" si="128"/>
        <v>#DIV/0!</v>
      </c>
      <c r="BP80" s="4" t="e">
        <f t="shared" si="128"/>
        <v>#DIV/0!</v>
      </c>
      <c r="BQ80" s="4">
        <f t="shared" si="128"/>
        <v>25.525289559935675</v>
      </c>
      <c r="BR80" s="4" t="e">
        <f t="shared" ref="BR80:CC80" si="129">BR70/BR60*100</f>
        <v>#DIV/0!</v>
      </c>
      <c r="BS80" s="4">
        <f t="shared" si="129"/>
        <v>37.60757661098701</v>
      </c>
      <c r="BT80" s="4" t="e">
        <f t="shared" si="129"/>
        <v>#DIV/0!</v>
      </c>
      <c r="BU80" s="4">
        <f t="shared" si="129"/>
        <v>53.917150521911708</v>
      </c>
      <c r="BV80" s="4" t="e">
        <f t="shared" si="129"/>
        <v>#DIV/0!</v>
      </c>
      <c r="BW80" s="4" t="e">
        <f t="shared" si="129"/>
        <v>#DIV/0!</v>
      </c>
      <c r="BX80" s="4" t="e">
        <f t="shared" si="129"/>
        <v>#DIV/0!</v>
      </c>
      <c r="BY80" s="4" t="e">
        <f t="shared" si="129"/>
        <v>#DIV/0!</v>
      </c>
      <c r="BZ80" s="4" t="e">
        <f t="shared" si="129"/>
        <v>#DIV/0!</v>
      </c>
      <c r="CA80" s="4" t="e">
        <f t="shared" si="129"/>
        <v>#DIV/0!</v>
      </c>
      <c r="CB80" s="4" t="e">
        <f t="shared" si="129"/>
        <v>#DIV/0!</v>
      </c>
      <c r="CC80" s="4">
        <f t="shared" si="129"/>
        <v>71.567063520206347</v>
      </c>
      <c r="CD80" s="4" t="e">
        <f t="shared" ref="CD80:CE80" si="130">CD70/CD60*100</f>
        <v>#DIV/0!</v>
      </c>
      <c r="CE80" s="4">
        <f t="shared" si="130"/>
        <v>28.591019659082374</v>
      </c>
      <c r="CF80" s="4"/>
      <c r="CG80" s="4"/>
      <c r="CH80" s="4"/>
      <c r="CI80" s="4"/>
    </row>
  </sheetData>
  <conditionalFormatting sqref="D71:CA80">
    <cfRule type="colorScale" priority="4">
      <colorScale>
        <cfvo type="min"/>
        <cfvo type="percentile" val="50"/>
        <cfvo type="max"/>
        <color rgb="FF63BE7B"/>
        <color rgb="FFFFEB84"/>
        <color rgb="FFF8696B"/>
      </colorScale>
    </cfRule>
  </conditionalFormatting>
  <conditionalFormatting sqref="E51:E60 G51:G60 I51:I60 K51:K60 M51:M60 O51:O60 Q51:Q60 S51:S60 U51:U60 W51:W60 Y51:Y60">
    <cfRule type="colorScale" priority="3">
      <colorScale>
        <cfvo type="min"/>
        <cfvo type="percentile" val="50"/>
        <cfvo type="max"/>
        <color rgb="FF63BE7B"/>
        <color rgb="FFFFEB84"/>
        <color rgb="FFF8696B"/>
      </colorScale>
    </cfRule>
  </conditionalFormatting>
  <conditionalFormatting sqref="E51:E60 G51:G60 I51:I60 K51:K60 M51:M60 O51:O60 Q51:Q60 S51:S60 U51:U60 W51:W60 Y51:Y60 AU51:AU60 AW51:AW60 AY51:AY60 BA51:BA60 BC51:BC60 BE51:BE60 BG51:BG60 BI51:BI60 BK51:BK60">
    <cfRule type="colorScale" priority="1">
      <colorScale>
        <cfvo type="min"/>
        <cfvo type="percentile" val="50"/>
        <cfvo type="max"/>
        <color rgb="FF63BE7B"/>
        <color rgb="FFFFEB84"/>
        <color rgb="FFF8696B"/>
      </colorScale>
    </cfRule>
  </conditionalFormatting>
  <pageMargins left="0.7" right="0.7" top="0.78740157499999996" bottom="0.78740157499999996"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B34C6-D936-442E-BF78-864B24080ABA}">
  <dimension ref="A1:AN111"/>
  <sheetViews>
    <sheetView topLeftCell="A58" zoomScale="115" zoomScaleNormal="115" workbookViewId="0">
      <selection activeCell="A10" sqref="A10"/>
    </sheetView>
  </sheetViews>
  <sheetFormatPr baseColWidth="10" defaultRowHeight="15" x14ac:dyDescent="0.25"/>
  <sheetData>
    <row r="1" spans="1:40" x14ac:dyDescent="0.25">
      <c r="A1" t="s">
        <v>34</v>
      </c>
      <c r="C1" t="s">
        <v>0</v>
      </c>
      <c r="X1" t="s">
        <v>17</v>
      </c>
    </row>
    <row r="2" spans="1:40" x14ac:dyDescent="0.25">
      <c r="A2" t="s">
        <v>279</v>
      </c>
      <c r="B2" t="s">
        <v>35</v>
      </c>
      <c r="C2" t="s">
        <v>78</v>
      </c>
      <c r="D2" t="s">
        <v>79</v>
      </c>
      <c r="E2" t="s">
        <v>80</v>
      </c>
      <c r="F2" t="s">
        <v>1</v>
      </c>
      <c r="G2" t="s">
        <v>2</v>
      </c>
      <c r="H2" t="s">
        <v>3</v>
      </c>
      <c r="I2" t="s">
        <v>4</v>
      </c>
      <c r="J2" t="s">
        <v>5</v>
      </c>
      <c r="K2" t="s">
        <v>6</v>
      </c>
      <c r="L2" t="s">
        <v>7</v>
      </c>
      <c r="M2" t="s">
        <v>8</v>
      </c>
      <c r="N2" t="s">
        <v>81</v>
      </c>
      <c r="O2" t="s">
        <v>82</v>
      </c>
      <c r="P2" t="s">
        <v>9</v>
      </c>
      <c r="Q2" t="s">
        <v>10</v>
      </c>
      <c r="R2" t="s">
        <v>11</v>
      </c>
      <c r="S2" t="s">
        <v>12</v>
      </c>
      <c r="T2" t="s">
        <v>13</v>
      </c>
      <c r="U2" t="s">
        <v>14</v>
      </c>
      <c r="V2" t="s">
        <v>15</v>
      </c>
      <c r="W2" t="s">
        <v>16</v>
      </c>
      <c r="X2" t="s">
        <v>37</v>
      </c>
      <c r="Y2" t="s">
        <v>18</v>
      </c>
      <c r="Z2" t="s">
        <v>19</v>
      </c>
      <c r="AA2" t="s">
        <v>20</v>
      </c>
      <c r="AB2" t="s">
        <v>21</v>
      </c>
      <c r="AC2" t="s">
        <v>22</v>
      </c>
      <c r="AD2" t="s">
        <v>23</v>
      </c>
      <c r="AE2" t="s">
        <v>24</v>
      </c>
      <c r="AF2" t="s">
        <v>25</v>
      </c>
      <c r="AG2" t="s">
        <v>26</v>
      </c>
      <c r="AH2" t="s">
        <v>77</v>
      </c>
      <c r="AI2" t="s">
        <v>27</v>
      </c>
      <c r="AJ2" t="s">
        <v>28</v>
      </c>
      <c r="AK2" t="s">
        <v>29</v>
      </c>
      <c r="AL2" t="s">
        <v>30</v>
      </c>
      <c r="AM2" t="s">
        <v>31</v>
      </c>
      <c r="AN2" t="s">
        <v>32</v>
      </c>
    </row>
    <row r="3" spans="1:40" x14ac:dyDescent="0.25">
      <c r="A3" t="s">
        <v>38</v>
      </c>
      <c r="B3" t="s">
        <v>39</v>
      </c>
      <c r="C3">
        <v>0.68973237880904303</v>
      </c>
      <c r="D3">
        <v>1.5414459421945199E-2</v>
      </c>
      <c r="E3">
        <v>0</v>
      </c>
      <c r="F3">
        <v>0</v>
      </c>
      <c r="G3">
        <v>3.00340268400104E-2</v>
      </c>
      <c r="H3">
        <v>4.9915542995211098E-3</v>
      </c>
      <c r="I3">
        <v>9.3097136993615395E-2</v>
      </c>
      <c r="J3">
        <v>4.8083620149294799E-2</v>
      </c>
      <c r="K3">
        <v>3.9158369226801597E-2</v>
      </c>
      <c r="L3">
        <v>1.4108046349941599E-2</v>
      </c>
      <c r="M3">
        <v>4.3675021552802996E-3</v>
      </c>
      <c r="N3">
        <v>0</v>
      </c>
      <c r="O3">
        <v>0</v>
      </c>
      <c r="P3">
        <v>1.8373239981052902E-2</v>
      </c>
      <c r="Q3">
        <v>1.9789815939691303E-2</v>
      </c>
      <c r="R3">
        <v>15.308263091115199</v>
      </c>
      <c r="S3">
        <v>12.715707396533901</v>
      </c>
      <c r="T3">
        <v>5.5331546916020695</v>
      </c>
      <c r="U3">
        <v>0.55423502122565194</v>
      </c>
      <c r="V3">
        <v>0.24664696213113099</v>
      </c>
      <c r="W3">
        <v>4.2757357829126E-2</v>
      </c>
      <c r="X3">
        <v>0</v>
      </c>
      <c r="Y3">
        <v>0</v>
      </c>
      <c r="Z3">
        <v>3.72570804732199E-3</v>
      </c>
      <c r="AA3">
        <v>0</v>
      </c>
      <c r="AB3">
        <v>0</v>
      </c>
      <c r="AC3">
        <v>1.85355360499827E-2</v>
      </c>
      <c r="AD3">
        <v>6.3965205536623992E-2</v>
      </c>
      <c r="AE3">
        <v>2.1858796372347448E-2</v>
      </c>
      <c r="AF3">
        <v>9.1619929053933548E-3</v>
      </c>
      <c r="AG3">
        <v>0</v>
      </c>
      <c r="AH3">
        <v>0</v>
      </c>
      <c r="AI3">
        <v>2.9442522834545</v>
      </c>
      <c r="AJ3">
        <v>27.188591933462348</v>
      </c>
      <c r="AK3">
        <v>3.8886065348204348</v>
      </c>
      <c r="AL3">
        <v>1.2810854887995107</v>
      </c>
      <c r="AM3">
        <v>0.21644478226953898</v>
      </c>
      <c r="AN3">
        <v>7.1160662144487546E-2</v>
      </c>
    </row>
    <row r="4" spans="1:40" x14ac:dyDescent="0.25">
      <c r="A4" t="s">
        <v>135</v>
      </c>
      <c r="B4" t="s">
        <v>40</v>
      </c>
      <c r="C4">
        <v>0.42947039358863798</v>
      </c>
      <c r="D4">
        <v>7.0542448656698599E-3</v>
      </c>
      <c r="E4">
        <v>0</v>
      </c>
      <c r="F4">
        <v>0</v>
      </c>
      <c r="G4">
        <v>1.5007052692955799E-2</v>
      </c>
      <c r="H4">
        <v>2.69775103344185E-3</v>
      </c>
      <c r="I4">
        <v>6.4711043081659897E-2</v>
      </c>
      <c r="J4">
        <v>2.7504118597854302E-2</v>
      </c>
      <c r="K4">
        <v>2.3506400259173499E-2</v>
      </c>
      <c r="L4">
        <v>7.4245700138655703E-3</v>
      </c>
      <c r="M4">
        <v>2.8705064614474199E-3</v>
      </c>
      <c r="N4">
        <v>0</v>
      </c>
      <c r="O4">
        <v>0</v>
      </c>
      <c r="P4">
        <v>1.2895731141396799E-2</v>
      </c>
      <c r="Q4">
        <v>1.1529417582512001E-2</v>
      </c>
      <c r="R4">
        <v>10.1008984194719</v>
      </c>
      <c r="S4">
        <v>7.6726181491103196</v>
      </c>
      <c r="T4">
        <v>3.7448282765504199</v>
      </c>
      <c r="U4">
        <v>0.28694246162158205</v>
      </c>
      <c r="V4">
        <v>0.126709780752263</v>
      </c>
      <c r="W4">
        <v>2.1558482227100398E-2</v>
      </c>
      <c r="X4">
        <v>0</v>
      </c>
      <c r="Y4">
        <v>0</v>
      </c>
      <c r="Z4">
        <v>0</v>
      </c>
      <c r="AA4">
        <v>0</v>
      </c>
      <c r="AB4">
        <v>0</v>
      </c>
      <c r="AC4">
        <v>1.0970707498737393E-2</v>
      </c>
      <c r="AD4">
        <v>2.9470184345915845E-2</v>
      </c>
      <c r="AE4">
        <v>9.910801450857409E-3</v>
      </c>
      <c r="AF4">
        <v>5.54031582668074E-3</v>
      </c>
      <c r="AG4">
        <v>0</v>
      </c>
      <c r="AH4">
        <v>0</v>
      </c>
      <c r="AI4">
        <v>1.65836114027338</v>
      </c>
      <c r="AJ4">
        <v>16.292055578649645</v>
      </c>
      <c r="AK4">
        <v>2.5323243029888456</v>
      </c>
      <c r="AL4">
        <v>0.73596285630648461</v>
      </c>
      <c r="AM4">
        <v>0.13653732913296135</v>
      </c>
      <c r="AN4">
        <v>4.9065624402986653E-2</v>
      </c>
    </row>
    <row r="5" spans="1:40" x14ac:dyDescent="0.25">
      <c r="B5" t="s">
        <v>41</v>
      </c>
      <c r="C5">
        <v>0.32210511069560199</v>
      </c>
      <c r="D5">
        <v>6.6743501273200502E-3</v>
      </c>
      <c r="E5">
        <v>0</v>
      </c>
      <c r="F5">
        <v>0</v>
      </c>
      <c r="G5">
        <v>1.12463808041988E-2</v>
      </c>
      <c r="H5">
        <v>3.0336585547517296E-3</v>
      </c>
      <c r="I5">
        <v>0.122337683612202</v>
      </c>
      <c r="J5">
        <v>5.5610732630760704E-2</v>
      </c>
      <c r="K5">
        <v>3.5579949787219102E-2</v>
      </c>
      <c r="L5">
        <v>1.1383355976669301E-2</v>
      </c>
      <c r="M5">
        <v>3.1216667510384601E-3</v>
      </c>
      <c r="N5">
        <v>0</v>
      </c>
      <c r="O5">
        <v>0</v>
      </c>
      <c r="P5">
        <v>1.2333846591473E-2</v>
      </c>
      <c r="Q5">
        <v>1.7616738110509601E-2</v>
      </c>
      <c r="R5">
        <v>17.773688354314501</v>
      </c>
      <c r="S5">
        <v>13.6145809669993</v>
      </c>
      <c r="T5">
        <v>3.98937850733267</v>
      </c>
      <c r="U5">
        <v>0.36028469449916201</v>
      </c>
      <c r="V5">
        <v>0.164807409900561</v>
      </c>
      <c r="W5">
        <v>2.4908600108026799E-2</v>
      </c>
      <c r="X5">
        <v>0</v>
      </c>
      <c r="Y5">
        <v>0</v>
      </c>
      <c r="Z5">
        <v>0</v>
      </c>
      <c r="AA5">
        <v>0</v>
      </c>
      <c r="AB5">
        <v>0</v>
      </c>
      <c r="AC5">
        <v>2.3872895740790802E-2</v>
      </c>
      <c r="AD5">
        <v>6.0963392010367747E-2</v>
      </c>
      <c r="AE5">
        <v>2.0305624975952001E-2</v>
      </c>
      <c r="AF5">
        <v>5.1691841125675354E-3</v>
      </c>
      <c r="AG5">
        <v>0</v>
      </c>
      <c r="AH5">
        <v>0</v>
      </c>
      <c r="AI5">
        <v>3.1979796473763047</v>
      </c>
      <c r="AJ5">
        <v>29.309853383363198</v>
      </c>
      <c r="AK5">
        <v>2.7438752843255245</v>
      </c>
      <c r="AL5">
        <v>0.84985241895705244</v>
      </c>
      <c r="AM5">
        <v>0.13821241956749036</v>
      </c>
      <c r="AN5">
        <v>4.6111374534836103E-2</v>
      </c>
    </row>
    <row r="6" spans="1:40" x14ac:dyDescent="0.25">
      <c r="A6" s="2" t="s">
        <v>75</v>
      </c>
      <c r="B6" t="s">
        <v>39</v>
      </c>
      <c r="C6" s="11">
        <v>3.17</v>
      </c>
      <c r="D6" s="11" t="s">
        <v>65</v>
      </c>
      <c r="E6" s="11" t="s">
        <v>65</v>
      </c>
      <c r="F6" s="11" t="s">
        <v>65</v>
      </c>
      <c r="G6" s="11">
        <v>2.36</v>
      </c>
      <c r="H6" s="11" t="s">
        <v>65</v>
      </c>
      <c r="I6" s="11">
        <v>3.32</v>
      </c>
      <c r="J6" s="11">
        <v>2.06</v>
      </c>
      <c r="K6" s="11">
        <v>2.62</v>
      </c>
      <c r="L6" s="11">
        <v>2.02</v>
      </c>
      <c r="M6" s="11">
        <v>0.82299999999999995</v>
      </c>
      <c r="N6" s="10" t="s">
        <v>65</v>
      </c>
      <c r="O6" s="11" t="s">
        <v>65</v>
      </c>
      <c r="P6" s="11">
        <v>5.03</v>
      </c>
      <c r="Q6" s="11">
        <v>6.65</v>
      </c>
      <c r="R6" s="18">
        <v>415</v>
      </c>
      <c r="S6" s="18">
        <v>202</v>
      </c>
      <c r="T6" s="18">
        <v>150</v>
      </c>
      <c r="U6" s="11">
        <v>4.3099999999999996</v>
      </c>
      <c r="V6" s="11">
        <v>1.94</v>
      </c>
      <c r="W6" s="11" t="s">
        <v>65</v>
      </c>
      <c r="X6" s="11" t="s">
        <v>65</v>
      </c>
      <c r="Y6" s="11" t="s">
        <v>65</v>
      </c>
      <c r="Z6" s="11" t="s">
        <v>65</v>
      </c>
      <c r="AA6" s="11" t="s">
        <v>65</v>
      </c>
      <c r="AB6" s="11" t="s">
        <v>65</v>
      </c>
      <c r="AC6">
        <v>0</v>
      </c>
      <c r="AD6">
        <v>0</v>
      </c>
      <c r="AE6">
        <v>0</v>
      </c>
      <c r="AF6">
        <v>0</v>
      </c>
      <c r="AG6" s="11" t="s">
        <v>65</v>
      </c>
      <c r="AH6" s="11">
        <v>0.753</v>
      </c>
      <c r="AI6" s="18">
        <v>129</v>
      </c>
      <c r="AJ6" s="18">
        <v>614</v>
      </c>
      <c r="AK6" s="18">
        <v>428</v>
      </c>
      <c r="AL6" s="12">
        <v>40.4</v>
      </c>
      <c r="AM6" s="12">
        <v>16.600000000000001</v>
      </c>
      <c r="AN6" s="11">
        <v>4.54</v>
      </c>
    </row>
    <row r="7" spans="1:40" x14ac:dyDescent="0.25">
      <c r="A7" t="s">
        <v>135</v>
      </c>
      <c r="B7" t="s">
        <v>40</v>
      </c>
      <c r="C7" s="11">
        <v>1.84</v>
      </c>
      <c r="D7" s="11" t="s">
        <v>65</v>
      </c>
      <c r="E7" s="11" t="s">
        <v>65</v>
      </c>
      <c r="F7" s="11" t="s">
        <v>65</v>
      </c>
      <c r="G7" s="11">
        <v>1</v>
      </c>
      <c r="H7" s="11" t="s">
        <v>65</v>
      </c>
      <c r="I7" s="11">
        <v>2.59</v>
      </c>
      <c r="J7" s="11">
        <v>1.55</v>
      </c>
      <c r="K7" s="11">
        <v>1.82</v>
      </c>
      <c r="L7" s="11">
        <v>1.27</v>
      </c>
      <c r="M7" s="11">
        <v>0.51700000000000002</v>
      </c>
      <c r="N7" s="10" t="s">
        <v>65</v>
      </c>
      <c r="O7" s="11" t="s">
        <v>65</v>
      </c>
      <c r="P7" s="11">
        <v>3.22</v>
      </c>
      <c r="Q7" s="11">
        <v>4.6500000000000004</v>
      </c>
      <c r="R7" s="18">
        <v>323</v>
      </c>
      <c r="S7" s="18">
        <v>150</v>
      </c>
      <c r="T7" s="18">
        <v>107</v>
      </c>
      <c r="U7" s="11">
        <v>2.41</v>
      </c>
      <c r="V7" s="11">
        <v>1.1599999999999999</v>
      </c>
      <c r="W7" s="11" t="s">
        <v>65</v>
      </c>
      <c r="X7" s="11" t="s">
        <v>65</v>
      </c>
      <c r="Y7" s="11" t="s">
        <v>65</v>
      </c>
      <c r="Z7" s="11" t="s">
        <v>65</v>
      </c>
      <c r="AA7" s="11" t="s">
        <v>65</v>
      </c>
      <c r="AB7" s="11" t="s">
        <v>65</v>
      </c>
      <c r="AC7">
        <v>0</v>
      </c>
      <c r="AD7">
        <v>0</v>
      </c>
      <c r="AE7">
        <v>0</v>
      </c>
      <c r="AF7">
        <v>0</v>
      </c>
      <c r="AG7" s="11" t="s">
        <v>65</v>
      </c>
      <c r="AH7" s="11" t="s">
        <v>65</v>
      </c>
      <c r="AI7" s="18">
        <v>100</v>
      </c>
      <c r="AJ7" s="18">
        <v>463</v>
      </c>
      <c r="AK7" s="18">
        <v>293</v>
      </c>
      <c r="AL7" s="12">
        <v>26.5</v>
      </c>
      <c r="AM7" s="11">
        <v>9.9</v>
      </c>
      <c r="AN7" s="11">
        <v>3</v>
      </c>
    </row>
    <row r="8" spans="1:40" x14ac:dyDescent="0.25">
      <c r="B8" t="s">
        <v>41</v>
      </c>
      <c r="C8" s="11">
        <v>1.56</v>
      </c>
      <c r="D8" s="11" t="s">
        <v>65</v>
      </c>
      <c r="E8" s="11" t="s">
        <v>65</v>
      </c>
      <c r="F8" s="11" t="s">
        <v>65</v>
      </c>
      <c r="G8" s="11" t="s">
        <v>65</v>
      </c>
      <c r="H8" s="11" t="s">
        <v>65</v>
      </c>
      <c r="I8" s="11">
        <v>3</v>
      </c>
      <c r="J8" s="11">
        <v>1.86</v>
      </c>
      <c r="K8" s="11">
        <v>2.0699999999999998</v>
      </c>
      <c r="L8" s="11">
        <v>1.21</v>
      </c>
      <c r="M8" s="11" t="s">
        <v>65</v>
      </c>
      <c r="N8" s="10" t="s">
        <v>65</v>
      </c>
      <c r="O8" s="11" t="s">
        <v>65</v>
      </c>
      <c r="P8" s="11">
        <v>3.13</v>
      </c>
      <c r="Q8" s="11">
        <v>5.76</v>
      </c>
      <c r="R8" s="18">
        <v>398</v>
      </c>
      <c r="S8" s="18">
        <v>174</v>
      </c>
      <c r="T8" s="12">
        <v>98.7</v>
      </c>
      <c r="U8" s="11">
        <v>2.4</v>
      </c>
      <c r="V8" s="11">
        <v>1.02</v>
      </c>
      <c r="W8" s="11" t="s">
        <v>65</v>
      </c>
      <c r="X8" s="11" t="s">
        <v>65</v>
      </c>
      <c r="Y8" s="11" t="s">
        <v>65</v>
      </c>
      <c r="Z8" s="11" t="s">
        <v>65</v>
      </c>
      <c r="AA8" s="11" t="s">
        <v>65</v>
      </c>
      <c r="AB8" s="11" t="s">
        <v>65</v>
      </c>
      <c r="AC8">
        <v>0</v>
      </c>
      <c r="AD8">
        <v>0</v>
      </c>
      <c r="AE8">
        <v>0</v>
      </c>
      <c r="AF8">
        <v>0</v>
      </c>
      <c r="AG8" s="11" t="s">
        <v>65</v>
      </c>
      <c r="AH8" s="11">
        <v>0.55600000000000005</v>
      </c>
      <c r="AI8" s="18">
        <v>126</v>
      </c>
      <c r="AJ8" s="18">
        <v>549</v>
      </c>
      <c r="AK8" s="18">
        <v>333</v>
      </c>
      <c r="AL8" s="12">
        <v>24.4</v>
      </c>
      <c r="AM8" s="11">
        <v>9.09</v>
      </c>
      <c r="AN8" s="11">
        <v>2.59</v>
      </c>
    </row>
    <row r="9" spans="1:40" x14ac:dyDescent="0.25">
      <c r="A9" t="s">
        <v>360</v>
      </c>
      <c r="B9" t="s">
        <v>39</v>
      </c>
      <c r="C9">
        <f>C3/C6</f>
        <v>0.21758119205332588</v>
      </c>
      <c r="D9" t="e">
        <f t="shared" ref="D9:AN11" si="0">D3/D6</f>
        <v>#VALUE!</v>
      </c>
      <c r="E9" t="e">
        <f t="shared" si="0"/>
        <v>#VALUE!</v>
      </c>
      <c r="F9" t="e">
        <f t="shared" si="0"/>
        <v>#VALUE!</v>
      </c>
      <c r="G9">
        <f t="shared" si="0"/>
        <v>1.2726282559326441E-2</v>
      </c>
      <c r="H9" t="e">
        <f t="shared" si="0"/>
        <v>#VALUE!</v>
      </c>
      <c r="I9">
        <f t="shared" si="0"/>
        <v>2.8041306323378132E-2</v>
      </c>
      <c r="J9">
        <f t="shared" si="0"/>
        <v>2.3341563179269321E-2</v>
      </c>
      <c r="K9">
        <f t="shared" si="0"/>
        <v>1.4945942452977708E-2</v>
      </c>
      <c r="L9">
        <f t="shared" si="0"/>
        <v>6.984181361357227E-3</v>
      </c>
      <c r="M9">
        <f t="shared" si="0"/>
        <v>5.3068069930501819E-3</v>
      </c>
      <c r="N9" t="e">
        <f t="shared" si="0"/>
        <v>#VALUE!</v>
      </c>
      <c r="O9" t="e">
        <f t="shared" si="0"/>
        <v>#VALUE!</v>
      </c>
      <c r="P9">
        <f t="shared" si="0"/>
        <v>3.6527316065711533E-3</v>
      </c>
      <c r="Q9">
        <f t="shared" si="0"/>
        <v>2.9759121713821505E-3</v>
      </c>
      <c r="R9">
        <f t="shared" si="0"/>
        <v>3.6887380942446264E-2</v>
      </c>
      <c r="S9">
        <f t="shared" si="0"/>
        <v>6.2949046517494556E-2</v>
      </c>
      <c r="T9">
        <f t="shared" si="0"/>
        <v>3.6887697944013795E-2</v>
      </c>
      <c r="U9">
        <f t="shared" si="0"/>
        <v>0.1285928123493392</v>
      </c>
      <c r="V9">
        <f t="shared" si="0"/>
        <v>0.12713760934594381</v>
      </c>
      <c r="W9" t="e">
        <f t="shared" si="0"/>
        <v>#VALUE!</v>
      </c>
      <c r="X9" t="e">
        <f t="shared" si="0"/>
        <v>#VALUE!</v>
      </c>
      <c r="Y9" t="e">
        <f t="shared" si="0"/>
        <v>#VALUE!</v>
      </c>
      <c r="Z9" t="e">
        <f t="shared" si="0"/>
        <v>#VALUE!</v>
      </c>
      <c r="AA9" t="e">
        <f t="shared" si="0"/>
        <v>#VALUE!</v>
      </c>
      <c r="AB9" t="e">
        <f t="shared" si="0"/>
        <v>#VALUE!</v>
      </c>
      <c r="AC9" t="e">
        <f t="shared" si="0"/>
        <v>#DIV/0!</v>
      </c>
      <c r="AD9" t="e">
        <f t="shared" si="0"/>
        <v>#DIV/0!</v>
      </c>
      <c r="AE9" t="e">
        <f t="shared" si="0"/>
        <v>#DIV/0!</v>
      </c>
      <c r="AF9" t="e">
        <f t="shared" si="0"/>
        <v>#DIV/0!</v>
      </c>
      <c r="AG9" t="e">
        <f t="shared" si="0"/>
        <v>#VALUE!</v>
      </c>
      <c r="AH9">
        <f t="shared" si="0"/>
        <v>0</v>
      </c>
      <c r="AI9">
        <f t="shared" si="0"/>
        <v>2.2823661112050388E-2</v>
      </c>
      <c r="AJ9">
        <f t="shared" si="0"/>
        <v>4.4281094354173205E-2</v>
      </c>
      <c r="AK9">
        <f t="shared" si="0"/>
        <v>9.0855292869636336E-3</v>
      </c>
      <c r="AL9">
        <f t="shared" si="0"/>
        <v>3.1710036851473035E-2</v>
      </c>
      <c r="AM9">
        <f t="shared" si="0"/>
        <v>1.3038842305393913E-2</v>
      </c>
      <c r="AN9">
        <f t="shared" si="0"/>
        <v>1.5674154657376111E-2</v>
      </c>
    </row>
    <row r="10" spans="1:40" x14ac:dyDescent="0.25">
      <c r="B10" t="s">
        <v>40</v>
      </c>
      <c r="C10">
        <f t="shared" ref="C10:R11" si="1">C4/C7</f>
        <v>0.23340782260252063</v>
      </c>
      <c r="D10" t="e">
        <f t="shared" si="1"/>
        <v>#VALUE!</v>
      </c>
      <c r="E10" t="e">
        <f t="shared" si="1"/>
        <v>#VALUE!</v>
      </c>
      <c r="F10" t="e">
        <f t="shared" si="1"/>
        <v>#VALUE!</v>
      </c>
      <c r="G10">
        <f t="shared" si="1"/>
        <v>1.5007052692955799E-2</v>
      </c>
      <c r="H10" t="e">
        <f t="shared" si="1"/>
        <v>#VALUE!</v>
      </c>
      <c r="I10">
        <f t="shared" si="1"/>
        <v>2.4984958718787607E-2</v>
      </c>
      <c r="J10">
        <f t="shared" si="1"/>
        <v>1.7744592643776969E-2</v>
      </c>
      <c r="K10">
        <f t="shared" si="1"/>
        <v>1.2915604538007417E-2</v>
      </c>
      <c r="L10">
        <f t="shared" si="1"/>
        <v>5.8461181211539922E-3</v>
      </c>
      <c r="M10">
        <f t="shared" si="1"/>
        <v>5.5522368693373689E-3</v>
      </c>
      <c r="N10" t="e">
        <f t="shared" si="1"/>
        <v>#VALUE!</v>
      </c>
      <c r="O10" t="e">
        <f t="shared" si="1"/>
        <v>#VALUE!</v>
      </c>
      <c r="P10">
        <f t="shared" si="1"/>
        <v>4.0048854476387574E-3</v>
      </c>
      <c r="Q10">
        <f t="shared" si="1"/>
        <v>2.4794446414004301E-3</v>
      </c>
      <c r="R10">
        <f t="shared" si="1"/>
        <v>3.1272131329634363E-2</v>
      </c>
      <c r="S10">
        <f t="shared" si="0"/>
        <v>5.1150787660735463E-2</v>
      </c>
      <c r="T10">
        <f t="shared" si="0"/>
        <v>3.4998395107947847E-2</v>
      </c>
      <c r="U10">
        <f t="shared" si="0"/>
        <v>0.119063262083644</v>
      </c>
      <c r="V10">
        <f t="shared" si="0"/>
        <v>0.10923256961401984</v>
      </c>
      <c r="W10" t="e">
        <f t="shared" si="0"/>
        <v>#VALUE!</v>
      </c>
      <c r="X10" t="e">
        <f t="shared" si="0"/>
        <v>#VALUE!</v>
      </c>
      <c r="Y10" t="e">
        <f t="shared" si="0"/>
        <v>#VALUE!</v>
      </c>
      <c r="Z10" t="e">
        <f t="shared" si="0"/>
        <v>#VALUE!</v>
      </c>
      <c r="AA10" t="e">
        <f t="shared" si="0"/>
        <v>#VALUE!</v>
      </c>
      <c r="AB10" t="e">
        <f t="shared" si="0"/>
        <v>#VALUE!</v>
      </c>
      <c r="AC10" t="e">
        <f t="shared" si="0"/>
        <v>#DIV/0!</v>
      </c>
      <c r="AD10" t="e">
        <f t="shared" si="0"/>
        <v>#DIV/0!</v>
      </c>
      <c r="AE10" t="e">
        <f t="shared" si="0"/>
        <v>#DIV/0!</v>
      </c>
      <c r="AF10" t="e">
        <f t="shared" si="0"/>
        <v>#DIV/0!</v>
      </c>
      <c r="AG10" t="e">
        <f t="shared" si="0"/>
        <v>#VALUE!</v>
      </c>
      <c r="AH10" t="e">
        <f t="shared" si="0"/>
        <v>#VALUE!</v>
      </c>
      <c r="AI10">
        <f t="shared" si="0"/>
        <v>1.6583611402733799E-2</v>
      </c>
      <c r="AJ10">
        <f t="shared" si="0"/>
        <v>3.5188025007882602E-2</v>
      </c>
      <c r="AK10">
        <f t="shared" si="0"/>
        <v>8.6427450613953769E-3</v>
      </c>
      <c r="AL10">
        <f t="shared" si="0"/>
        <v>2.7772183256848475E-2</v>
      </c>
      <c r="AM10">
        <f t="shared" si="0"/>
        <v>1.3791649407369834E-2</v>
      </c>
      <c r="AN10">
        <f t="shared" si="0"/>
        <v>1.6355208134328884E-2</v>
      </c>
    </row>
    <row r="11" spans="1:40" x14ac:dyDescent="0.25">
      <c r="B11" t="s">
        <v>41</v>
      </c>
      <c r="C11">
        <f t="shared" si="1"/>
        <v>0.20647763506128333</v>
      </c>
      <c r="D11" t="e">
        <f t="shared" si="0"/>
        <v>#VALUE!</v>
      </c>
      <c r="E11" t="e">
        <f t="shared" si="0"/>
        <v>#VALUE!</v>
      </c>
      <c r="F11" t="e">
        <f t="shared" si="0"/>
        <v>#VALUE!</v>
      </c>
      <c r="G11" t="e">
        <f t="shared" si="0"/>
        <v>#VALUE!</v>
      </c>
      <c r="H11" t="e">
        <f t="shared" si="0"/>
        <v>#VALUE!</v>
      </c>
      <c r="I11">
        <f t="shared" si="0"/>
        <v>4.0779227870734E-2</v>
      </c>
      <c r="J11">
        <f t="shared" si="0"/>
        <v>2.9898243349871345E-2</v>
      </c>
      <c r="K11">
        <f t="shared" si="0"/>
        <v>1.7188381539719376E-2</v>
      </c>
      <c r="L11">
        <f t="shared" si="0"/>
        <v>9.4077322121233885E-3</v>
      </c>
      <c r="M11" t="e">
        <f t="shared" si="0"/>
        <v>#VALUE!</v>
      </c>
      <c r="N11" t="e">
        <f t="shared" si="0"/>
        <v>#VALUE!</v>
      </c>
      <c r="O11" t="e">
        <f t="shared" si="0"/>
        <v>#VALUE!</v>
      </c>
      <c r="P11">
        <f t="shared" si="0"/>
        <v>3.9405260675632586E-3</v>
      </c>
      <c r="Q11">
        <f t="shared" si="0"/>
        <v>3.058461477519028E-3</v>
      </c>
      <c r="R11">
        <f t="shared" si="0"/>
        <v>4.4657508427925881E-2</v>
      </c>
      <c r="S11">
        <f t="shared" si="0"/>
        <v>7.8244718201145411E-2</v>
      </c>
      <c r="T11">
        <f t="shared" si="0"/>
        <v>4.0419235130016919E-2</v>
      </c>
      <c r="U11">
        <f t="shared" si="0"/>
        <v>0.15011862270798418</v>
      </c>
      <c r="V11">
        <f t="shared" si="0"/>
        <v>0.16157589205937353</v>
      </c>
      <c r="W11" t="e">
        <f t="shared" si="0"/>
        <v>#VALUE!</v>
      </c>
      <c r="X11" t="e">
        <f t="shared" si="0"/>
        <v>#VALUE!</v>
      </c>
      <c r="Y11" t="e">
        <f t="shared" si="0"/>
        <v>#VALUE!</v>
      </c>
      <c r="Z11" t="e">
        <f t="shared" si="0"/>
        <v>#VALUE!</v>
      </c>
      <c r="AA11" t="e">
        <f t="shared" si="0"/>
        <v>#VALUE!</v>
      </c>
      <c r="AB11" t="e">
        <f t="shared" si="0"/>
        <v>#VALUE!</v>
      </c>
      <c r="AC11" t="e">
        <f t="shared" si="0"/>
        <v>#DIV/0!</v>
      </c>
      <c r="AD11" t="e">
        <f t="shared" si="0"/>
        <v>#DIV/0!</v>
      </c>
      <c r="AE11" t="e">
        <f t="shared" si="0"/>
        <v>#DIV/0!</v>
      </c>
      <c r="AF11" t="e">
        <f t="shared" si="0"/>
        <v>#DIV/0!</v>
      </c>
      <c r="AG11" t="e">
        <f t="shared" si="0"/>
        <v>#VALUE!</v>
      </c>
      <c r="AH11">
        <f t="shared" si="0"/>
        <v>0</v>
      </c>
      <c r="AI11">
        <f t="shared" si="0"/>
        <v>2.5380790852192893E-2</v>
      </c>
      <c r="AJ11">
        <f t="shared" si="0"/>
        <v>5.3387711080807282E-2</v>
      </c>
      <c r="AK11">
        <f t="shared" si="0"/>
        <v>8.239865718695269E-3</v>
      </c>
      <c r="AL11">
        <f t="shared" si="0"/>
        <v>3.4830017170371007E-2</v>
      </c>
      <c r="AM11">
        <f t="shared" si="0"/>
        <v>1.520488664108805E-2</v>
      </c>
      <c r="AN11">
        <f t="shared" si="0"/>
        <v>1.7803619511519733E-2</v>
      </c>
    </row>
    <row r="12" spans="1:40" x14ac:dyDescent="0.25">
      <c r="B12" t="s">
        <v>89</v>
      </c>
      <c r="C12">
        <f>AVERAGE(C9:C11)</f>
        <v>0.21915554990570996</v>
      </c>
      <c r="D12" t="e">
        <f t="shared" ref="D12:AN12" si="2">AVERAGE(D9:D11)</f>
        <v>#VALUE!</v>
      </c>
      <c r="E12" t="e">
        <f t="shared" si="2"/>
        <v>#VALUE!</v>
      </c>
      <c r="F12" t="e">
        <f t="shared" si="2"/>
        <v>#VALUE!</v>
      </c>
      <c r="G12" t="e">
        <f t="shared" si="2"/>
        <v>#VALUE!</v>
      </c>
      <c r="H12" t="e">
        <f t="shared" si="2"/>
        <v>#VALUE!</v>
      </c>
      <c r="I12">
        <f t="shared" si="2"/>
        <v>3.1268497637633251E-2</v>
      </c>
      <c r="J12">
        <f t="shared" si="2"/>
        <v>2.3661466390972542E-2</v>
      </c>
      <c r="K12">
        <f t="shared" si="2"/>
        <v>1.5016642843568165E-2</v>
      </c>
      <c r="L12">
        <f t="shared" si="2"/>
        <v>7.4126772315448687E-3</v>
      </c>
      <c r="M12" t="e">
        <f t="shared" si="2"/>
        <v>#VALUE!</v>
      </c>
      <c r="N12" t="e">
        <f t="shared" si="2"/>
        <v>#VALUE!</v>
      </c>
      <c r="O12" t="e">
        <f t="shared" si="2"/>
        <v>#VALUE!</v>
      </c>
      <c r="P12">
        <f t="shared" si="2"/>
        <v>3.8660477072577234E-3</v>
      </c>
      <c r="Q12">
        <f t="shared" si="2"/>
        <v>2.8379394301005362E-3</v>
      </c>
      <c r="R12">
        <f t="shared" si="2"/>
        <v>3.7605673566668836E-2</v>
      </c>
      <c r="S12">
        <f t="shared" si="2"/>
        <v>6.4114850793125136E-2</v>
      </c>
      <c r="T12">
        <f t="shared" si="2"/>
        <v>3.7435109393992853E-2</v>
      </c>
      <c r="U12">
        <f t="shared" si="2"/>
        <v>0.1325915657136558</v>
      </c>
      <c r="V12">
        <f t="shared" si="2"/>
        <v>0.13264869033977908</v>
      </c>
      <c r="W12" t="e">
        <f t="shared" si="2"/>
        <v>#VALUE!</v>
      </c>
      <c r="X12" t="e">
        <f t="shared" si="2"/>
        <v>#VALUE!</v>
      </c>
      <c r="Y12" t="e">
        <f t="shared" si="2"/>
        <v>#VALUE!</v>
      </c>
      <c r="Z12" t="e">
        <f t="shared" si="2"/>
        <v>#VALUE!</v>
      </c>
      <c r="AA12" t="e">
        <f t="shared" si="2"/>
        <v>#VALUE!</v>
      </c>
      <c r="AB12" t="e">
        <f t="shared" si="2"/>
        <v>#VALUE!</v>
      </c>
      <c r="AC12" t="e">
        <f t="shared" si="2"/>
        <v>#DIV/0!</v>
      </c>
      <c r="AD12" t="e">
        <f t="shared" si="2"/>
        <v>#DIV/0!</v>
      </c>
      <c r="AE12" t="e">
        <f t="shared" si="2"/>
        <v>#DIV/0!</v>
      </c>
      <c r="AF12" t="e">
        <f t="shared" si="2"/>
        <v>#DIV/0!</v>
      </c>
      <c r="AG12" t="e">
        <f t="shared" si="2"/>
        <v>#VALUE!</v>
      </c>
      <c r="AH12" t="e">
        <f t="shared" si="2"/>
        <v>#VALUE!</v>
      </c>
      <c r="AI12">
        <f t="shared" si="2"/>
        <v>2.1596021122325695E-2</v>
      </c>
      <c r="AJ12">
        <f t="shared" si="2"/>
        <v>4.428561014762103E-2</v>
      </c>
      <c r="AK12">
        <f t="shared" si="2"/>
        <v>8.6560466890180932E-3</v>
      </c>
      <c r="AL12">
        <f t="shared" si="2"/>
        <v>3.1437412426230833E-2</v>
      </c>
      <c r="AM12">
        <f t="shared" si="2"/>
        <v>1.4011792784617267E-2</v>
      </c>
      <c r="AN12">
        <f t="shared" si="2"/>
        <v>1.6610994101074913E-2</v>
      </c>
    </row>
    <row r="13" spans="1:40" x14ac:dyDescent="0.25">
      <c r="B13" t="s">
        <v>90</v>
      </c>
      <c r="C13">
        <f>_xlfn.STDEV.P(C9:C11)</f>
        <v>1.1050420873947916E-2</v>
      </c>
      <c r="D13" t="e">
        <f t="shared" ref="D13:AN13" si="3">_xlfn.STDEV.P(D9:D11)</f>
        <v>#VALUE!</v>
      </c>
      <c r="E13" t="e">
        <f t="shared" si="3"/>
        <v>#VALUE!</v>
      </c>
      <c r="F13" t="e">
        <f t="shared" si="3"/>
        <v>#VALUE!</v>
      </c>
      <c r="G13" t="e">
        <f t="shared" si="3"/>
        <v>#VALUE!</v>
      </c>
      <c r="H13" t="e">
        <f t="shared" si="3"/>
        <v>#VALUE!</v>
      </c>
      <c r="I13">
        <f t="shared" si="3"/>
        <v>6.8398736511300117E-3</v>
      </c>
      <c r="J13">
        <f t="shared" si="3"/>
        <v>4.9668608409524752E-3</v>
      </c>
      <c r="K13">
        <f t="shared" si="3"/>
        <v>1.7450701486400465E-3</v>
      </c>
      <c r="L13">
        <f t="shared" si="3"/>
        <v>1.4852564910532767E-3</v>
      </c>
      <c r="M13" t="e">
        <f t="shared" si="3"/>
        <v>#VALUE!</v>
      </c>
      <c r="N13" t="e">
        <f t="shared" si="3"/>
        <v>#VALUE!</v>
      </c>
      <c r="O13" t="e">
        <f t="shared" si="3"/>
        <v>#VALUE!</v>
      </c>
      <c r="P13">
        <f t="shared" si="3"/>
        <v>1.5310857054177319E-4</v>
      </c>
      <c r="Q13">
        <f t="shared" si="3"/>
        <v>2.5572443779684709E-4</v>
      </c>
      <c r="R13">
        <f t="shared" si="3"/>
        <v>5.4881106789359474E-3</v>
      </c>
      <c r="S13">
        <f t="shared" si="3"/>
        <v>1.1091726428257244E-2</v>
      </c>
      <c r="T13">
        <f t="shared" si="3"/>
        <v>2.2466450703055858E-3</v>
      </c>
      <c r="U13">
        <f t="shared" si="3"/>
        <v>1.2989774882022386E-2</v>
      </c>
      <c r="V13">
        <f t="shared" si="3"/>
        <v>2.1721492604407942E-2</v>
      </c>
      <c r="W13" t="e">
        <f t="shared" si="3"/>
        <v>#VALUE!</v>
      </c>
      <c r="X13" t="e">
        <f t="shared" si="3"/>
        <v>#VALUE!</v>
      </c>
      <c r="Y13" t="e">
        <f t="shared" si="3"/>
        <v>#VALUE!</v>
      </c>
      <c r="Z13" t="e">
        <f t="shared" si="3"/>
        <v>#VALUE!</v>
      </c>
      <c r="AA13" t="e">
        <f t="shared" si="3"/>
        <v>#VALUE!</v>
      </c>
      <c r="AB13" t="e">
        <f t="shared" si="3"/>
        <v>#VALUE!</v>
      </c>
      <c r="AC13" t="e">
        <f t="shared" si="3"/>
        <v>#DIV/0!</v>
      </c>
      <c r="AD13" t="e">
        <f t="shared" si="3"/>
        <v>#DIV/0!</v>
      </c>
      <c r="AE13" t="e">
        <f t="shared" si="3"/>
        <v>#DIV/0!</v>
      </c>
      <c r="AF13" t="e">
        <f t="shared" si="3"/>
        <v>#DIV/0!</v>
      </c>
      <c r="AG13" t="e">
        <f t="shared" si="3"/>
        <v>#VALUE!</v>
      </c>
      <c r="AH13" t="e">
        <f t="shared" si="3"/>
        <v>#VALUE!</v>
      </c>
      <c r="AI13">
        <f t="shared" si="3"/>
        <v>3.6948537656922038E-3</v>
      </c>
      <c r="AJ13">
        <f t="shared" si="3"/>
        <v>7.429991412401713E-3</v>
      </c>
      <c r="AK13">
        <f t="shared" si="3"/>
        <v>3.4536880543090532E-4</v>
      </c>
      <c r="AL13">
        <f t="shared" si="3"/>
        <v>2.8877901523074899E-3</v>
      </c>
      <c r="AM13">
        <f t="shared" si="3"/>
        <v>8.9788059560930926E-4</v>
      </c>
      <c r="AN13">
        <f t="shared" si="3"/>
        <v>8.8796583524607055E-4</v>
      </c>
    </row>
    <row r="21" spans="2:25" x14ac:dyDescent="0.25">
      <c r="V21" t="s">
        <v>280</v>
      </c>
      <c r="X21" t="s">
        <v>90</v>
      </c>
    </row>
    <row r="22" spans="2:25" x14ac:dyDescent="0.25">
      <c r="B22" t="s">
        <v>117</v>
      </c>
      <c r="U22" t="s">
        <v>35</v>
      </c>
      <c r="V22" t="s">
        <v>142</v>
      </c>
      <c r="W22" t="s">
        <v>137</v>
      </c>
      <c r="X22" t="s">
        <v>142</v>
      </c>
      <c r="Y22" t="s">
        <v>137</v>
      </c>
    </row>
    <row r="23" spans="2:25" x14ac:dyDescent="0.25">
      <c r="B23" t="s">
        <v>118</v>
      </c>
      <c r="U23" t="s">
        <v>78</v>
      </c>
      <c r="V23" s="87">
        <v>0.21915554990570996</v>
      </c>
      <c r="W23" s="87"/>
      <c r="X23" s="87">
        <v>1.1050420873947916E-2</v>
      </c>
      <c r="Y23" s="87"/>
    </row>
    <row r="24" spans="2:25" x14ac:dyDescent="0.25">
      <c r="B24" t="s">
        <v>119</v>
      </c>
      <c r="U24" t="s">
        <v>2</v>
      </c>
      <c r="V24" s="87">
        <v>1.3866667626141121E-2</v>
      </c>
      <c r="W24" s="87"/>
      <c r="X24" s="87">
        <v>1.1403850668146786E-3</v>
      </c>
      <c r="Y24" s="87"/>
    </row>
    <row r="25" spans="2:25" x14ac:dyDescent="0.25">
      <c r="B25" t="s">
        <v>120</v>
      </c>
      <c r="U25" t="s">
        <v>4</v>
      </c>
      <c r="V25" s="87">
        <v>3.1268497637633251E-2</v>
      </c>
      <c r="W25" s="87"/>
      <c r="X25" s="87">
        <v>6.8398736511300117E-3</v>
      </c>
      <c r="Y25" s="87"/>
    </row>
    <row r="26" spans="2:25" x14ac:dyDescent="0.25">
      <c r="B26" t="s">
        <v>121</v>
      </c>
      <c r="U26" t="s">
        <v>5</v>
      </c>
      <c r="V26" s="87">
        <v>2.3661466390972542E-2</v>
      </c>
      <c r="W26" s="87"/>
      <c r="X26" s="87">
        <v>4.9668608409524752E-3</v>
      </c>
      <c r="Y26" s="87"/>
    </row>
    <row r="27" spans="2:25" x14ac:dyDescent="0.25">
      <c r="B27" t="s">
        <v>122</v>
      </c>
      <c r="U27" t="s">
        <v>6</v>
      </c>
      <c r="V27" s="87">
        <v>1.5016642843568165E-2</v>
      </c>
      <c r="W27" s="87"/>
      <c r="X27" s="87">
        <v>1.7450701486400465E-3</v>
      </c>
      <c r="Y27" s="87"/>
    </row>
    <row r="28" spans="2:25" x14ac:dyDescent="0.25">
      <c r="B28" t="s">
        <v>123</v>
      </c>
      <c r="U28" t="s">
        <v>7</v>
      </c>
      <c r="V28" s="87">
        <v>7.4126772315448687E-3</v>
      </c>
      <c r="W28" s="87"/>
      <c r="X28" s="87">
        <v>1.4852564910532767E-3</v>
      </c>
      <c r="Y28" s="87"/>
    </row>
    <row r="29" spans="2:25" x14ac:dyDescent="0.25">
      <c r="B29" t="s">
        <v>124</v>
      </c>
      <c r="U29" t="s">
        <v>8</v>
      </c>
      <c r="V29" s="87">
        <v>5.4295219311937754E-3</v>
      </c>
      <c r="W29" s="87"/>
      <c r="X29" s="87">
        <v>1.2271493814359352E-4</v>
      </c>
      <c r="Y29" s="87"/>
    </row>
    <row r="30" spans="2:25" x14ac:dyDescent="0.25">
      <c r="B30" t="s">
        <v>125</v>
      </c>
      <c r="U30" t="s">
        <v>9</v>
      </c>
      <c r="V30" s="87">
        <v>3.8660477072577234E-3</v>
      </c>
      <c r="W30" s="87"/>
      <c r="X30" s="87">
        <v>1.5310857054177319E-4</v>
      </c>
      <c r="Y30" s="87"/>
    </row>
    <row r="31" spans="2:25" x14ac:dyDescent="0.25">
      <c r="B31" t="s">
        <v>126</v>
      </c>
      <c r="U31" t="s">
        <v>10</v>
      </c>
      <c r="V31" s="87">
        <v>2.8379394301005362E-3</v>
      </c>
      <c r="W31" s="87">
        <v>0</v>
      </c>
      <c r="X31" s="87">
        <v>2.5572443779684709E-4</v>
      </c>
      <c r="Y31" s="87">
        <v>0</v>
      </c>
    </row>
    <row r="32" spans="2:25" x14ac:dyDescent="0.25">
      <c r="U32" t="s">
        <v>11</v>
      </c>
      <c r="V32" s="87">
        <v>3.7605673566668836E-2</v>
      </c>
      <c r="W32" s="87">
        <v>2.1596021122325695E-2</v>
      </c>
      <c r="X32" s="87">
        <v>5.4881106789359474E-3</v>
      </c>
      <c r="Y32" s="87">
        <v>3.6948537656922038E-3</v>
      </c>
    </row>
    <row r="33" spans="2:25" x14ac:dyDescent="0.25">
      <c r="U33" t="s">
        <v>12</v>
      </c>
      <c r="V33" s="87">
        <v>6.4114850793125136E-2</v>
      </c>
      <c r="W33" s="87">
        <v>4.428561014762103E-2</v>
      </c>
      <c r="X33" s="87">
        <v>1.1091726428257244E-2</v>
      </c>
      <c r="Y33" s="87">
        <v>7.429991412401713E-3</v>
      </c>
    </row>
    <row r="34" spans="2:25" x14ac:dyDescent="0.25">
      <c r="U34" t="s">
        <v>13</v>
      </c>
      <c r="V34" s="87">
        <v>3.7435109393992853E-2</v>
      </c>
      <c r="W34" s="87">
        <v>8.6560466890180932E-3</v>
      </c>
      <c r="X34" s="87">
        <v>2.2466450703055858E-3</v>
      </c>
      <c r="Y34" s="87">
        <v>3.4536880543090532E-4</v>
      </c>
    </row>
    <row r="35" spans="2:25" x14ac:dyDescent="0.25">
      <c r="U35" t="s">
        <v>14</v>
      </c>
      <c r="V35" s="87">
        <v>0.1325915657136558</v>
      </c>
      <c r="W35" s="87">
        <v>3.1437412426230833E-2</v>
      </c>
      <c r="X35" s="87">
        <v>1.2989774882022386E-2</v>
      </c>
      <c r="Y35" s="87">
        <v>2.8877901523074899E-3</v>
      </c>
    </row>
    <row r="36" spans="2:25" x14ac:dyDescent="0.25">
      <c r="U36" t="s">
        <v>15</v>
      </c>
      <c r="V36" s="87">
        <v>0.13264869033977908</v>
      </c>
      <c r="W36" s="87">
        <v>1.4011792784617267E-2</v>
      </c>
      <c r="X36" s="87">
        <v>2.1721492604407942E-2</v>
      </c>
      <c r="Y36" s="87">
        <v>8.9788059560930926E-4</v>
      </c>
    </row>
    <row r="37" spans="2:25" x14ac:dyDescent="0.25">
      <c r="U37" t="s">
        <v>16</v>
      </c>
      <c r="V37" s="87"/>
      <c r="W37" s="87">
        <v>1.6610994101074913E-2</v>
      </c>
      <c r="X37" s="87"/>
      <c r="Y37" s="87">
        <v>8.8796583524607055E-4</v>
      </c>
    </row>
    <row r="39" spans="2:25" x14ac:dyDescent="0.25">
      <c r="U39" t="s">
        <v>78</v>
      </c>
      <c r="V39">
        <f>1/V23</f>
        <v>4.5629690894446551</v>
      </c>
      <c r="W39" t="e">
        <f>1/W23</f>
        <v>#DIV/0!</v>
      </c>
    </row>
    <row r="40" spans="2:25" x14ac:dyDescent="0.25">
      <c r="U40" t="s">
        <v>2</v>
      </c>
      <c r="V40">
        <f t="shared" ref="V40:W52" si="4">1/V24</f>
        <v>72.115379625514578</v>
      </c>
      <c r="W40" t="e">
        <f t="shared" si="4"/>
        <v>#DIV/0!</v>
      </c>
    </row>
    <row r="41" spans="2:25" x14ac:dyDescent="0.25">
      <c r="U41" t="s">
        <v>4</v>
      </c>
      <c r="V41">
        <f t="shared" si="4"/>
        <v>31.981069624414843</v>
      </c>
      <c r="W41" t="e">
        <f t="shared" si="4"/>
        <v>#DIV/0!</v>
      </c>
    </row>
    <row r="42" spans="2:25" x14ac:dyDescent="0.25">
      <c r="U42" t="s">
        <v>5</v>
      </c>
      <c r="V42">
        <f t="shared" si="4"/>
        <v>42.262807531722792</v>
      </c>
      <c r="W42" t="e">
        <f t="shared" si="4"/>
        <v>#DIV/0!</v>
      </c>
    </row>
    <row r="43" spans="2:25" x14ac:dyDescent="0.25">
      <c r="U43" t="s">
        <v>6</v>
      </c>
      <c r="V43">
        <f t="shared" si="4"/>
        <v>66.592780451478461</v>
      </c>
      <c r="W43" t="e">
        <f t="shared" si="4"/>
        <v>#DIV/0!</v>
      </c>
    </row>
    <row r="44" spans="2:25" x14ac:dyDescent="0.25">
      <c r="U44" t="s">
        <v>7</v>
      </c>
      <c r="V44">
        <f t="shared" si="4"/>
        <v>134.90402573370795</v>
      </c>
      <c r="W44" t="e">
        <f t="shared" si="4"/>
        <v>#DIV/0!</v>
      </c>
    </row>
    <row r="45" spans="2:25" x14ac:dyDescent="0.25">
      <c r="U45" t="s">
        <v>8</v>
      </c>
      <c r="V45">
        <f t="shared" si="4"/>
        <v>184.17827806436958</v>
      </c>
      <c r="W45" t="e">
        <f t="shared" si="4"/>
        <v>#DIV/0!</v>
      </c>
    </row>
    <row r="46" spans="2:25" x14ac:dyDescent="0.25">
      <c r="B46" t="s">
        <v>136</v>
      </c>
      <c r="D46" t="s">
        <v>141</v>
      </c>
      <c r="U46" t="s">
        <v>9</v>
      </c>
      <c r="V46">
        <f t="shared" si="4"/>
        <v>258.66209517350291</v>
      </c>
      <c r="W46" t="e">
        <f t="shared" si="4"/>
        <v>#DIV/0!</v>
      </c>
    </row>
    <row r="47" spans="2:25" x14ac:dyDescent="0.25">
      <c r="B47" t="s">
        <v>137</v>
      </c>
      <c r="C47" t="s">
        <v>138</v>
      </c>
      <c r="D47" t="s">
        <v>142</v>
      </c>
      <c r="F47" t="s">
        <v>139</v>
      </c>
      <c r="G47" t="s">
        <v>140</v>
      </c>
      <c r="U47" t="s">
        <v>10</v>
      </c>
      <c r="V47">
        <f t="shared" si="4"/>
        <v>352.36833788400276</v>
      </c>
      <c r="W47" t="e">
        <f t="shared" si="4"/>
        <v>#DIV/0!</v>
      </c>
    </row>
    <row r="48" spans="2:25" x14ac:dyDescent="0.25">
      <c r="B48" s="11"/>
      <c r="C48" s="11"/>
      <c r="D48">
        <v>0</v>
      </c>
      <c r="E48">
        <v>0</v>
      </c>
      <c r="F48" s="4">
        <f>SUM(B48:C48)</f>
        <v>0</v>
      </c>
      <c r="G48">
        <f>SUM(D48:E48)</f>
        <v>0</v>
      </c>
      <c r="U48" t="s">
        <v>11</v>
      </c>
      <c r="V48">
        <f t="shared" si="4"/>
        <v>26.591732181771992</v>
      </c>
      <c r="W48">
        <f t="shared" si="4"/>
        <v>46.304825983255434</v>
      </c>
    </row>
    <row r="49" spans="2:23" x14ac:dyDescent="0.25">
      <c r="B49" s="11"/>
      <c r="C49" s="11"/>
      <c r="D49">
        <v>0</v>
      </c>
      <c r="E49">
        <v>0</v>
      </c>
      <c r="F49" s="4">
        <f t="shared" ref="F49:F74" si="5">SUM(B49:C49)</f>
        <v>0</v>
      </c>
      <c r="G49">
        <f t="shared" ref="G49:G74" si="6">SUM(D49:E49)</f>
        <v>0</v>
      </c>
      <c r="U49" t="s">
        <v>12</v>
      </c>
      <c r="V49">
        <f t="shared" si="4"/>
        <v>15.597010483992694</v>
      </c>
      <c r="W49">
        <f t="shared" si="4"/>
        <v>22.580698259922674</v>
      </c>
    </row>
    <row r="50" spans="2:23" x14ac:dyDescent="0.25">
      <c r="B50" s="11"/>
      <c r="C50" s="11"/>
      <c r="D50">
        <v>0</v>
      </c>
      <c r="E50">
        <v>0</v>
      </c>
      <c r="F50" s="4">
        <f t="shared" si="5"/>
        <v>0</v>
      </c>
      <c r="G50">
        <f t="shared" si="6"/>
        <v>0</v>
      </c>
      <c r="U50" t="s">
        <v>13</v>
      </c>
      <c r="V50">
        <f t="shared" si="4"/>
        <v>26.712891085085708</v>
      </c>
      <c r="W50">
        <f t="shared" si="4"/>
        <v>115.5261790892022</v>
      </c>
    </row>
    <row r="51" spans="2:23" x14ac:dyDescent="0.25">
      <c r="B51" s="12">
        <v>10</v>
      </c>
      <c r="C51" s="11">
        <v>2.44</v>
      </c>
      <c r="D51">
        <v>1.5377227523107999</v>
      </c>
      <c r="E51">
        <v>1.9363650390547249</v>
      </c>
      <c r="F51" s="4">
        <f t="shared" si="5"/>
        <v>12.44</v>
      </c>
      <c r="G51">
        <f t="shared" si="6"/>
        <v>3.474087791365525</v>
      </c>
      <c r="U51" t="s">
        <v>14</v>
      </c>
      <c r="V51">
        <f t="shared" si="4"/>
        <v>7.5419578509208947</v>
      </c>
      <c r="W51">
        <f t="shared" si="4"/>
        <v>31.809233738512692</v>
      </c>
    </row>
    <row r="52" spans="2:23" x14ac:dyDescent="0.25">
      <c r="B52" s="11">
        <v>7.61</v>
      </c>
      <c r="C52" s="11">
        <v>2.29</v>
      </c>
      <c r="D52">
        <v>0.36539778023237396</v>
      </c>
      <c r="E52">
        <v>0.51672229362191902</v>
      </c>
      <c r="F52" s="4">
        <f t="shared" si="5"/>
        <v>9.9</v>
      </c>
      <c r="G52">
        <f t="shared" si="6"/>
        <v>0.88212007385429292</v>
      </c>
      <c r="U52" t="s">
        <v>15</v>
      </c>
      <c r="V52">
        <f t="shared" si="4"/>
        <v>7.538709937041248</v>
      </c>
      <c r="W52">
        <f t="shared" si="4"/>
        <v>71.368454798863553</v>
      </c>
    </row>
    <row r="53" spans="2:23" x14ac:dyDescent="0.25">
      <c r="B53" s="11">
        <v>6.48</v>
      </c>
      <c r="C53" s="11">
        <v>1.78</v>
      </c>
      <c r="D53">
        <v>0.43831271544360501</v>
      </c>
      <c r="E53">
        <v>0.7176094132707479</v>
      </c>
      <c r="F53" s="4">
        <f t="shared" si="5"/>
        <v>8.26</v>
      </c>
      <c r="G53">
        <f t="shared" si="6"/>
        <v>1.1559221287143528</v>
      </c>
      <c r="U53" t="s">
        <v>16</v>
      </c>
      <c r="V53" t="e">
        <f>1/V37</f>
        <v>#DIV/0!</v>
      </c>
      <c r="W53">
        <f>1/W37</f>
        <v>60.201092957783246</v>
      </c>
    </row>
    <row r="54" spans="2:23" x14ac:dyDescent="0.25">
      <c r="B54" s="18">
        <v>181</v>
      </c>
      <c r="C54" s="12">
        <v>54</v>
      </c>
      <c r="D54">
        <v>5.9692562438094399</v>
      </c>
      <c r="E54">
        <v>15.305735766819165</v>
      </c>
      <c r="F54" s="4">
        <f t="shared" si="5"/>
        <v>235</v>
      </c>
      <c r="G54">
        <f t="shared" si="6"/>
        <v>21.274992010628605</v>
      </c>
    </row>
    <row r="55" spans="2:23" x14ac:dyDescent="0.25">
      <c r="B55" s="12">
        <v>88.5</v>
      </c>
      <c r="C55" s="12">
        <v>22.7</v>
      </c>
      <c r="D55">
        <v>2.8542492831941599</v>
      </c>
      <c r="E55">
        <v>5.5625440524280751</v>
      </c>
      <c r="F55" s="4">
        <f t="shared" si="5"/>
        <v>111.2</v>
      </c>
      <c r="G55">
        <f t="shared" si="6"/>
        <v>8.4167933356222342</v>
      </c>
    </row>
    <row r="56" spans="2:23" x14ac:dyDescent="0.25">
      <c r="B56" s="18">
        <v>171</v>
      </c>
      <c r="C56" s="12">
        <v>46.4</v>
      </c>
      <c r="D56">
        <v>7.4230781195522706</v>
      </c>
      <c r="E56">
        <v>14.213042037467297</v>
      </c>
      <c r="F56" s="4">
        <f t="shared" si="5"/>
        <v>217.4</v>
      </c>
      <c r="G56">
        <f t="shared" si="6"/>
        <v>21.636120157019569</v>
      </c>
    </row>
    <row r="57" spans="2:23" x14ac:dyDescent="0.25">
      <c r="B57" s="18">
        <v>405</v>
      </c>
      <c r="C57" s="18">
        <v>135</v>
      </c>
      <c r="D57">
        <v>14.6440039623887</v>
      </c>
      <c r="E57">
        <v>33.651710510482957</v>
      </c>
      <c r="F57" s="4">
        <f t="shared" si="5"/>
        <v>540</v>
      </c>
      <c r="G57">
        <f t="shared" si="6"/>
        <v>48.295714472871659</v>
      </c>
    </row>
    <row r="58" spans="2:23" x14ac:dyDescent="0.25">
      <c r="B58" s="18">
        <v>378</v>
      </c>
      <c r="C58" s="18">
        <v>105</v>
      </c>
      <c r="D58">
        <v>5.0072221111036095</v>
      </c>
      <c r="E58">
        <v>9.5342121756762701</v>
      </c>
      <c r="F58" s="4">
        <f t="shared" si="5"/>
        <v>483</v>
      </c>
      <c r="G58">
        <f t="shared" si="6"/>
        <v>14.541434286779879</v>
      </c>
    </row>
    <row r="59" spans="2:23" x14ac:dyDescent="0.25">
      <c r="B59" s="18">
        <v>455</v>
      </c>
      <c r="C59" s="18">
        <v>139</v>
      </c>
      <c r="D59">
        <v>11.2446959444881</v>
      </c>
      <c r="E59">
        <v>22.284176851409452</v>
      </c>
      <c r="F59" s="4">
        <f t="shared" si="5"/>
        <v>594</v>
      </c>
      <c r="G59">
        <f t="shared" si="6"/>
        <v>33.528872795897556</v>
      </c>
    </row>
    <row r="60" spans="2:23" x14ac:dyDescent="0.25">
      <c r="B60" s="18">
        <v>614</v>
      </c>
      <c r="C60" s="18">
        <v>202</v>
      </c>
      <c r="D60">
        <v>12.715707396533901</v>
      </c>
      <c r="E60">
        <v>27.188591933462348</v>
      </c>
      <c r="F60" s="4">
        <f t="shared" si="5"/>
        <v>816</v>
      </c>
      <c r="G60">
        <f t="shared" si="6"/>
        <v>39.904299329996249</v>
      </c>
    </row>
    <row r="61" spans="2:23" x14ac:dyDescent="0.25">
      <c r="B61" s="18">
        <v>463</v>
      </c>
      <c r="C61" s="18">
        <v>150</v>
      </c>
      <c r="D61">
        <v>7.6726181491103196</v>
      </c>
      <c r="E61">
        <v>16.292055578649645</v>
      </c>
      <c r="F61" s="4">
        <f t="shared" si="5"/>
        <v>613</v>
      </c>
      <c r="G61">
        <f t="shared" si="6"/>
        <v>23.964673727759966</v>
      </c>
    </row>
    <row r="62" spans="2:23" x14ac:dyDescent="0.25">
      <c r="B62" s="18">
        <v>549</v>
      </c>
      <c r="C62" s="18">
        <v>174</v>
      </c>
      <c r="D62">
        <v>13.6145809669993</v>
      </c>
      <c r="E62">
        <v>29.309853383363198</v>
      </c>
      <c r="F62" s="4">
        <f t="shared" si="5"/>
        <v>723</v>
      </c>
      <c r="G62">
        <f t="shared" si="6"/>
        <v>42.924434350362496</v>
      </c>
    </row>
    <row r="63" spans="2:23" x14ac:dyDescent="0.25">
      <c r="B63" s="18">
        <v>526</v>
      </c>
      <c r="C63" s="18">
        <v>184</v>
      </c>
      <c r="D63">
        <v>9.0647681064767198</v>
      </c>
      <c r="E63">
        <v>15.281134002037867</v>
      </c>
      <c r="F63" s="4">
        <f t="shared" si="5"/>
        <v>710</v>
      </c>
      <c r="G63">
        <f t="shared" si="6"/>
        <v>24.345902108514586</v>
      </c>
    </row>
    <row r="64" spans="2:23" x14ac:dyDescent="0.25">
      <c r="B64" s="18">
        <v>372</v>
      </c>
      <c r="C64" s="18">
        <v>118</v>
      </c>
      <c r="D64">
        <v>4.83857959887633</v>
      </c>
      <c r="E64">
        <v>7.9153806574561951</v>
      </c>
      <c r="F64" s="4">
        <f t="shared" si="5"/>
        <v>490</v>
      </c>
      <c r="G64">
        <f t="shared" si="6"/>
        <v>12.753960256332526</v>
      </c>
    </row>
    <row r="65" spans="2:7" x14ac:dyDescent="0.25">
      <c r="B65" s="18">
        <v>472</v>
      </c>
      <c r="C65" s="18">
        <v>142</v>
      </c>
      <c r="D65">
        <v>10.0734839679328</v>
      </c>
      <c r="E65">
        <v>19.572238609274848</v>
      </c>
      <c r="F65" s="4">
        <f t="shared" si="5"/>
        <v>614</v>
      </c>
      <c r="G65">
        <f t="shared" si="6"/>
        <v>29.64572257720765</v>
      </c>
    </row>
    <row r="66" spans="2:7" x14ac:dyDescent="0.25">
      <c r="B66" s="18">
        <v>348</v>
      </c>
      <c r="C66" s="12">
        <v>97.9</v>
      </c>
      <c r="D66">
        <v>9.4602189412475806</v>
      </c>
      <c r="E66">
        <v>20.158448759353902</v>
      </c>
      <c r="F66" s="4">
        <f t="shared" si="5"/>
        <v>445.9</v>
      </c>
      <c r="G66">
        <f t="shared" si="6"/>
        <v>29.618667700601485</v>
      </c>
    </row>
    <row r="67" spans="2:7" x14ac:dyDescent="0.25">
      <c r="B67" s="18">
        <v>229</v>
      </c>
      <c r="C67" s="12">
        <v>65.599999999999994</v>
      </c>
      <c r="D67">
        <v>6.8724561851474997</v>
      </c>
      <c r="E67">
        <v>12.586343440270456</v>
      </c>
      <c r="F67" s="4">
        <f t="shared" si="5"/>
        <v>294.60000000000002</v>
      </c>
      <c r="G67">
        <f t="shared" si="6"/>
        <v>19.458799625417956</v>
      </c>
    </row>
    <row r="68" spans="2:7" x14ac:dyDescent="0.25">
      <c r="B68" s="18">
        <v>290</v>
      </c>
      <c r="C68" s="12">
        <v>79.099999999999994</v>
      </c>
      <c r="D68">
        <v>8.3803533705248299</v>
      </c>
      <c r="E68">
        <v>16.322715929944025</v>
      </c>
      <c r="F68" s="4">
        <f t="shared" si="5"/>
        <v>369.1</v>
      </c>
      <c r="G68">
        <f t="shared" si="6"/>
        <v>24.703069300468854</v>
      </c>
    </row>
    <row r="69" spans="2:7" x14ac:dyDescent="0.25">
      <c r="B69" s="18">
        <v>122</v>
      </c>
      <c r="C69" s="12">
        <v>27.6</v>
      </c>
      <c r="D69">
        <v>4.0069058140357203</v>
      </c>
      <c r="E69">
        <v>8.8558332393421288</v>
      </c>
      <c r="F69" s="4">
        <f t="shared" si="5"/>
        <v>149.6</v>
      </c>
      <c r="G69">
        <f t="shared" si="6"/>
        <v>12.862739053377849</v>
      </c>
    </row>
    <row r="70" spans="2:7" x14ac:dyDescent="0.25">
      <c r="B70" s="18">
        <v>113</v>
      </c>
      <c r="C70" s="12">
        <v>23.3</v>
      </c>
      <c r="D70">
        <v>2.29174272301971</v>
      </c>
      <c r="E70">
        <v>5.4782715646642597</v>
      </c>
      <c r="F70" s="4">
        <f t="shared" si="5"/>
        <v>136.30000000000001</v>
      </c>
      <c r="G70">
        <f t="shared" si="6"/>
        <v>7.7700142876839697</v>
      </c>
    </row>
    <row r="71" spans="2:7" x14ac:dyDescent="0.25">
      <c r="B71" s="18">
        <v>119</v>
      </c>
      <c r="C71" s="12">
        <v>22.2</v>
      </c>
      <c r="D71">
        <v>2.1993931033742</v>
      </c>
      <c r="E71">
        <v>5.6124561946575851</v>
      </c>
      <c r="F71" s="4">
        <f t="shared" si="5"/>
        <v>141.19999999999999</v>
      </c>
      <c r="G71">
        <f t="shared" si="6"/>
        <v>7.8118492980317846</v>
      </c>
    </row>
    <row r="72" spans="2:7" x14ac:dyDescent="0.25">
      <c r="B72" s="18">
        <v>54.5</v>
      </c>
      <c r="C72" s="12">
        <v>7.15</v>
      </c>
      <c r="D72">
        <v>0.374547706886044</v>
      </c>
      <c r="E72">
        <v>1.1892258082976046</v>
      </c>
      <c r="F72" s="4">
        <f t="shared" si="5"/>
        <v>61.65</v>
      </c>
      <c r="G72">
        <f t="shared" si="6"/>
        <v>1.5637735151836485</v>
      </c>
    </row>
    <row r="73" spans="2:7" x14ac:dyDescent="0.25">
      <c r="B73" s="12">
        <v>38.299999999999997</v>
      </c>
      <c r="C73" s="11">
        <v>4.28</v>
      </c>
      <c r="D73">
        <v>0.186186137485228</v>
      </c>
      <c r="E73">
        <v>0.69050413101985186</v>
      </c>
      <c r="F73" s="4">
        <f t="shared" si="5"/>
        <v>42.58</v>
      </c>
      <c r="G73">
        <f t="shared" si="6"/>
        <v>0.87669026850507992</v>
      </c>
    </row>
    <row r="74" spans="2:7" x14ac:dyDescent="0.25">
      <c r="B74" s="12">
        <v>66.099999999999994</v>
      </c>
      <c r="C74" s="11">
        <v>5.21</v>
      </c>
      <c r="D74">
        <v>0.26151063318067602</v>
      </c>
      <c r="E74">
        <v>1.2477246235215405</v>
      </c>
      <c r="F74" s="4">
        <f t="shared" si="5"/>
        <v>71.309999999999988</v>
      </c>
      <c r="G74">
        <f t="shared" si="6"/>
        <v>1.5092352567022165</v>
      </c>
    </row>
    <row r="102" spans="1:40" x14ac:dyDescent="0.25">
      <c r="A102" t="s">
        <v>279</v>
      </c>
      <c r="B102" t="s">
        <v>35</v>
      </c>
      <c r="C102" t="s">
        <v>78</v>
      </c>
      <c r="D102" t="s">
        <v>79</v>
      </c>
      <c r="E102" t="s">
        <v>80</v>
      </c>
      <c r="F102" t="s">
        <v>1</v>
      </c>
      <c r="G102" t="s">
        <v>2</v>
      </c>
      <c r="H102" t="s">
        <v>3</v>
      </c>
      <c r="I102" t="s">
        <v>4</v>
      </c>
      <c r="J102" t="s">
        <v>5</v>
      </c>
      <c r="K102" t="s">
        <v>6</v>
      </c>
      <c r="L102" t="s">
        <v>7</v>
      </c>
      <c r="M102" t="s">
        <v>8</v>
      </c>
      <c r="N102" t="s">
        <v>81</v>
      </c>
      <c r="O102" t="s">
        <v>82</v>
      </c>
      <c r="P102" t="s">
        <v>9</v>
      </c>
      <c r="Q102" t="s">
        <v>10</v>
      </c>
      <c r="R102" t="s">
        <v>11</v>
      </c>
      <c r="S102" t="s">
        <v>12</v>
      </c>
      <c r="T102" t="s">
        <v>13</v>
      </c>
      <c r="U102" t="s">
        <v>14</v>
      </c>
      <c r="V102" t="s">
        <v>15</v>
      </c>
      <c r="W102" t="s">
        <v>16</v>
      </c>
      <c r="X102" t="s">
        <v>37</v>
      </c>
      <c r="Y102" t="s">
        <v>18</v>
      </c>
      <c r="Z102" t="s">
        <v>19</v>
      </c>
      <c r="AA102" t="s">
        <v>20</v>
      </c>
      <c r="AB102" t="s">
        <v>21</v>
      </c>
      <c r="AC102" t="s">
        <v>22</v>
      </c>
      <c r="AD102" t="s">
        <v>23</v>
      </c>
      <c r="AE102" t="s">
        <v>24</v>
      </c>
      <c r="AF102" t="s">
        <v>25</v>
      </c>
      <c r="AG102" t="s">
        <v>26</v>
      </c>
      <c r="AH102" t="s">
        <v>77</v>
      </c>
      <c r="AI102" t="s">
        <v>27</v>
      </c>
      <c r="AJ102" t="s">
        <v>28</v>
      </c>
      <c r="AK102" t="s">
        <v>29</v>
      </c>
      <c r="AL102" t="s">
        <v>30</v>
      </c>
      <c r="AM102" t="s">
        <v>31</v>
      </c>
      <c r="AN102" t="s">
        <v>32</v>
      </c>
    </row>
    <row r="103" spans="1:40" x14ac:dyDescent="0.25">
      <c r="A103" t="s">
        <v>38</v>
      </c>
      <c r="B103" t="s">
        <v>39</v>
      </c>
      <c r="C103">
        <v>0.68973237880904303</v>
      </c>
      <c r="D103">
        <v>1.5414459421945199E-2</v>
      </c>
      <c r="E103">
        <v>0</v>
      </c>
      <c r="F103">
        <v>0</v>
      </c>
      <c r="G103">
        <v>3.00340268400104E-2</v>
      </c>
      <c r="H103">
        <v>4.9915542995211098E-3</v>
      </c>
      <c r="I103">
        <v>9.3097136993615395E-2</v>
      </c>
      <c r="J103">
        <v>4.8083620149294799E-2</v>
      </c>
      <c r="K103">
        <v>3.9158369226801597E-2</v>
      </c>
      <c r="L103">
        <v>1.4108046349941599E-2</v>
      </c>
      <c r="M103">
        <v>4.3675021552802996E-3</v>
      </c>
      <c r="N103">
        <v>0</v>
      </c>
      <c r="O103">
        <v>0</v>
      </c>
      <c r="P103">
        <v>1.8373239981052902E-2</v>
      </c>
      <c r="Q103">
        <v>1.9789815939691303E-2</v>
      </c>
      <c r="R103">
        <v>15.308263091115199</v>
      </c>
      <c r="S103">
        <v>12.715707396533901</v>
      </c>
      <c r="T103">
        <v>5.5331546916020695</v>
      </c>
      <c r="U103">
        <v>0.55423502122565194</v>
      </c>
      <c r="V103">
        <v>0.24664696213113099</v>
      </c>
      <c r="W103">
        <v>4.2757357829126E-2</v>
      </c>
      <c r="X103">
        <v>0</v>
      </c>
      <c r="Y103">
        <v>0</v>
      </c>
      <c r="Z103">
        <v>3.72570804732199E-3</v>
      </c>
      <c r="AA103">
        <v>0</v>
      </c>
      <c r="AB103">
        <v>0</v>
      </c>
      <c r="AC103">
        <v>1.85355360499827E-2</v>
      </c>
      <c r="AD103">
        <v>6.3965205536623992E-2</v>
      </c>
      <c r="AE103">
        <v>2.1858796372347448E-2</v>
      </c>
      <c r="AF103">
        <v>9.1619929053933548E-3</v>
      </c>
      <c r="AG103">
        <v>0</v>
      </c>
      <c r="AH103">
        <v>0</v>
      </c>
      <c r="AI103">
        <v>2.9442522834545</v>
      </c>
      <c r="AJ103">
        <v>27.188591933462348</v>
      </c>
      <c r="AK103">
        <v>3.8886065348204348</v>
      </c>
      <c r="AL103">
        <v>1.2810854887995107</v>
      </c>
      <c r="AM103">
        <v>0.21644478226953898</v>
      </c>
      <c r="AN103">
        <v>7.1160662144487546E-2</v>
      </c>
    </row>
    <row r="104" spans="1:40" x14ac:dyDescent="0.25">
      <c r="A104" t="s">
        <v>135</v>
      </c>
      <c r="B104" t="s">
        <v>40</v>
      </c>
      <c r="C104">
        <v>0.42947039358863798</v>
      </c>
      <c r="D104">
        <v>7.0542448656698599E-3</v>
      </c>
      <c r="E104">
        <v>0</v>
      </c>
      <c r="F104">
        <v>0</v>
      </c>
      <c r="G104">
        <v>1.5007052692955799E-2</v>
      </c>
      <c r="H104">
        <v>2.69775103344185E-3</v>
      </c>
      <c r="I104">
        <v>6.4711043081659897E-2</v>
      </c>
      <c r="J104">
        <v>2.7504118597854302E-2</v>
      </c>
      <c r="K104">
        <v>2.3506400259173499E-2</v>
      </c>
      <c r="L104">
        <v>7.4245700138655703E-3</v>
      </c>
      <c r="M104">
        <v>2.8705064614474199E-3</v>
      </c>
      <c r="N104">
        <v>0</v>
      </c>
      <c r="O104">
        <v>0</v>
      </c>
      <c r="P104">
        <v>1.2895731141396799E-2</v>
      </c>
      <c r="Q104">
        <v>1.1529417582512001E-2</v>
      </c>
      <c r="R104">
        <v>10.1008984194719</v>
      </c>
      <c r="S104">
        <v>7.6726181491103196</v>
      </c>
      <c r="T104">
        <v>3.7448282765504199</v>
      </c>
      <c r="U104">
        <v>0.28694246162158205</v>
      </c>
      <c r="V104">
        <v>0.126709780752263</v>
      </c>
      <c r="W104">
        <v>2.1558482227100398E-2</v>
      </c>
      <c r="X104">
        <v>0</v>
      </c>
      <c r="Y104">
        <v>0</v>
      </c>
      <c r="Z104">
        <v>0</v>
      </c>
      <c r="AA104">
        <v>0</v>
      </c>
      <c r="AB104">
        <v>0</v>
      </c>
      <c r="AC104">
        <v>1.0970707498737393E-2</v>
      </c>
      <c r="AD104">
        <v>2.9470184345915845E-2</v>
      </c>
      <c r="AE104">
        <v>9.910801450857409E-3</v>
      </c>
      <c r="AF104">
        <v>5.54031582668074E-3</v>
      </c>
      <c r="AG104">
        <v>0</v>
      </c>
      <c r="AH104">
        <v>0</v>
      </c>
      <c r="AI104">
        <v>1.65836114027338</v>
      </c>
      <c r="AJ104">
        <v>16.292055578649645</v>
      </c>
      <c r="AK104">
        <v>2.5323243029888456</v>
      </c>
      <c r="AL104">
        <v>0.73596285630648461</v>
      </c>
      <c r="AM104">
        <v>0.13653732913296135</v>
      </c>
      <c r="AN104">
        <v>4.9065624402986653E-2</v>
      </c>
    </row>
    <row r="105" spans="1:40" x14ac:dyDescent="0.25">
      <c r="B105" t="s">
        <v>41</v>
      </c>
      <c r="C105">
        <v>0.32210511069560199</v>
      </c>
      <c r="D105">
        <v>6.6743501273200502E-3</v>
      </c>
      <c r="E105">
        <v>0</v>
      </c>
      <c r="F105">
        <v>0</v>
      </c>
      <c r="G105">
        <v>1.12463808041988E-2</v>
      </c>
      <c r="H105">
        <v>3.0336585547517296E-3</v>
      </c>
      <c r="I105">
        <v>0.122337683612202</v>
      </c>
      <c r="J105">
        <v>5.5610732630760704E-2</v>
      </c>
      <c r="K105">
        <v>3.5579949787219102E-2</v>
      </c>
      <c r="L105">
        <v>1.1383355976669301E-2</v>
      </c>
      <c r="M105">
        <v>3.1216667510384601E-3</v>
      </c>
      <c r="N105">
        <v>0</v>
      </c>
      <c r="O105">
        <v>0</v>
      </c>
      <c r="P105">
        <v>1.2333846591473E-2</v>
      </c>
      <c r="Q105">
        <v>1.7616738110509601E-2</v>
      </c>
      <c r="R105">
        <v>17.773688354314501</v>
      </c>
      <c r="S105">
        <v>13.6145809669993</v>
      </c>
      <c r="T105">
        <v>3.98937850733267</v>
      </c>
      <c r="U105">
        <v>0.36028469449916201</v>
      </c>
      <c r="V105">
        <v>0.164807409900561</v>
      </c>
      <c r="W105">
        <v>2.4908600108026799E-2</v>
      </c>
      <c r="X105">
        <v>0</v>
      </c>
      <c r="Y105">
        <v>0</v>
      </c>
      <c r="Z105">
        <v>0</v>
      </c>
      <c r="AA105">
        <v>0</v>
      </c>
      <c r="AB105">
        <v>0</v>
      </c>
      <c r="AC105">
        <v>2.3872895740790802E-2</v>
      </c>
      <c r="AD105">
        <v>6.0963392010367747E-2</v>
      </c>
      <c r="AE105">
        <v>2.0305624975952001E-2</v>
      </c>
      <c r="AF105">
        <v>5.1691841125675354E-3</v>
      </c>
      <c r="AG105">
        <v>0</v>
      </c>
      <c r="AH105">
        <v>0</v>
      </c>
      <c r="AI105">
        <v>3.1979796473763047</v>
      </c>
      <c r="AJ105">
        <v>29.309853383363198</v>
      </c>
      <c r="AK105">
        <v>2.7438752843255245</v>
      </c>
      <c r="AL105">
        <v>0.84985241895705244</v>
      </c>
      <c r="AM105">
        <v>0.13821241956749036</v>
      </c>
      <c r="AN105">
        <v>4.6111374534836103E-2</v>
      </c>
    </row>
    <row r="106" spans="1:40" x14ac:dyDescent="0.25">
      <c r="A106" t="s">
        <v>75</v>
      </c>
      <c r="B106" t="s">
        <v>39</v>
      </c>
      <c r="C106">
        <v>3.17</v>
      </c>
      <c r="D106">
        <v>0</v>
      </c>
      <c r="E106">
        <v>0</v>
      </c>
      <c r="F106">
        <v>0</v>
      </c>
      <c r="G106">
        <v>2.36</v>
      </c>
      <c r="H106">
        <v>0</v>
      </c>
      <c r="I106">
        <v>3.32</v>
      </c>
      <c r="J106">
        <v>2.06</v>
      </c>
      <c r="K106">
        <v>2.62</v>
      </c>
      <c r="L106">
        <v>2.02</v>
      </c>
      <c r="M106">
        <v>0.82299999999999995</v>
      </c>
      <c r="N106">
        <v>0</v>
      </c>
      <c r="O106">
        <v>0</v>
      </c>
      <c r="P106">
        <v>5.03</v>
      </c>
      <c r="Q106">
        <v>6.65</v>
      </c>
      <c r="R106">
        <v>415</v>
      </c>
      <c r="S106">
        <v>202</v>
      </c>
      <c r="T106">
        <v>150</v>
      </c>
      <c r="U106">
        <v>4.3099999999999996</v>
      </c>
      <c r="V106">
        <v>1.94</v>
      </c>
      <c r="W106">
        <v>0</v>
      </c>
      <c r="X106">
        <v>0</v>
      </c>
      <c r="Y106">
        <v>0</v>
      </c>
      <c r="Z106">
        <v>0</v>
      </c>
      <c r="AA106">
        <v>0</v>
      </c>
      <c r="AB106">
        <v>0</v>
      </c>
      <c r="AC106">
        <v>0</v>
      </c>
      <c r="AD106">
        <v>0</v>
      </c>
      <c r="AE106">
        <v>0</v>
      </c>
      <c r="AF106">
        <v>0</v>
      </c>
      <c r="AG106">
        <v>0</v>
      </c>
      <c r="AH106">
        <v>0.753</v>
      </c>
      <c r="AI106">
        <v>129</v>
      </c>
      <c r="AJ106">
        <v>614</v>
      </c>
      <c r="AK106">
        <v>428</v>
      </c>
      <c r="AL106">
        <v>40.4</v>
      </c>
      <c r="AM106">
        <v>16.600000000000001</v>
      </c>
      <c r="AN106">
        <v>4.54</v>
      </c>
    </row>
    <row r="107" spans="1:40" x14ac:dyDescent="0.25">
      <c r="A107" t="s">
        <v>135</v>
      </c>
      <c r="B107" t="s">
        <v>40</v>
      </c>
      <c r="C107">
        <v>1.84</v>
      </c>
      <c r="D107">
        <v>0</v>
      </c>
      <c r="E107">
        <v>0</v>
      </c>
      <c r="F107">
        <v>0</v>
      </c>
      <c r="G107">
        <v>1</v>
      </c>
      <c r="H107">
        <v>0</v>
      </c>
      <c r="I107">
        <v>2.59</v>
      </c>
      <c r="J107">
        <v>1.55</v>
      </c>
      <c r="K107">
        <v>1.82</v>
      </c>
      <c r="L107">
        <v>1.27</v>
      </c>
      <c r="M107">
        <v>0.51700000000000002</v>
      </c>
      <c r="N107">
        <v>0</v>
      </c>
      <c r="O107">
        <v>0</v>
      </c>
      <c r="P107">
        <v>3.22</v>
      </c>
      <c r="Q107">
        <v>4.6500000000000004</v>
      </c>
      <c r="R107">
        <v>323</v>
      </c>
      <c r="S107">
        <v>150</v>
      </c>
      <c r="T107">
        <v>107</v>
      </c>
      <c r="U107">
        <v>2.41</v>
      </c>
      <c r="V107">
        <v>1.1599999999999999</v>
      </c>
      <c r="W107">
        <v>0</v>
      </c>
      <c r="X107">
        <v>0</v>
      </c>
      <c r="Y107">
        <v>0</v>
      </c>
      <c r="Z107">
        <v>0</v>
      </c>
      <c r="AA107">
        <v>0</v>
      </c>
      <c r="AB107">
        <v>0</v>
      </c>
      <c r="AC107">
        <v>0</v>
      </c>
      <c r="AD107">
        <v>0</v>
      </c>
      <c r="AE107">
        <v>0</v>
      </c>
      <c r="AF107">
        <v>0</v>
      </c>
      <c r="AG107">
        <v>0</v>
      </c>
      <c r="AH107">
        <v>0</v>
      </c>
      <c r="AI107">
        <v>100</v>
      </c>
      <c r="AJ107">
        <v>463</v>
      </c>
      <c r="AK107">
        <v>293</v>
      </c>
      <c r="AL107">
        <v>26.5</v>
      </c>
      <c r="AM107">
        <v>9.9</v>
      </c>
      <c r="AN107">
        <v>3</v>
      </c>
    </row>
    <row r="108" spans="1:40" x14ac:dyDescent="0.25">
      <c r="B108" t="s">
        <v>41</v>
      </c>
      <c r="C108">
        <v>1.56</v>
      </c>
      <c r="D108">
        <v>0</v>
      </c>
      <c r="E108">
        <v>0</v>
      </c>
      <c r="F108">
        <v>0</v>
      </c>
      <c r="G108">
        <v>0</v>
      </c>
      <c r="H108">
        <v>0</v>
      </c>
      <c r="I108">
        <v>3</v>
      </c>
      <c r="J108">
        <v>1.86</v>
      </c>
      <c r="K108">
        <v>2.0699999999999998</v>
      </c>
      <c r="L108">
        <v>1.21</v>
      </c>
      <c r="M108">
        <v>0</v>
      </c>
      <c r="N108">
        <v>0</v>
      </c>
      <c r="O108">
        <v>0</v>
      </c>
      <c r="P108">
        <v>3.13</v>
      </c>
      <c r="Q108">
        <v>5.76</v>
      </c>
      <c r="R108">
        <v>398</v>
      </c>
      <c r="S108">
        <v>174</v>
      </c>
      <c r="T108">
        <v>98.7</v>
      </c>
      <c r="U108">
        <v>2.4</v>
      </c>
      <c r="V108">
        <v>1.02</v>
      </c>
      <c r="W108">
        <v>0</v>
      </c>
      <c r="X108">
        <v>0</v>
      </c>
      <c r="Y108">
        <v>0</v>
      </c>
      <c r="Z108">
        <v>0</v>
      </c>
      <c r="AA108">
        <v>0</v>
      </c>
      <c r="AB108">
        <v>0</v>
      </c>
      <c r="AC108">
        <v>0</v>
      </c>
      <c r="AD108">
        <v>0</v>
      </c>
      <c r="AE108">
        <v>0</v>
      </c>
      <c r="AF108">
        <v>0</v>
      </c>
      <c r="AG108">
        <v>0</v>
      </c>
      <c r="AH108">
        <v>0.55600000000000005</v>
      </c>
      <c r="AI108">
        <v>126</v>
      </c>
      <c r="AJ108">
        <v>549</v>
      </c>
      <c r="AK108">
        <v>333</v>
      </c>
      <c r="AL108">
        <v>24.4</v>
      </c>
      <c r="AM108">
        <v>9.09</v>
      </c>
      <c r="AN108">
        <v>2.59</v>
      </c>
    </row>
    <row r="109" spans="1:40" x14ac:dyDescent="0.25">
      <c r="A109" t="s">
        <v>134</v>
      </c>
      <c r="B109" t="s">
        <v>39</v>
      </c>
      <c r="C109">
        <v>0.21758119205332588</v>
      </c>
      <c r="G109">
        <v>1.2726282559326441E-2</v>
      </c>
      <c r="I109">
        <v>2.8041306323378132E-2</v>
      </c>
      <c r="J109">
        <v>2.3341563179269321E-2</v>
      </c>
      <c r="K109">
        <v>1.4945942452977708E-2</v>
      </c>
      <c r="L109">
        <v>6.984181361357227E-3</v>
      </c>
      <c r="M109">
        <v>5.3068069930501819E-3</v>
      </c>
      <c r="P109">
        <v>3.6527316065711533E-3</v>
      </c>
      <c r="Q109">
        <v>2.9759121713821505E-3</v>
      </c>
      <c r="R109">
        <v>3.6887380942446264E-2</v>
      </c>
      <c r="S109">
        <v>6.2949046517494556E-2</v>
      </c>
      <c r="T109">
        <v>3.6887697944013795E-2</v>
      </c>
      <c r="U109">
        <v>0.1285928123493392</v>
      </c>
      <c r="V109">
        <v>0.12713760934594381</v>
      </c>
      <c r="AH109">
        <v>0</v>
      </c>
      <c r="AI109">
        <v>2.2823661112050388E-2</v>
      </c>
      <c r="AJ109">
        <v>4.4281094354173205E-2</v>
      </c>
      <c r="AK109">
        <v>9.0855292869636336E-3</v>
      </c>
      <c r="AL109">
        <v>3.1710036851473035E-2</v>
      </c>
      <c r="AM109">
        <v>1.3038842305393913E-2</v>
      </c>
      <c r="AN109">
        <v>1.5674154657376111E-2</v>
      </c>
    </row>
    <row r="110" spans="1:40" x14ac:dyDescent="0.25">
      <c r="B110" t="s">
        <v>40</v>
      </c>
      <c r="C110">
        <v>0.23340782260252063</v>
      </c>
      <c r="G110">
        <v>1.5007052692955799E-2</v>
      </c>
      <c r="I110">
        <v>2.4984958718787607E-2</v>
      </c>
      <c r="J110">
        <v>1.7744592643776969E-2</v>
      </c>
      <c r="K110">
        <v>1.2915604538007417E-2</v>
      </c>
      <c r="L110">
        <v>5.8461181211539922E-3</v>
      </c>
      <c r="M110">
        <v>5.5522368693373689E-3</v>
      </c>
      <c r="P110">
        <v>4.0048854476387574E-3</v>
      </c>
      <c r="Q110">
        <v>2.4794446414004301E-3</v>
      </c>
      <c r="R110">
        <v>3.1272131329634363E-2</v>
      </c>
      <c r="S110">
        <v>5.1150787660735463E-2</v>
      </c>
      <c r="T110">
        <v>3.4998395107947847E-2</v>
      </c>
      <c r="U110">
        <v>0.119063262083644</v>
      </c>
      <c r="V110">
        <v>0.10923256961401984</v>
      </c>
      <c r="AI110">
        <v>1.6583611402733799E-2</v>
      </c>
      <c r="AJ110">
        <v>3.5188025007882602E-2</v>
      </c>
      <c r="AK110">
        <v>8.6427450613953769E-3</v>
      </c>
      <c r="AL110">
        <v>2.7772183256848475E-2</v>
      </c>
      <c r="AM110">
        <v>1.3791649407369834E-2</v>
      </c>
      <c r="AN110">
        <v>1.6355208134328884E-2</v>
      </c>
    </row>
    <row r="111" spans="1:40" x14ac:dyDescent="0.25">
      <c r="B111" t="s">
        <v>41</v>
      </c>
      <c r="C111">
        <v>0.20647763506128333</v>
      </c>
      <c r="I111">
        <v>4.0779227870734E-2</v>
      </c>
      <c r="J111">
        <v>2.9898243349871345E-2</v>
      </c>
      <c r="K111">
        <v>1.7188381539719376E-2</v>
      </c>
      <c r="L111">
        <v>9.4077322121233885E-3</v>
      </c>
      <c r="P111">
        <v>3.9405260675632586E-3</v>
      </c>
      <c r="Q111">
        <v>3.058461477519028E-3</v>
      </c>
      <c r="R111">
        <v>4.4657508427925881E-2</v>
      </c>
      <c r="S111">
        <v>7.8244718201145411E-2</v>
      </c>
      <c r="T111">
        <v>4.0419235130016919E-2</v>
      </c>
      <c r="U111">
        <v>0.15011862270798418</v>
      </c>
      <c r="V111">
        <v>0.16157589205937353</v>
      </c>
      <c r="AH111">
        <v>0</v>
      </c>
      <c r="AI111">
        <v>2.5380790852192893E-2</v>
      </c>
      <c r="AJ111">
        <v>5.3387711080807282E-2</v>
      </c>
      <c r="AK111">
        <v>8.239865718695269E-3</v>
      </c>
      <c r="AL111">
        <v>3.4830017170371007E-2</v>
      </c>
      <c r="AM111">
        <v>1.520488664108805E-2</v>
      </c>
      <c r="AN111">
        <v>1.7803619511519733E-2</v>
      </c>
    </row>
  </sheetData>
  <conditionalFormatting sqref="AG6:AN8">
    <cfRule type="notContainsText" dxfId="37" priority="15" operator="notContains" text="&lt;">
      <formula>ISERROR(SEARCH("&lt;",AG6))</formula>
    </cfRule>
  </conditionalFormatting>
  <conditionalFormatting sqref="C6:AB8">
    <cfRule type="notContainsText" dxfId="36" priority="16" operator="notContains" text="&lt;">
      <formula>ISERROR(SEARCH("&lt;",C6))</formula>
    </cfRule>
  </conditionalFormatting>
  <conditionalFormatting sqref="C9:AN11">
    <cfRule type="colorScale" priority="14">
      <colorScale>
        <cfvo type="min"/>
        <cfvo type="percentile" val="50"/>
        <cfvo type="max"/>
        <color rgb="FF63BE7B"/>
        <color rgb="FFFFEB84"/>
        <color rgb="FFF8696B"/>
      </colorScale>
    </cfRule>
  </conditionalFormatting>
  <conditionalFormatting sqref="B48:B74">
    <cfRule type="notContainsText" dxfId="35" priority="13" operator="notContains" text="&lt;">
      <formula>ISERROR(SEARCH("&lt;",B48))</formula>
    </cfRule>
  </conditionalFormatting>
  <conditionalFormatting sqref="C72:C74">
    <cfRule type="notContainsText" dxfId="34" priority="4" operator="notContains" text="&lt;">
      <formula>ISERROR(SEARCH("&lt;",C72))</formula>
    </cfRule>
  </conditionalFormatting>
  <conditionalFormatting sqref="C48:C50">
    <cfRule type="notContainsText" dxfId="33" priority="12" operator="notContains" text="&lt;">
      <formula>ISERROR(SEARCH("&lt;",C48))</formula>
    </cfRule>
  </conditionalFormatting>
  <conditionalFormatting sqref="C51:C53">
    <cfRule type="notContainsText" dxfId="32" priority="11" operator="notContains" text="&lt;">
      <formula>ISERROR(SEARCH("&lt;",C51))</formula>
    </cfRule>
  </conditionalFormatting>
  <conditionalFormatting sqref="C54:C56">
    <cfRule type="notContainsText" dxfId="31" priority="10" operator="notContains" text="&lt;">
      <formula>ISERROR(SEARCH("&lt;",C54))</formula>
    </cfRule>
  </conditionalFormatting>
  <conditionalFormatting sqref="C57:C59">
    <cfRule type="notContainsText" dxfId="30" priority="9" operator="notContains" text="&lt;">
      <formula>ISERROR(SEARCH("&lt;",C57))</formula>
    </cfRule>
  </conditionalFormatting>
  <conditionalFormatting sqref="C60:C62">
    <cfRule type="notContainsText" dxfId="29" priority="8" operator="notContains" text="&lt;">
      <formula>ISERROR(SEARCH("&lt;",C60))</formula>
    </cfRule>
  </conditionalFormatting>
  <conditionalFormatting sqref="C63:C65">
    <cfRule type="notContainsText" dxfId="28" priority="7" operator="notContains" text="&lt;">
      <formula>ISERROR(SEARCH("&lt;",C63))</formula>
    </cfRule>
  </conditionalFormatting>
  <conditionalFormatting sqref="C66:C68">
    <cfRule type="notContainsText" dxfId="27" priority="6" operator="notContains" text="&lt;">
      <formula>ISERROR(SEARCH("&lt;",C66))</formula>
    </cfRule>
  </conditionalFormatting>
  <conditionalFormatting sqref="C69:C71">
    <cfRule type="notContainsText" dxfId="26" priority="5" operator="notContains" text="&lt;">
      <formula>ISERROR(SEARCH("&lt;",C69))</formula>
    </cfRule>
  </conditionalFormatting>
  <conditionalFormatting sqref="C12:AN12">
    <cfRule type="colorScale" priority="3">
      <colorScale>
        <cfvo type="min"/>
        <cfvo type="percentile" val="50"/>
        <cfvo type="max"/>
        <color rgb="FF63BE7B"/>
        <color rgb="FFFFEB84"/>
        <color rgb="FFF8696B"/>
      </colorScale>
    </cfRule>
  </conditionalFormatting>
  <conditionalFormatting sqref="V24:W37 V23">
    <cfRule type="colorScale" priority="127">
      <colorScale>
        <cfvo type="min"/>
        <cfvo type="percentile" val="50"/>
        <cfvo type="max"/>
        <color rgb="FF63BE7B"/>
        <color rgb="FFFFEB84"/>
        <color rgb="FFF8696B"/>
      </colorScale>
    </cfRule>
  </conditionalFormatting>
  <pageMargins left="0.7" right="0.7" top="0.78740157499999996" bottom="0.78740157499999996"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A2572-0E89-4750-89DB-8B3709A8D72F}">
  <dimension ref="A1:AN37"/>
  <sheetViews>
    <sheetView tabSelected="1" workbookViewId="0">
      <selection activeCell="D26" sqref="D26"/>
    </sheetView>
  </sheetViews>
  <sheetFormatPr baseColWidth="10" defaultRowHeight="15" x14ac:dyDescent="0.25"/>
  <sheetData>
    <row r="1" spans="1:40" x14ac:dyDescent="0.25">
      <c r="C1" t="s">
        <v>78</v>
      </c>
      <c r="D1" t="s">
        <v>79</v>
      </c>
      <c r="E1" t="s">
        <v>80</v>
      </c>
      <c r="F1" t="s">
        <v>1</v>
      </c>
      <c r="G1" t="s">
        <v>2</v>
      </c>
      <c r="H1" t="s">
        <v>3</v>
      </c>
      <c r="I1" t="s">
        <v>4</v>
      </c>
      <c r="J1" t="s">
        <v>5</v>
      </c>
      <c r="K1" t="s">
        <v>6</v>
      </c>
      <c r="L1" t="s">
        <v>7</v>
      </c>
      <c r="M1" t="s">
        <v>8</v>
      </c>
      <c r="N1" t="s">
        <v>81</v>
      </c>
      <c r="O1" t="s">
        <v>82</v>
      </c>
      <c r="P1" t="s">
        <v>9</v>
      </c>
      <c r="Q1" t="s">
        <v>10</v>
      </c>
      <c r="R1" t="s">
        <v>11</v>
      </c>
      <c r="S1" t="s">
        <v>12</v>
      </c>
      <c r="T1" t="s">
        <v>13</v>
      </c>
      <c r="U1" t="s">
        <v>14</v>
      </c>
      <c r="V1" t="s">
        <v>15</v>
      </c>
      <c r="W1" t="s">
        <v>16</v>
      </c>
      <c r="X1" t="s">
        <v>37</v>
      </c>
      <c r="Y1" t="s">
        <v>18</v>
      </c>
      <c r="Z1" t="s">
        <v>19</v>
      </c>
      <c r="AA1" t="s">
        <v>20</v>
      </c>
      <c r="AB1" t="s">
        <v>21</v>
      </c>
      <c r="AC1" t="s">
        <v>22</v>
      </c>
      <c r="AD1" t="s">
        <v>23</v>
      </c>
      <c r="AE1" t="s">
        <v>24</v>
      </c>
      <c r="AF1" t="s">
        <v>25</v>
      </c>
      <c r="AG1" t="s">
        <v>26</v>
      </c>
      <c r="AH1" t="s">
        <v>77</v>
      </c>
      <c r="AI1" t="s">
        <v>27</v>
      </c>
      <c r="AJ1" t="s">
        <v>28</v>
      </c>
      <c r="AK1" t="s">
        <v>29</v>
      </c>
      <c r="AL1" t="s">
        <v>30</v>
      </c>
      <c r="AM1" t="s">
        <v>31</v>
      </c>
      <c r="AN1" t="s">
        <v>32</v>
      </c>
    </row>
    <row r="2" spans="1:40" x14ac:dyDescent="0.25">
      <c r="A2">
        <v>1</v>
      </c>
      <c r="B2" t="s">
        <v>39</v>
      </c>
      <c r="C2">
        <v>0</v>
      </c>
      <c r="D2" t="e">
        <v>#DIV/0!</v>
      </c>
      <c r="E2" t="e">
        <v>#DIV/0!</v>
      </c>
      <c r="F2" t="e">
        <v>#DIV/0!</v>
      </c>
      <c r="G2" t="e">
        <v>#DIV/0!</v>
      </c>
      <c r="H2" t="e">
        <v>#DIV/0!</v>
      </c>
      <c r="I2" t="e">
        <v>#DIV/0!</v>
      </c>
      <c r="J2" t="e">
        <v>#DIV/0!</v>
      </c>
      <c r="K2" t="e">
        <v>#DIV/0!</v>
      </c>
      <c r="L2" t="e">
        <v>#DIV/0!</v>
      </c>
      <c r="M2" t="e">
        <v>#DIV/0!</v>
      </c>
      <c r="N2" t="e">
        <v>#DIV/0!</v>
      </c>
      <c r="O2" t="e">
        <v>#DIV/0!</v>
      </c>
      <c r="P2" t="e">
        <v>#DIV/0!</v>
      </c>
      <c r="Q2" t="e">
        <v>#DIV/0!</v>
      </c>
      <c r="R2" t="e">
        <v>#DIV/0!</v>
      </c>
      <c r="S2" t="e">
        <v>#DIV/0!</v>
      </c>
      <c r="T2" t="e">
        <v>#DIV/0!</v>
      </c>
      <c r="U2" t="e">
        <v>#DIV/0!</v>
      </c>
      <c r="V2" t="e">
        <v>#DIV/0!</v>
      </c>
      <c r="W2" t="e">
        <v>#DIV/0!</v>
      </c>
      <c r="X2" t="e">
        <v>#DIV/0!</v>
      </c>
      <c r="Y2" t="e">
        <v>#DIV/0!</v>
      </c>
      <c r="Z2" t="e">
        <v>#DIV/0!</v>
      </c>
      <c r="AA2" t="e">
        <v>#DIV/0!</v>
      </c>
      <c r="AB2" t="e">
        <v>#DIV/0!</v>
      </c>
      <c r="AC2" t="e">
        <v>#DIV/0!</v>
      </c>
      <c r="AD2" t="e">
        <v>#DIV/0!</v>
      </c>
      <c r="AE2" t="e">
        <v>#DIV/0!</v>
      </c>
      <c r="AF2" t="e">
        <v>#DIV/0!</v>
      </c>
      <c r="AG2" t="e">
        <v>#DIV/0!</v>
      </c>
      <c r="AH2" t="e">
        <v>#DIV/0!</v>
      </c>
      <c r="AI2" t="e">
        <v>#DIV/0!</v>
      </c>
      <c r="AJ2" t="e">
        <v>#DIV/0!</v>
      </c>
      <c r="AK2" t="e">
        <v>#DIV/0!</v>
      </c>
      <c r="AL2" t="e">
        <v>#DIV/0!</v>
      </c>
      <c r="AM2" t="e">
        <v>#DIV/0!</v>
      </c>
      <c r="AN2" t="e">
        <v>#DIV/0!</v>
      </c>
    </row>
    <row r="3" spans="1:40" x14ac:dyDescent="0.25">
      <c r="B3" t="s">
        <v>40</v>
      </c>
      <c r="C3">
        <v>0</v>
      </c>
      <c r="D3" t="e">
        <v>#DIV/0!</v>
      </c>
      <c r="E3" t="e">
        <v>#DIV/0!</v>
      </c>
      <c r="F3" t="e">
        <v>#DIV/0!</v>
      </c>
      <c r="G3" t="e">
        <v>#DIV/0!</v>
      </c>
      <c r="H3" t="e">
        <v>#DIV/0!</v>
      </c>
      <c r="I3" t="e">
        <v>#DIV/0!</v>
      </c>
      <c r="J3" t="e">
        <v>#DIV/0!</v>
      </c>
      <c r="K3" t="e">
        <v>#DIV/0!</v>
      </c>
      <c r="L3" t="e">
        <v>#DIV/0!</v>
      </c>
      <c r="M3" t="e">
        <v>#DIV/0!</v>
      </c>
      <c r="N3" t="e">
        <v>#DIV/0!</v>
      </c>
      <c r="O3" t="e">
        <v>#DIV/0!</v>
      </c>
      <c r="P3" t="e">
        <v>#DIV/0!</v>
      </c>
      <c r="Q3" t="e">
        <v>#DIV/0!</v>
      </c>
      <c r="R3" t="e">
        <v>#DIV/0!</v>
      </c>
      <c r="S3" t="e">
        <v>#DIV/0!</v>
      </c>
      <c r="T3" t="e">
        <v>#DIV/0!</v>
      </c>
      <c r="U3" t="e">
        <v>#DIV/0!</v>
      </c>
      <c r="V3" t="e">
        <v>#DIV/0!</v>
      </c>
      <c r="W3" t="e">
        <v>#DIV/0!</v>
      </c>
      <c r="X3" t="e">
        <v>#DIV/0!</v>
      </c>
      <c r="Y3" t="e">
        <v>#DIV/0!</v>
      </c>
      <c r="Z3" t="e">
        <v>#DIV/0!</v>
      </c>
      <c r="AA3" t="e">
        <v>#DIV/0!</v>
      </c>
      <c r="AB3" t="e">
        <v>#DIV/0!</v>
      </c>
      <c r="AC3" t="e">
        <v>#DIV/0!</v>
      </c>
      <c r="AD3" t="e">
        <v>#DIV/0!</v>
      </c>
      <c r="AE3" t="e">
        <v>#DIV/0!</v>
      </c>
      <c r="AF3" t="e">
        <v>#DIV/0!</v>
      </c>
      <c r="AG3" t="e">
        <v>#DIV/0!</v>
      </c>
      <c r="AH3" t="e">
        <v>#DIV/0!</v>
      </c>
      <c r="AI3" t="e">
        <v>#DIV/0!</v>
      </c>
      <c r="AJ3" t="e">
        <v>#DIV/0!</v>
      </c>
      <c r="AK3" t="e">
        <v>#DIV/0!</v>
      </c>
      <c r="AL3" t="e">
        <v>#DIV/0!</v>
      </c>
      <c r="AM3" t="e">
        <v>#DIV/0!</v>
      </c>
      <c r="AN3" t="e">
        <v>#DIV/0!</v>
      </c>
    </row>
    <row r="4" spans="1:40" x14ac:dyDescent="0.25">
      <c r="B4" t="s">
        <v>41</v>
      </c>
      <c r="C4">
        <v>0</v>
      </c>
      <c r="D4" t="e">
        <v>#DIV/0!</v>
      </c>
      <c r="E4" t="e">
        <v>#DIV/0!</v>
      </c>
      <c r="F4" t="e">
        <v>#DIV/0!</v>
      </c>
      <c r="G4" t="e">
        <v>#DIV/0!</v>
      </c>
      <c r="H4" t="e">
        <v>#DIV/0!</v>
      </c>
      <c r="I4" t="e">
        <v>#DIV/0!</v>
      </c>
      <c r="J4" t="e">
        <v>#DIV/0!</v>
      </c>
      <c r="K4" t="e">
        <v>#DIV/0!</v>
      </c>
      <c r="L4" t="e">
        <v>#DIV/0!</v>
      </c>
      <c r="M4" t="e">
        <v>#DIV/0!</v>
      </c>
      <c r="N4" t="e">
        <v>#DIV/0!</v>
      </c>
      <c r="O4" t="e">
        <v>#DIV/0!</v>
      </c>
      <c r="P4" t="e">
        <v>#DIV/0!</v>
      </c>
      <c r="Q4" t="e">
        <v>#DIV/0!</v>
      </c>
      <c r="R4" t="e">
        <v>#DIV/0!</v>
      </c>
      <c r="S4" t="e">
        <v>#DIV/0!</v>
      </c>
      <c r="T4" t="e">
        <v>#DIV/0!</v>
      </c>
      <c r="U4" t="e">
        <v>#DIV/0!</v>
      </c>
      <c r="V4" t="e">
        <v>#DIV/0!</v>
      </c>
      <c r="W4" t="e">
        <v>#DIV/0!</v>
      </c>
      <c r="X4" t="e">
        <v>#DIV/0!</v>
      </c>
      <c r="Y4" t="e">
        <v>#DIV/0!</v>
      </c>
      <c r="Z4" t="e">
        <v>#DIV/0!</v>
      </c>
      <c r="AA4" t="e">
        <v>#DIV/0!</v>
      </c>
      <c r="AB4" t="e">
        <v>#DIV/0!</v>
      </c>
      <c r="AC4" t="e">
        <v>#DIV/0!</v>
      </c>
      <c r="AD4" t="e">
        <v>#DIV/0!</v>
      </c>
      <c r="AE4" t="e">
        <v>#DIV/0!</v>
      </c>
      <c r="AF4" t="e">
        <v>#DIV/0!</v>
      </c>
      <c r="AG4" t="e">
        <v>#DIV/0!</v>
      </c>
      <c r="AH4" t="e">
        <v>#DIV/0!</v>
      </c>
      <c r="AI4" t="e">
        <v>#DIV/0!</v>
      </c>
      <c r="AJ4" t="e">
        <v>#DIV/0!</v>
      </c>
      <c r="AK4" t="e">
        <v>#DIV/0!</v>
      </c>
      <c r="AL4" t="e">
        <v>#DIV/0!</v>
      </c>
      <c r="AM4" t="e">
        <v>#DIV/0!</v>
      </c>
      <c r="AN4" t="e">
        <v>#DIV/0!</v>
      </c>
    </row>
    <row r="5" spans="1:40" x14ac:dyDescent="0.25">
      <c r="A5">
        <v>5</v>
      </c>
      <c r="B5" t="s">
        <v>39</v>
      </c>
      <c r="C5">
        <v>0.54384010421180873</v>
      </c>
      <c r="D5" t="e">
        <v>#DIV/0!</v>
      </c>
      <c r="E5" t="e">
        <v>#DIV/0!</v>
      </c>
      <c r="F5" t="e">
        <v>#DIV/0!</v>
      </c>
      <c r="G5">
        <v>3.7697061721199285E-2</v>
      </c>
      <c r="H5" t="e">
        <v>#DIV/0!</v>
      </c>
      <c r="I5" t="e">
        <v>#DIV/0!</v>
      </c>
      <c r="J5" t="e">
        <v>#DIV/0!</v>
      </c>
      <c r="K5" t="e">
        <v>#DIV/0!</v>
      </c>
      <c r="L5" t="e">
        <v>#DIV/0!</v>
      </c>
      <c r="M5" t="e">
        <v>#DIV/0!</v>
      </c>
      <c r="N5" t="e">
        <v>#DIV/0!</v>
      </c>
      <c r="O5" t="e">
        <v>#DIV/0!</v>
      </c>
      <c r="P5" t="e">
        <v>#DIV/0!</v>
      </c>
      <c r="Q5" t="e">
        <v>#DIV/0!</v>
      </c>
      <c r="R5">
        <v>0.2658079060901643</v>
      </c>
      <c r="S5">
        <v>0.43187388329142617</v>
      </c>
      <c r="T5">
        <v>0.26169918985424367</v>
      </c>
      <c r="U5" t="e">
        <v>#DIV/0!</v>
      </c>
      <c r="V5" t="e">
        <v>#DIV/0!</v>
      </c>
      <c r="W5" t="e">
        <v>#DIV/0!</v>
      </c>
      <c r="X5" t="e">
        <v>#DIV/0!</v>
      </c>
      <c r="Y5" t="e">
        <v>#DIV/0!</v>
      </c>
      <c r="Z5" t="e">
        <v>#DIV/0!</v>
      </c>
      <c r="AA5" t="e">
        <v>#DIV/0!</v>
      </c>
      <c r="AB5" t="e">
        <v>#DIV/0!</v>
      </c>
      <c r="AC5" t="e">
        <v>#DIV/0!</v>
      </c>
      <c r="AD5" t="e">
        <v>#DIV/0!</v>
      </c>
      <c r="AE5" t="e">
        <v>#DIV/0!</v>
      </c>
      <c r="AF5" t="e">
        <v>#DIV/0!</v>
      </c>
      <c r="AG5" t="e">
        <v>#DIV/0!</v>
      </c>
      <c r="AH5" t="e">
        <v>#DIV/0!</v>
      </c>
      <c r="AI5">
        <v>0.13983315573677155</v>
      </c>
      <c r="AJ5">
        <v>0.19363650390547249</v>
      </c>
      <c r="AK5">
        <v>6.0906998387184622E-2</v>
      </c>
      <c r="AL5">
        <v>0.12579504975826969</v>
      </c>
      <c r="AM5">
        <v>5.6716230774789121E-2</v>
      </c>
      <c r="AN5" t="e">
        <v>#DIV/0!</v>
      </c>
    </row>
    <row r="6" spans="1:40" x14ac:dyDescent="0.25">
      <c r="B6" t="s">
        <v>40</v>
      </c>
      <c r="C6">
        <v>0.23500185524050535</v>
      </c>
      <c r="D6" t="e">
        <v>#DIV/0!</v>
      </c>
      <c r="E6" t="e">
        <v>#DIV/0!</v>
      </c>
      <c r="F6" t="e">
        <v>#DIV/0!</v>
      </c>
      <c r="G6">
        <v>1.875380572436771E-2</v>
      </c>
      <c r="H6" t="e">
        <v>#DIV/0!</v>
      </c>
      <c r="I6" t="e">
        <v>#DIV/0!</v>
      </c>
      <c r="J6" t="e">
        <v>#DIV/0!</v>
      </c>
      <c r="K6" t="e">
        <v>#DIV/0!</v>
      </c>
      <c r="L6" t="e">
        <v>#DIV/0!</v>
      </c>
      <c r="M6" t="e">
        <v>#DIV/0!</v>
      </c>
      <c r="N6" t="e">
        <v>#DIV/0!</v>
      </c>
      <c r="O6" t="e">
        <v>#DIV/0!</v>
      </c>
      <c r="P6" t="e">
        <v>#DIV/0!</v>
      </c>
      <c r="Q6" t="e">
        <v>#DIV/0!</v>
      </c>
      <c r="R6">
        <v>9.7725198073493627E-2</v>
      </c>
      <c r="S6">
        <v>0.15956234944645151</v>
      </c>
      <c r="T6">
        <v>0.13303970908423537</v>
      </c>
      <c r="U6" t="e">
        <v>#DIV/0!</v>
      </c>
      <c r="V6" t="e">
        <v>#DIV/0!</v>
      </c>
      <c r="W6" t="e">
        <v>#DIV/0!</v>
      </c>
      <c r="X6" t="e">
        <v>#DIV/0!</v>
      </c>
      <c r="Y6" t="e">
        <v>#DIV/0!</v>
      </c>
      <c r="Z6" t="e">
        <v>#DIV/0!</v>
      </c>
      <c r="AA6" t="e">
        <v>#DIV/0!</v>
      </c>
      <c r="AB6" t="e">
        <v>#DIV/0!</v>
      </c>
      <c r="AC6" t="e">
        <v>#DIV/0!</v>
      </c>
      <c r="AD6" t="e">
        <v>#DIV/0!</v>
      </c>
      <c r="AE6" t="e">
        <v>#DIV/0!</v>
      </c>
      <c r="AF6" t="e">
        <v>#DIV/0!</v>
      </c>
      <c r="AG6" t="e">
        <v>#DIV/0!</v>
      </c>
      <c r="AH6" t="e">
        <v>#DIV/0!</v>
      </c>
      <c r="AI6">
        <v>7.8789608591860127E-2</v>
      </c>
      <c r="AJ6">
        <v>6.7900432801829044E-2</v>
      </c>
      <c r="AK6">
        <v>2.6958105004361313E-2</v>
      </c>
      <c r="AL6">
        <v>3.8204178600277798E-2</v>
      </c>
      <c r="AM6">
        <v>1.715613264834167E-2</v>
      </c>
      <c r="AN6">
        <v>1.9697850126900156E-2</v>
      </c>
    </row>
    <row r="7" spans="1:40" x14ac:dyDescent="0.25">
      <c r="B7" t="s">
        <v>41</v>
      </c>
      <c r="C7">
        <v>0.21299113744785034</v>
      </c>
      <c r="D7" t="e">
        <v>#DIV/0!</v>
      </c>
      <c r="E7" t="e">
        <v>#DIV/0!</v>
      </c>
      <c r="F7" t="e">
        <v>#DIV/0!</v>
      </c>
      <c r="G7">
        <v>4.015591828326881E-2</v>
      </c>
      <c r="H7" t="e">
        <v>#DIV/0!</v>
      </c>
      <c r="I7" t="e">
        <v>#DIV/0!</v>
      </c>
      <c r="J7" t="e">
        <v>#DIV/0!</v>
      </c>
      <c r="K7" t="e">
        <v>#DIV/0!</v>
      </c>
      <c r="L7" t="e">
        <v>#DIV/0!</v>
      </c>
      <c r="M7" t="e">
        <v>#DIV/0!</v>
      </c>
      <c r="N7" t="e">
        <v>#DIV/0!</v>
      </c>
      <c r="O7" t="e">
        <v>#DIV/0!</v>
      </c>
      <c r="P7" t="e">
        <v>#DIV/0!</v>
      </c>
      <c r="Q7" t="e">
        <v>#DIV/0!</v>
      </c>
      <c r="R7">
        <v>0.16690713079328226</v>
      </c>
      <c r="S7">
        <v>0.24624309856382301</v>
      </c>
      <c r="T7">
        <v>0.21824009682075823</v>
      </c>
      <c r="U7" t="e">
        <v>#DIV/0!</v>
      </c>
      <c r="V7" t="e">
        <v>#DIV/0!</v>
      </c>
      <c r="W7" t="e">
        <v>#DIV/0!</v>
      </c>
      <c r="X7" t="e">
        <v>#DIV/0!</v>
      </c>
      <c r="Y7" t="e">
        <v>#DIV/0!</v>
      </c>
      <c r="Z7" t="e">
        <v>#DIV/0!</v>
      </c>
      <c r="AA7" t="e">
        <v>#DIV/0!</v>
      </c>
      <c r="AB7" t="e">
        <v>#DIV/0!</v>
      </c>
      <c r="AC7" t="e">
        <v>#DIV/0!</v>
      </c>
      <c r="AD7" t="e">
        <v>#DIV/0!</v>
      </c>
      <c r="AE7" t="e">
        <v>#DIV/0!</v>
      </c>
      <c r="AF7" t="e">
        <v>#DIV/0!</v>
      </c>
      <c r="AG7" t="e">
        <v>#DIV/0!</v>
      </c>
      <c r="AH7" t="e">
        <v>#DIV/0!</v>
      </c>
      <c r="AI7">
        <v>9.2814176709096183E-2</v>
      </c>
      <c r="AJ7">
        <v>0.1107421934059796</v>
      </c>
      <c r="AK7">
        <v>4.771556517219315E-2</v>
      </c>
      <c r="AL7">
        <v>7.930941517954268E-2</v>
      </c>
      <c r="AM7">
        <v>3.4578716228640768E-2</v>
      </c>
      <c r="AN7">
        <v>4.4044508055958595E-2</v>
      </c>
    </row>
    <row r="8" spans="1:40" x14ac:dyDescent="0.25">
      <c r="A8">
        <v>17</v>
      </c>
      <c r="B8" t="s">
        <v>39</v>
      </c>
      <c r="C8">
        <v>0.33108318339330994</v>
      </c>
      <c r="D8" t="e">
        <v>#DIV/0!</v>
      </c>
      <c r="E8" t="e">
        <v>#DIV/0!</v>
      </c>
      <c r="F8" t="e">
        <v>#DIV/0!</v>
      </c>
      <c r="G8">
        <v>1.7609496651279602E-2</v>
      </c>
      <c r="H8" t="e">
        <v>#DIV/0!</v>
      </c>
      <c r="I8">
        <v>6.2013262112330936E-2</v>
      </c>
      <c r="J8">
        <v>4.5940503104089078E-2</v>
      </c>
      <c r="K8">
        <v>2.312374471050677E-2</v>
      </c>
      <c r="L8">
        <v>7.9576182618175673E-3</v>
      </c>
      <c r="M8">
        <v>3.7264591095490982E-3</v>
      </c>
      <c r="N8" t="e">
        <v>#DIV/0!</v>
      </c>
      <c r="O8" t="e">
        <v>#DIV/0!</v>
      </c>
      <c r="P8">
        <v>5.0181059379891266E-3</v>
      </c>
      <c r="Q8">
        <v>7.7822326690039859E-3</v>
      </c>
      <c r="R8">
        <v>8.7383296330435484E-2</v>
      </c>
      <c r="S8">
        <v>0.1105417822927674</v>
      </c>
      <c r="T8">
        <v>8.3858187813610929E-2</v>
      </c>
      <c r="U8">
        <v>0.16912276119361472</v>
      </c>
      <c r="V8">
        <v>0.14969458675281258</v>
      </c>
      <c r="W8" t="e">
        <v>#DIV/0!</v>
      </c>
      <c r="X8" t="e">
        <v>#DIV/0!</v>
      </c>
      <c r="Y8" t="e">
        <v>#DIV/0!</v>
      </c>
      <c r="Z8">
        <v>3.6294905449401532E-2</v>
      </c>
      <c r="AA8" t="e">
        <v>#DIV/0!</v>
      </c>
      <c r="AB8" t="e">
        <v>#DIV/0!</v>
      </c>
      <c r="AC8" t="e">
        <v>#DIV/0!</v>
      </c>
      <c r="AD8" t="e">
        <v>#DIV/0!</v>
      </c>
      <c r="AE8" t="e">
        <v>#DIV/0!</v>
      </c>
      <c r="AF8" t="e">
        <v>#DIV/0!</v>
      </c>
      <c r="AG8" t="e">
        <v>#DIV/0!</v>
      </c>
      <c r="AH8" t="e">
        <v>#DIV/0!</v>
      </c>
      <c r="AI8">
        <v>3.7675725565936402E-2</v>
      </c>
      <c r="AJ8">
        <v>8.4562076059774394E-2</v>
      </c>
      <c r="AK8">
        <v>1.8671995078663576E-2</v>
      </c>
      <c r="AL8">
        <v>4.2058096069979345E-2</v>
      </c>
      <c r="AM8">
        <v>1.7845608392234806E-2</v>
      </c>
      <c r="AN8">
        <v>2.099873900042442E-2</v>
      </c>
    </row>
    <row r="9" spans="1:40" x14ac:dyDescent="0.25">
      <c r="B9" t="s">
        <v>40</v>
      </c>
      <c r="C9">
        <v>0.21357407445027518</v>
      </c>
      <c r="D9" t="e">
        <v>#DIV/0!</v>
      </c>
      <c r="E9" t="e">
        <v>#DIV/0!</v>
      </c>
      <c r="F9" t="e">
        <v>#DIV/0!</v>
      </c>
      <c r="G9">
        <v>1.4719966068105538E-2</v>
      </c>
      <c r="H9" t="e">
        <v>#DIV/0!</v>
      </c>
      <c r="I9">
        <v>5.6172230812686866E-2</v>
      </c>
      <c r="J9" t="e">
        <v>#DIV/0!</v>
      </c>
      <c r="K9">
        <v>2.604041815007831E-2</v>
      </c>
      <c r="L9">
        <v>7.3828710866380969E-3</v>
      </c>
      <c r="M9" t="e">
        <v>#DIV/0!</v>
      </c>
      <c r="N9" t="e">
        <v>#DIV/0!</v>
      </c>
      <c r="O9" t="e">
        <v>#DIV/0!</v>
      </c>
      <c r="P9">
        <v>6.6642974417273678E-3</v>
      </c>
      <c r="Q9">
        <v>9.2254457312622041E-3</v>
      </c>
      <c r="R9">
        <v>7.1456252503220075E-2</v>
      </c>
      <c r="S9">
        <v>0.12573785388520528</v>
      </c>
      <c r="T9">
        <v>7.9092372426153745E-2</v>
      </c>
      <c r="U9">
        <v>0.1589844556454266</v>
      </c>
      <c r="V9">
        <v>0.15280413240967108</v>
      </c>
      <c r="W9" t="e">
        <v>#DIV/0!</v>
      </c>
      <c r="X9" t="e">
        <v>#DIV/0!</v>
      </c>
      <c r="Y9" t="e">
        <v>#DIV/0!</v>
      </c>
      <c r="Z9">
        <v>2.2659035350577533E-2</v>
      </c>
      <c r="AA9" t="e">
        <v>#DIV/0!</v>
      </c>
      <c r="AB9" t="e">
        <v>#DIV/0!</v>
      </c>
      <c r="AC9" t="e">
        <v>#DIV/0!</v>
      </c>
      <c r="AD9" t="e">
        <v>#DIV/0!</v>
      </c>
      <c r="AE9" t="e">
        <v>#DIV/0!</v>
      </c>
      <c r="AF9" t="e">
        <v>#DIV/0!</v>
      </c>
      <c r="AG9" t="e">
        <v>#DIV/0!</v>
      </c>
      <c r="AH9" t="e">
        <v>#DIV/0!</v>
      </c>
      <c r="AI9">
        <v>3.4035405775891828E-2</v>
      </c>
      <c r="AJ9">
        <v>6.2853605112181632E-2</v>
      </c>
      <c r="AK9">
        <v>1.8037833001421744E-2</v>
      </c>
      <c r="AL9">
        <v>3.6308954681338122E-2</v>
      </c>
      <c r="AM9">
        <v>1.6802562143157642E-2</v>
      </c>
      <c r="AN9">
        <v>1.9300859313430278E-2</v>
      </c>
    </row>
    <row r="10" spans="1:40" x14ac:dyDescent="0.25">
      <c r="B10" t="s">
        <v>41</v>
      </c>
      <c r="C10">
        <v>0.15931899279337525</v>
      </c>
      <c r="D10" t="e">
        <v>#DIV/0!</v>
      </c>
      <c r="E10" t="e">
        <v>#DIV/0!</v>
      </c>
      <c r="F10" t="e">
        <v>#DIV/0!</v>
      </c>
      <c r="G10">
        <v>1.5164095009983685E-2</v>
      </c>
      <c r="H10" t="e">
        <v>#DIV/0!</v>
      </c>
      <c r="I10">
        <v>7.4222546170593096E-2</v>
      </c>
      <c r="J10">
        <v>6.0057380007349358E-2</v>
      </c>
      <c r="K10">
        <v>2.6892756168521263E-2</v>
      </c>
      <c r="L10">
        <v>8.2896854678981211E-3</v>
      </c>
      <c r="M10">
        <v>4.4355811725714667E-3</v>
      </c>
      <c r="N10" t="e">
        <v>#DIV/0!</v>
      </c>
      <c r="O10" t="e">
        <v>#DIV/0!</v>
      </c>
      <c r="P10">
        <v>4.9242365874868979E-3</v>
      </c>
      <c r="Q10">
        <v>7.8582100456295705E-3</v>
      </c>
      <c r="R10">
        <v>8.4066159908791183E-2</v>
      </c>
      <c r="S10">
        <v>0.15998013188690241</v>
      </c>
      <c r="T10">
        <v>9.9533273423508414E-2</v>
      </c>
      <c r="U10">
        <v>0.19377417686920423</v>
      </c>
      <c r="V10">
        <v>0.17246468359625935</v>
      </c>
      <c r="W10" t="e">
        <v>#DIV/0!</v>
      </c>
      <c r="X10" t="e">
        <v>#DIV/0!</v>
      </c>
      <c r="Y10" t="e">
        <v>#DIV/0!</v>
      </c>
      <c r="Z10">
        <v>2.4843446116958056E-2</v>
      </c>
      <c r="AA10" t="e">
        <v>#DIV/0!</v>
      </c>
      <c r="AB10" t="e">
        <v>#DIV/0!</v>
      </c>
      <c r="AC10" t="e">
        <v>#DIV/0!</v>
      </c>
      <c r="AD10" t="e">
        <v>#DIV/0!</v>
      </c>
      <c r="AE10" t="e">
        <v>#DIV/0!</v>
      </c>
      <c r="AF10" t="e">
        <v>#DIV/0!</v>
      </c>
      <c r="AG10" t="e">
        <v>#DIV/0!</v>
      </c>
      <c r="AH10" t="e">
        <v>#DIV/0!</v>
      </c>
      <c r="AI10">
        <v>4.0364322666526058E-2</v>
      </c>
      <c r="AJ10">
        <v>8.3117204897469571E-2</v>
      </c>
      <c r="AK10">
        <v>1.9570058027597377E-2</v>
      </c>
      <c r="AL10">
        <v>4.2899066459956774E-2</v>
      </c>
      <c r="AM10">
        <v>1.7232520087082363E-2</v>
      </c>
      <c r="AN10">
        <v>2.0623678920220781E-2</v>
      </c>
    </row>
    <row r="11" spans="1:40" x14ac:dyDescent="0.25">
      <c r="A11">
        <v>38</v>
      </c>
      <c r="B11" t="s">
        <v>39</v>
      </c>
      <c r="C11">
        <v>0.28761634722031515</v>
      </c>
      <c r="D11" t="e">
        <v>#DIV/0!</v>
      </c>
      <c r="E11" t="e">
        <v>#DIV/0!</v>
      </c>
      <c r="F11" t="e">
        <v>#DIV/0!</v>
      </c>
      <c r="G11">
        <v>2.0100233895604922E-2</v>
      </c>
      <c r="H11" t="e">
        <v>#DIV/0!</v>
      </c>
      <c r="I11">
        <v>4.3916462714809021E-2</v>
      </c>
      <c r="J11">
        <v>3.2656825631280542E-2</v>
      </c>
      <c r="K11">
        <v>1.7643192525629823E-2</v>
      </c>
      <c r="L11">
        <v>8.7917310979920109E-3</v>
      </c>
      <c r="M11">
        <v>6.4006939171532612E-3</v>
      </c>
      <c r="N11" t="e">
        <v>#DIV/0!</v>
      </c>
      <c r="O11" t="e">
        <v>#DIV/0!</v>
      </c>
      <c r="P11">
        <v>5.0014717428465312E-3</v>
      </c>
      <c r="Q11">
        <v>4.4055210556754763E-3</v>
      </c>
      <c r="R11">
        <v>6.298461802111685E-2</v>
      </c>
      <c r="S11">
        <v>0.10847410342510148</v>
      </c>
      <c r="T11">
        <v>5.3608693789310831E-2</v>
      </c>
      <c r="U11">
        <v>0.15414178309047061</v>
      </c>
      <c r="V11">
        <v>0.12332482073118073</v>
      </c>
      <c r="W11" t="e">
        <v>#DIV/0!</v>
      </c>
      <c r="X11" t="e">
        <v>#DIV/0!</v>
      </c>
      <c r="Y11" t="e">
        <v>#DIV/0!</v>
      </c>
      <c r="Z11" t="e">
        <v>#DIV/0!</v>
      </c>
      <c r="AA11" t="e">
        <v>#DIV/0!</v>
      </c>
      <c r="AB11" t="e">
        <v>#DIV/0!</v>
      </c>
      <c r="AC11" t="e">
        <v>#DIV/0!</v>
      </c>
      <c r="AD11" t="e">
        <v>#DIV/0!</v>
      </c>
      <c r="AE11" t="e">
        <v>#DIV/0!</v>
      </c>
      <c r="AF11" t="e">
        <v>#DIV/0!</v>
      </c>
      <c r="AG11" t="e">
        <v>#DIV/0!</v>
      </c>
      <c r="AH11" t="e">
        <v>#DIV/0!</v>
      </c>
      <c r="AI11">
        <v>3.8799101600584029E-2</v>
      </c>
      <c r="AJ11">
        <v>8.3090643235760389E-2</v>
      </c>
      <c r="AK11">
        <v>1.3608718811858328E-2</v>
      </c>
      <c r="AL11">
        <v>2.8767333245597056E-2</v>
      </c>
      <c r="AM11">
        <v>1.237573103891423E-2</v>
      </c>
      <c r="AN11">
        <v>1.4861375334192134E-2</v>
      </c>
    </row>
    <row r="12" spans="1:40" x14ac:dyDescent="0.25">
      <c r="B12" t="s">
        <v>40</v>
      </c>
      <c r="C12">
        <v>0.13293067318500665</v>
      </c>
      <c r="D12" t="e">
        <v>#DIV/0!</v>
      </c>
      <c r="E12" t="e">
        <v>#DIV/0!</v>
      </c>
      <c r="F12" t="e">
        <v>#DIV/0!</v>
      </c>
      <c r="G12">
        <v>9.8206818866031671E-3</v>
      </c>
      <c r="H12" t="e">
        <v>#DIV/0!</v>
      </c>
      <c r="I12">
        <v>2.2941167696330492E-2</v>
      </c>
      <c r="J12">
        <v>1.8562322200571899E-2</v>
      </c>
      <c r="K12">
        <v>9.5850721041482335E-3</v>
      </c>
      <c r="L12">
        <v>4.3854047909327246E-3</v>
      </c>
      <c r="M12" t="e">
        <v>#DIV/0!</v>
      </c>
      <c r="N12" t="e">
        <v>#DIV/0!</v>
      </c>
      <c r="O12" t="e">
        <v>#DIV/0!</v>
      </c>
      <c r="P12">
        <v>3.7734097843526394E-3</v>
      </c>
      <c r="Q12">
        <v>2.5881850567536077E-3</v>
      </c>
      <c r="R12">
        <v>2.6082013031304235E-2</v>
      </c>
      <c r="S12">
        <v>4.7687829629558184E-2</v>
      </c>
      <c r="T12">
        <v>2.5258836837841307E-2</v>
      </c>
      <c r="U12">
        <v>8.1349278922685772E-2</v>
      </c>
      <c r="V12">
        <v>9.1818051122963415E-2</v>
      </c>
      <c r="W12" t="e">
        <v>#DIV/0!</v>
      </c>
      <c r="X12" t="e">
        <v>#DIV/0!</v>
      </c>
      <c r="Y12" t="e">
        <v>#DIV/0!</v>
      </c>
      <c r="Z12" t="e">
        <v>#DIV/0!</v>
      </c>
      <c r="AA12" t="e">
        <v>#DIV/0!</v>
      </c>
      <c r="AB12" t="e">
        <v>#DIV/0!</v>
      </c>
      <c r="AC12" t="e">
        <v>#DIV/0!</v>
      </c>
      <c r="AD12" t="e">
        <v>#DIV/0!</v>
      </c>
      <c r="AE12" t="e">
        <v>#DIV/0!</v>
      </c>
      <c r="AF12" t="e">
        <v>#DIV/0!</v>
      </c>
      <c r="AG12" t="e">
        <v>#DIV/0!</v>
      </c>
      <c r="AH12" t="e">
        <v>#DIV/0!</v>
      </c>
      <c r="AI12">
        <v>1.3278668420221929E-2</v>
      </c>
      <c r="AJ12">
        <v>2.5222783533535107E-2</v>
      </c>
      <c r="AK12">
        <v>5.6287549450362599E-3</v>
      </c>
      <c r="AL12">
        <v>1.8777216771096655E-2</v>
      </c>
      <c r="AM12">
        <v>8.4857720220781543E-3</v>
      </c>
      <c r="AN12">
        <v>1.0913449518836446E-2</v>
      </c>
    </row>
    <row r="13" spans="1:40" x14ac:dyDescent="0.25">
      <c r="B13" t="s">
        <v>41</v>
      </c>
      <c r="C13">
        <v>0.20200851359142366</v>
      </c>
      <c r="D13" t="e">
        <v>#DIV/0!</v>
      </c>
      <c r="E13" t="e">
        <v>#DIV/0!</v>
      </c>
      <c r="F13" t="e">
        <v>#DIV/0!</v>
      </c>
      <c r="G13">
        <v>1.4886388753150452E-2</v>
      </c>
      <c r="H13" t="e">
        <v>#DIV/0!</v>
      </c>
      <c r="I13">
        <v>4.0132970989407782E-2</v>
      </c>
      <c r="J13">
        <v>3.3280013072286264E-2</v>
      </c>
      <c r="K13">
        <v>1.5753145260541442E-2</v>
      </c>
      <c r="L13">
        <v>8.6821975744048197E-3</v>
      </c>
      <c r="M13" t="e">
        <v>#DIV/0!</v>
      </c>
      <c r="N13" t="e">
        <v>#DIV/0!</v>
      </c>
      <c r="O13" t="e">
        <v>#DIV/0!</v>
      </c>
      <c r="P13">
        <v>3.9319021283721924E-3</v>
      </c>
      <c r="Q13">
        <v>3.8166883577498687E-3</v>
      </c>
      <c r="R13">
        <v>4.9511185316733805E-2</v>
      </c>
      <c r="S13">
        <v>8.0897093125813668E-2</v>
      </c>
      <c r="T13">
        <v>4.3593295802214195E-2</v>
      </c>
      <c r="U13">
        <v>0.1378415572086342</v>
      </c>
      <c r="V13">
        <v>0.15049102125560906</v>
      </c>
      <c r="W13" t="e">
        <v>#DIV/0!</v>
      </c>
      <c r="X13" t="e">
        <v>#DIV/0!</v>
      </c>
      <c r="Y13" t="e">
        <v>#DIV/0!</v>
      </c>
      <c r="Z13" t="e">
        <v>#DIV/0!</v>
      </c>
      <c r="AA13" t="e">
        <v>#DIV/0!</v>
      </c>
      <c r="AB13" t="e">
        <v>#DIV/0!</v>
      </c>
      <c r="AC13" t="e">
        <v>#DIV/0!</v>
      </c>
      <c r="AD13" t="e">
        <v>#DIV/0!</v>
      </c>
      <c r="AE13" t="e">
        <v>#DIV/0!</v>
      </c>
      <c r="AF13" t="e">
        <v>#DIV/0!</v>
      </c>
      <c r="AG13" t="e">
        <v>#DIV/0!</v>
      </c>
      <c r="AH13" t="e">
        <v>#DIV/0!</v>
      </c>
      <c r="AI13">
        <v>2.4999466205030931E-2</v>
      </c>
      <c r="AJ13">
        <v>4.8976212860240551E-2</v>
      </c>
      <c r="AK13">
        <v>8.818241399702248E-3</v>
      </c>
      <c r="AL13">
        <v>2.9014470796159327E-2</v>
      </c>
      <c r="AM13">
        <v>1.0094305994072347E-2</v>
      </c>
      <c r="AN13">
        <v>1.2178002735894216E-2</v>
      </c>
    </row>
    <row r="14" spans="1:40" x14ac:dyDescent="0.25">
      <c r="A14">
        <v>57</v>
      </c>
      <c r="B14" t="s">
        <v>39</v>
      </c>
      <c r="C14">
        <v>0.21758119205332588</v>
      </c>
      <c r="D14" t="e">
        <v>#DIV/0!</v>
      </c>
      <c r="E14" t="e">
        <v>#DIV/0!</v>
      </c>
      <c r="F14" t="e">
        <v>#DIV/0!</v>
      </c>
      <c r="G14">
        <v>1.2726282559326441E-2</v>
      </c>
      <c r="H14" t="e">
        <v>#DIV/0!</v>
      </c>
      <c r="I14">
        <v>2.8041306323378132E-2</v>
      </c>
      <c r="J14">
        <v>2.3341563179269321E-2</v>
      </c>
      <c r="K14">
        <v>1.4945942452977708E-2</v>
      </c>
      <c r="L14">
        <v>6.984181361357227E-3</v>
      </c>
      <c r="M14">
        <v>5.3068069930501819E-3</v>
      </c>
      <c r="N14" t="e">
        <v>#DIV/0!</v>
      </c>
      <c r="O14" t="e">
        <v>#DIV/0!</v>
      </c>
      <c r="P14">
        <v>3.6527316065711533E-3</v>
      </c>
      <c r="Q14">
        <v>2.9759121713821509E-3</v>
      </c>
      <c r="R14">
        <v>3.6887380942446264E-2</v>
      </c>
      <c r="S14">
        <v>6.2949046517494556E-2</v>
      </c>
      <c r="T14">
        <v>3.6887697944013795E-2</v>
      </c>
      <c r="U14">
        <v>0.12859281234933922</v>
      </c>
      <c r="V14">
        <v>0.12713760934594381</v>
      </c>
      <c r="W14" t="e">
        <v>#DIV/0!</v>
      </c>
      <c r="X14" t="e">
        <v>#DIV/0!</v>
      </c>
      <c r="Y14" t="e">
        <v>#DIV/0!</v>
      </c>
      <c r="Z14" t="e">
        <v>#DIV/0!</v>
      </c>
      <c r="AA14" t="e">
        <v>#DIV/0!</v>
      </c>
      <c r="AB14" t="e">
        <v>#DIV/0!</v>
      </c>
      <c r="AC14" t="e">
        <v>#DIV/0!</v>
      </c>
      <c r="AD14" t="e">
        <v>#DIV/0!</v>
      </c>
      <c r="AE14" t="e">
        <v>#DIV/0!</v>
      </c>
      <c r="AF14" t="e">
        <v>#DIV/0!</v>
      </c>
      <c r="AG14" t="e">
        <v>#DIV/0!</v>
      </c>
      <c r="AH14" t="e">
        <v>#DIV/0!</v>
      </c>
      <c r="AI14">
        <v>2.2823661112050388E-2</v>
      </c>
      <c r="AJ14">
        <v>4.4281094354173205E-2</v>
      </c>
      <c r="AK14">
        <v>9.0855292869636336E-3</v>
      </c>
      <c r="AL14">
        <v>3.1710036851473042E-2</v>
      </c>
      <c r="AM14">
        <v>1.3038842305393912E-2</v>
      </c>
      <c r="AN14">
        <v>1.5674154657376111E-2</v>
      </c>
    </row>
    <row r="15" spans="1:40" x14ac:dyDescent="0.25">
      <c r="B15" t="s">
        <v>40</v>
      </c>
      <c r="C15">
        <v>0.2334078226025206</v>
      </c>
      <c r="D15" t="e">
        <v>#DIV/0!</v>
      </c>
      <c r="E15" t="e">
        <v>#DIV/0!</v>
      </c>
      <c r="F15" t="e">
        <v>#DIV/0!</v>
      </c>
      <c r="G15">
        <v>1.5007052692955799E-2</v>
      </c>
      <c r="H15" t="e">
        <v>#DIV/0!</v>
      </c>
      <c r="I15">
        <v>2.4984958718787604E-2</v>
      </c>
      <c r="J15">
        <v>1.7744592643776969E-2</v>
      </c>
      <c r="K15">
        <v>1.2915604538007415E-2</v>
      </c>
      <c r="L15">
        <v>5.8461181211539922E-3</v>
      </c>
      <c r="M15">
        <v>5.5522368693373689E-3</v>
      </c>
      <c r="N15" t="e">
        <v>#DIV/0!</v>
      </c>
      <c r="O15" t="e">
        <v>#DIV/0!</v>
      </c>
      <c r="P15">
        <v>4.0048854476387574E-3</v>
      </c>
      <c r="Q15">
        <v>2.4794446414004301E-3</v>
      </c>
      <c r="R15">
        <v>3.1272131329634363E-2</v>
      </c>
      <c r="S15">
        <v>5.1150787660735469E-2</v>
      </c>
      <c r="T15">
        <v>3.4998395107947847E-2</v>
      </c>
      <c r="U15">
        <v>0.11906326208364398</v>
      </c>
      <c r="V15">
        <v>0.10923256961401984</v>
      </c>
      <c r="W15" t="e">
        <v>#DIV/0!</v>
      </c>
      <c r="X15" t="e">
        <v>#DIV/0!</v>
      </c>
      <c r="Y15" t="e">
        <v>#DIV/0!</v>
      </c>
      <c r="Z15" t="e">
        <v>#DIV/0!</v>
      </c>
      <c r="AA15" t="e">
        <v>#DIV/0!</v>
      </c>
      <c r="AB15" t="e">
        <v>#DIV/0!</v>
      </c>
      <c r="AC15" t="e">
        <v>#DIV/0!</v>
      </c>
      <c r="AD15" t="e">
        <v>#DIV/0!</v>
      </c>
      <c r="AE15" t="e">
        <v>#DIV/0!</v>
      </c>
      <c r="AF15" t="e">
        <v>#DIV/0!</v>
      </c>
      <c r="AG15" t="e">
        <v>#DIV/0!</v>
      </c>
      <c r="AH15" t="e">
        <v>#DIV/0!</v>
      </c>
      <c r="AI15">
        <v>1.6583611402733799E-2</v>
      </c>
      <c r="AJ15">
        <v>3.5188025007882602E-2</v>
      </c>
      <c r="AK15">
        <v>8.6427450613953769E-3</v>
      </c>
      <c r="AL15">
        <v>2.7772183256848479E-2</v>
      </c>
      <c r="AM15">
        <v>1.3791649407369834E-2</v>
      </c>
      <c r="AN15">
        <v>1.6355208134328884E-2</v>
      </c>
    </row>
    <row r="16" spans="1:40" x14ac:dyDescent="0.25">
      <c r="B16" t="s">
        <v>41</v>
      </c>
      <c r="C16">
        <v>0.20647763506128333</v>
      </c>
      <c r="D16" t="e">
        <v>#DIV/0!</v>
      </c>
      <c r="E16" t="e">
        <v>#DIV/0!</v>
      </c>
      <c r="F16" t="e">
        <v>#DIV/0!</v>
      </c>
      <c r="G16" t="e">
        <v>#DIV/0!</v>
      </c>
      <c r="H16" t="e">
        <v>#DIV/0!</v>
      </c>
      <c r="I16">
        <v>4.0779227870734E-2</v>
      </c>
      <c r="J16">
        <v>2.9898243349871345E-2</v>
      </c>
      <c r="K16">
        <v>1.7188381539719372E-2</v>
      </c>
      <c r="L16">
        <v>9.4077322121233903E-3</v>
      </c>
      <c r="M16" t="e">
        <v>#DIV/0!</v>
      </c>
      <c r="N16" t="e">
        <v>#DIV/0!</v>
      </c>
      <c r="O16" t="e">
        <v>#DIV/0!</v>
      </c>
      <c r="P16">
        <v>3.9405260675632586E-3</v>
      </c>
      <c r="Q16">
        <v>3.058461477519028E-3</v>
      </c>
      <c r="R16">
        <v>4.4657508427925881E-2</v>
      </c>
      <c r="S16">
        <v>7.8244718201145411E-2</v>
      </c>
      <c r="T16">
        <v>4.0419235130016919E-2</v>
      </c>
      <c r="U16">
        <v>0.15011862270798418</v>
      </c>
      <c r="V16">
        <v>0.16157589205937353</v>
      </c>
      <c r="W16" t="e">
        <v>#DIV/0!</v>
      </c>
      <c r="X16" t="e">
        <v>#DIV/0!</v>
      </c>
      <c r="Y16" t="e">
        <v>#DIV/0!</v>
      </c>
      <c r="Z16" t="e">
        <v>#DIV/0!</v>
      </c>
      <c r="AA16" t="e">
        <v>#DIV/0!</v>
      </c>
      <c r="AB16" t="e">
        <v>#DIV/0!</v>
      </c>
      <c r="AC16" t="e">
        <v>#DIV/0!</v>
      </c>
      <c r="AD16" t="e">
        <v>#DIV/0!</v>
      </c>
      <c r="AE16" t="e">
        <v>#DIV/0!</v>
      </c>
      <c r="AF16" t="e">
        <v>#DIV/0!</v>
      </c>
      <c r="AG16" t="e">
        <v>#DIV/0!</v>
      </c>
      <c r="AH16" t="e">
        <v>#DIV/0!</v>
      </c>
      <c r="AI16">
        <v>2.5380790852192893E-2</v>
      </c>
      <c r="AJ16">
        <v>5.3387711080807275E-2</v>
      </c>
      <c r="AK16">
        <v>8.239865718695269E-3</v>
      </c>
      <c r="AL16">
        <v>3.4830017170371E-2</v>
      </c>
      <c r="AM16">
        <v>1.5204886641088048E-2</v>
      </c>
      <c r="AN16">
        <v>1.7803619511519733E-2</v>
      </c>
    </row>
    <row r="17" spans="1:40" x14ac:dyDescent="0.25">
      <c r="A17">
        <v>61</v>
      </c>
      <c r="B17" t="s">
        <v>39</v>
      </c>
      <c r="C17">
        <v>0</v>
      </c>
      <c r="D17" t="e">
        <v>#DIV/0!</v>
      </c>
      <c r="E17" t="e">
        <v>#DIV/0!</v>
      </c>
      <c r="F17" t="e">
        <v>#DIV/0!</v>
      </c>
      <c r="G17" t="e">
        <v>#DIV/0!</v>
      </c>
      <c r="H17" t="e">
        <v>#DIV/0!</v>
      </c>
      <c r="I17">
        <v>2.419310022683191E-2</v>
      </c>
      <c r="J17">
        <v>2.1466231663272415E-2</v>
      </c>
      <c r="K17">
        <v>1.2249627761976181E-2</v>
      </c>
      <c r="L17">
        <v>7.9778027279683462E-3</v>
      </c>
      <c r="M17" t="e">
        <v>#DIV/0!</v>
      </c>
      <c r="N17" t="e">
        <v>#DIV/0!</v>
      </c>
      <c r="O17" t="e">
        <v>#DIV/0!</v>
      </c>
      <c r="P17">
        <v>2.9886770179640113E-3</v>
      </c>
      <c r="Q17">
        <v>2.4053491444041334E-3</v>
      </c>
      <c r="R17">
        <v>3.0662566135716163E-2</v>
      </c>
      <c r="S17">
        <v>4.9265044056938698E-2</v>
      </c>
      <c r="T17">
        <v>3.0033658797382335E-2</v>
      </c>
      <c r="U17">
        <v>0.11054927557205467</v>
      </c>
      <c r="V17">
        <v>0.11996837826807555</v>
      </c>
      <c r="W17" t="e">
        <v>#DIV/0!</v>
      </c>
      <c r="X17" t="e">
        <v>#DIV/0!</v>
      </c>
      <c r="Y17" t="e">
        <v>#DIV/0!</v>
      </c>
      <c r="Z17" t="e">
        <v>#DIV/0!</v>
      </c>
      <c r="AA17" t="e">
        <v>#DIV/0!</v>
      </c>
      <c r="AB17" t="e">
        <v>#DIV/0!</v>
      </c>
      <c r="AC17" t="e">
        <v>#DIV/0!</v>
      </c>
      <c r="AD17" t="e">
        <v>#DIV/0!</v>
      </c>
      <c r="AE17" t="e">
        <v>#DIV/0!</v>
      </c>
      <c r="AF17" t="e">
        <v>#DIV/0!</v>
      </c>
      <c r="AG17" t="e">
        <v>#DIV/0!</v>
      </c>
      <c r="AH17" t="e">
        <v>#DIV/0!</v>
      </c>
      <c r="AI17">
        <v>1.472806982864534E-2</v>
      </c>
      <c r="AJ17">
        <v>2.9051585555205067E-2</v>
      </c>
      <c r="AK17">
        <v>5.2923696028415821E-3</v>
      </c>
      <c r="AL17">
        <v>1.7763721891707412E-2</v>
      </c>
      <c r="AM17">
        <v>8.5119461297973806E-3</v>
      </c>
      <c r="AN17">
        <v>1.0300800271127815E-2</v>
      </c>
    </row>
    <row r="18" spans="1:40" x14ac:dyDescent="0.25">
      <c r="B18" t="s">
        <v>40</v>
      </c>
      <c r="C18">
        <v>0</v>
      </c>
      <c r="D18" t="e">
        <v>#DIV/0!</v>
      </c>
      <c r="E18" t="e">
        <v>#DIV/0!</v>
      </c>
      <c r="F18" t="e">
        <v>#DIV/0!</v>
      </c>
      <c r="G18" t="e">
        <v>#DIV/0!</v>
      </c>
      <c r="H18" t="e">
        <v>#DIV/0!</v>
      </c>
      <c r="I18">
        <v>2.1411565876995726E-2</v>
      </c>
      <c r="J18">
        <v>1.7722614944880002E-2</v>
      </c>
      <c r="K18">
        <v>1.0701893413191711E-2</v>
      </c>
      <c r="L18">
        <v>7.5618484872211336E-3</v>
      </c>
      <c r="M18" t="e">
        <v>#DIV/0!</v>
      </c>
      <c r="N18" t="e">
        <v>#DIV/0!</v>
      </c>
      <c r="O18" t="e">
        <v>#DIV/0!</v>
      </c>
      <c r="P18">
        <v>2.6676179982712232E-3</v>
      </c>
      <c r="Q18">
        <v>2.2229462883898107E-3</v>
      </c>
      <c r="R18">
        <v>2.533235855587283E-2</v>
      </c>
      <c r="S18">
        <v>4.1004911854884155E-2</v>
      </c>
      <c r="T18">
        <v>2.2301948387130687E-2</v>
      </c>
      <c r="U18">
        <v>0.10151008521623421</v>
      </c>
      <c r="V18">
        <v>0.12059273574732218</v>
      </c>
      <c r="W18" t="e">
        <v>#DIV/0!</v>
      </c>
      <c r="X18" t="e">
        <v>#DIV/0!</v>
      </c>
      <c r="Y18" t="e">
        <v>#DIV/0!</v>
      </c>
      <c r="Z18" t="e">
        <v>#DIV/0!</v>
      </c>
      <c r="AA18" t="e">
        <v>#DIV/0!</v>
      </c>
      <c r="AB18" t="e">
        <v>#DIV/0!</v>
      </c>
      <c r="AC18" t="e">
        <v>#DIV/0!</v>
      </c>
      <c r="AD18" t="e">
        <v>#DIV/0!</v>
      </c>
      <c r="AE18" t="e">
        <v>#DIV/0!</v>
      </c>
      <c r="AF18" t="e">
        <v>#DIV/0!</v>
      </c>
      <c r="AG18" t="e">
        <v>#DIV/0!</v>
      </c>
      <c r="AH18" t="e">
        <v>#DIV/0!</v>
      </c>
      <c r="AI18">
        <v>1.1669719731099126E-2</v>
      </c>
      <c r="AJ18">
        <v>2.1277904993161813E-2</v>
      </c>
      <c r="AK18">
        <v>4.6774974125331535E-3</v>
      </c>
      <c r="AL18">
        <v>1.6429160647280557E-2</v>
      </c>
      <c r="AM18">
        <v>8.826157833295472E-3</v>
      </c>
      <c r="AN18" t="e">
        <v>#DIV/0!</v>
      </c>
    </row>
    <row r="19" spans="1:40" x14ac:dyDescent="0.25">
      <c r="B19" t="s">
        <v>41</v>
      </c>
      <c r="C19">
        <v>0</v>
      </c>
      <c r="D19" t="e">
        <v>#DIV/0!</v>
      </c>
      <c r="E19" t="e">
        <v>#DIV/0!</v>
      </c>
      <c r="F19" t="e">
        <v>#DIV/0!</v>
      </c>
      <c r="G19" t="e">
        <v>#DIV/0!</v>
      </c>
      <c r="H19" t="e">
        <v>#DIV/0!</v>
      </c>
      <c r="I19">
        <v>3.872471945238349E-2</v>
      </c>
      <c r="J19">
        <v>2.8550405053312189E-2</v>
      </c>
      <c r="K19">
        <v>1.6144350846157677E-2</v>
      </c>
      <c r="L19">
        <v>1.1053024809469059E-2</v>
      </c>
      <c r="M19" t="e">
        <v>#DIV/0!</v>
      </c>
      <c r="N19" t="e">
        <v>#DIV/0!</v>
      </c>
      <c r="O19" t="e">
        <v>#DIV/0!</v>
      </c>
      <c r="P19">
        <v>3.508172115546937E-3</v>
      </c>
      <c r="Q19">
        <v>2.9488537541775533E-3</v>
      </c>
      <c r="R19">
        <v>4.2298268114683332E-2</v>
      </c>
      <c r="S19">
        <v>7.0940027943188738E-2</v>
      </c>
      <c r="T19">
        <v>3.1238647687729132E-2</v>
      </c>
      <c r="U19">
        <v>0.11128512085599157</v>
      </c>
      <c r="V19">
        <v>0.10527258679332185</v>
      </c>
      <c r="W19" t="e">
        <v>#DIV/0!</v>
      </c>
      <c r="X19" t="e">
        <v>#DIV/0!</v>
      </c>
      <c r="Y19" t="e">
        <v>#DIV/0!</v>
      </c>
      <c r="Z19" t="e">
        <v>#DIV/0!</v>
      </c>
      <c r="AA19" t="e">
        <v>#DIV/0!</v>
      </c>
      <c r="AB19" t="e">
        <v>#DIV/0!</v>
      </c>
      <c r="AC19" t="e">
        <v>#DIV/0!</v>
      </c>
      <c r="AD19" t="e">
        <v>#DIV/0!</v>
      </c>
      <c r="AE19" t="e">
        <v>#DIV/0!</v>
      </c>
      <c r="AF19" t="e">
        <v>#DIV/0!</v>
      </c>
      <c r="AG19" t="e">
        <v>#DIV/0!</v>
      </c>
      <c r="AH19" t="e">
        <v>#DIV/0!</v>
      </c>
      <c r="AI19">
        <v>2.1000259121207777E-2</v>
      </c>
      <c r="AJ19">
        <v>4.1466607223039929E-2</v>
      </c>
      <c r="AK19">
        <v>5.3547899755178128E-3</v>
      </c>
      <c r="AL19">
        <v>1.8872012835119679E-2</v>
      </c>
      <c r="AM19">
        <v>8.7113785738248389E-3</v>
      </c>
      <c r="AN19" t="e">
        <v>#DIV/0!</v>
      </c>
    </row>
    <row r="20" spans="1:40" x14ac:dyDescent="0.25">
      <c r="A20">
        <v>73</v>
      </c>
      <c r="B20" t="s">
        <v>39</v>
      </c>
      <c r="C20">
        <v>0</v>
      </c>
      <c r="D20" t="e">
        <v>#DIV/0!</v>
      </c>
      <c r="E20" t="e">
        <v>#DIV/0!</v>
      </c>
      <c r="F20" t="e">
        <v>#DIV/0!</v>
      </c>
      <c r="G20" t="e">
        <v>#DIV/0!</v>
      </c>
      <c r="H20" t="e">
        <v>#DIV/0!</v>
      </c>
      <c r="I20">
        <v>4.7380758821083058E-2</v>
      </c>
      <c r="J20">
        <v>3.4119103165483847E-2</v>
      </c>
      <c r="K20">
        <v>1.8805285274516418E-2</v>
      </c>
      <c r="L20" t="e">
        <v>#DIV/0!</v>
      </c>
      <c r="M20" t="e">
        <v>#DIV/0!</v>
      </c>
      <c r="N20" t="e">
        <v>#DIV/0!</v>
      </c>
      <c r="O20" t="e">
        <v>#DIV/0!</v>
      </c>
      <c r="P20" t="e">
        <v>#DIV/0!</v>
      </c>
      <c r="Q20">
        <v>5.0392774941044483E-3</v>
      </c>
      <c r="R20">
        <v>5.338246484762571E-2</v>
      </c>
      <c r="S20">
        <v>9.6631449859525848E-2</v>
      </c>
      <c r="T20">
        <v>3.8388281373031401E-2</v>
      </c>
      <c r="U20">
        <v>0.16365824534602749</v>
      </c>
      <c r="V20">
        <v>0.1070106395423702</v>
      </c>
      <c r="W20" t="e">
        <v>#DIV/0!</v>
      </c>
      <c r="X20" t="e">
        <v>#DIV/0!</v>
      </c>
      <c r="Y20" t="e">
        <v>#DIV/0!</v>
      </c>
      <c r="Z20" t="e">
        <v>#DIV/0!</v>
      </c>
      <c r="AA20" t="e">
        <v>#DIV/0!</v>
      </c>
      <c r="AB20" t="e">
        <v>#DIV/0!</v>
      </c>
      <c r="AC20" t="e">
        <v>#DIV/0!</v>
      </c>
      <c r="AD20" t="e">
        <v>#DIV/0!</v>
      </c>
      <c r="AE20" t="e">
        <v>#DIV/0!</v>
      </c>
      <c r="AF20" t="e">
        <v>#DIV/0!</v>
      </c>
      <c r="AG20" t="e">
        <v>#DIV/0!</v>
      </c>
      <c r="AH20" t="e">
        <v>#DIV/0!</v>
      </c>
      <c r="AI20">
        <v>3.1547334305036256E-2</v>
      </c>
      <c r="AJ20">
        <v>5.7926576894695124E-2</v>
      </c>
      <c r="AK20">
        <v>7.2563876996697193E-3</v>
      </c>
      <c r="AL20">
        <v>1.1757297317736086E-2</v>
      </c>
      <c r="AM20" t="e">
        <v>#DIV/0!</v>
      </c>
      <c r="AN20" t="e">
        <v>#DIV/0!</v>
      </c>
    </row>
    <row r="21" spans="1:40" x14ac:dyDescent="0.25">
      <c r="B21" t="s">
        <v>40</v>
      </c>
      <c r="C21">
        <v>0</v>
      </c>
      <c r="D21" t="e">
        <v>#DIV/0!</v>
      </c>
      <c r="E21" t="e">
        <v>#DIV/0!</v>
      </c>
      <c r="F21" t="e">
        <v>#DIV/0!</v>
      </c>
      <c r="G21" t="e">
        <v>#DIV/0!</v>
      </c>
      <c r="H21" t="e">
        <v>#DIV/0!</v>
      </c>
      <c r="I21">
        <v>4.9164988370592855E-2</v>
      </c>
      <c r="J21">
        <v>4.23309023353537E-2</v>
      </c>
      <c r="K21">
        <v>2.0153163809742872E-2</v>
      </c>
      <c r="L21" t="e">
        <v>#DIV/0!</v>
      </c>
      <c r="M21" t="e">
        <v>#DIV/0!</v>
      </c>
      <c r="N21" t="e">
        <v>#DIV/0!</v>
      </c>
      <c r="O21" t="e">
        <v>#DIV/0!</v>
      </c>
      <c r="P21" t="e">
        <v>#DIV/0!</v>
      </c>
      <c r="Q21">
        <v>4.6662846450654279E-3</v>
      </c>
      <c r="R21">
        <v>5.7828065567123207E-2</v>
      </c>
      <c r="S21">
        <v>0.10476305160285825</v>
      </c>
      <c r="T21">
        <v>5.3184775800771349E-2</v>
      </c>
      <c r="U21">
        <v>0.14959720231297122</v>
      </c>
      <c r="V21" t="e">
        <v>#DIV/0!</v>
      </c>
      <c r="W21" t="e">
        <v>#DIV/0!</v>
      </c>
      <c r="X21" t="e">
        <v>#DIV/0!</v>
      </c>
      <c r="Y21" t="e">
        <v>#DIV/0!</v>
      </c>
      <c r="Z21" t="e">
        <v>#DIV/0!</v>
      </c>
      <c r="AA21" t="e">
        <v>#DIV/0!</v>
      </c>
      <c r="AB21" t="e">
        <v>#DIV/0!</v>
      </c>
      <c r="AC21" t="e">
        <v>#DIV/0!</v>
      </c>
      <c r="AD21" t="e">
        <v>#DIV/0!</v>
      </c>
      <c r="AE21" t="e">
        <v>#DIV/0!</v>
      </c>
      <c r="AF21" t="e">
        <v>#DIV/0!</v>
      </c>
      <c r="AG21" t="e">
        <v>#DIV/0!</v>
      </c>
      <c r="AH21" t="e">
        <v>#DIV/0!</v>
      </c>
      <c r="AI21">
        <v>2.7379446303612758E-2</v>
      </c>
      <c r="AJ21">
        <v>5.4962198429128625E-2</v>
      </c>
      <c r="AK21">
        <v>8.6429479474769769E-3</v>
      </c>
      <c r="AL21">
        <v>1.0507127633997804E-2</v>
      </c>
      <c r="AM21" t="e">
        <v>#DIV/0!</v>
      </c>
      <c r="AN21" t="e">
        <v>#DIV/0!</v>
      </c>
    </row>
    <row r="22" spans="1:40" x14ac:dyDescent="0.25">
      <c r="B22" t="s">
        <v>41</v>
      </c>
      <c r="C22">
        <v>0</v>
      </c>
      <c r="D22" t="e">
        <v>#DIV/0!</v>
      </c>
      <c r="E22" t="e">
        <v>#DIV/0!</v>
      </c>
      <c r="F22" t="e">
        <v>#DIV/0!</v>
      </c>
      <c r="G22" t="e">
        <v>#DIV/0!</v>
      </c>
      <c r="H22" t="e">
        <v>#DIV/0!</v>
      </c>
      <c r="I22">
        <v>6.3068575355709561E-2</v>
      </c>
      <c r="J22">
        <v>3.8458733566064641E-2</v>
      </c>
      <c r="K22">
        <v>2.1428304052413045E-2</v>
      </c>
      <c r="L22" t="e">
        <v>#DIV/0!</v>
      </c>
      <c r="M22" t="e">
        <v>#DIV/0!</v>
      </c>
      <c r="N22" t="e">
        <v>#DIV/0!</v>
      </c>
      <c r="O22" t="e">
        <v>#DIV/0!</v>
      </c>
      <c r="P22" t="e">
        <v>#DIV/0!</v>
      </c>
      <c r="Q22">
        <v>4.7270710085579896E-3</v>
      </c>
      <c r="R22">
        <v>5.9240262786181948E-2</v>
      </c>
      <c r="S22">
        <v>0.10594631315454905</v>
      </c>
      <c r="T22">
        <v>4.2322214638841144E-2</v>
      </c>
      <c r="U22" t="e">
        <v>#DIV/0!</v>
      </c>
      <c r="V22" t="e">
        <v>#DIV/0!</v>
      </c>
      <c r="W22" t="e">
        <v>#DIV/0!</v>
      </c>
      <c r="X22" t="e">
        <v>#DIV/0!</v>
      </c>
      <c r="Y22" t="e">
        <v>#DIV/0!</v>
      </c>
      <c r="Z22" t="e">
        <v>#DIV/0!</v>
      </c>
      <c r="AA22" t="e">
        <v>#DIV/0!</v>
      </c>
      <c r="AB22" t="e">
        <v>#DIV/0!</v>
      </c>
      <c r="AC22" t="e">
        <v>#DIV/0!</v>
      </c>
      <c r="AD22" t="e">
        <v>#DIV/0!</v>
      </c>
      <c r="AE22" t="e">
        <v>#DIV/0!</v>
      </c>
      <c r="AF22" t="e">
        <v>#DIV/0!</v>
      </c>
      <c r="AG22" t="e">
        <v>#DIV/0!</v>
      </c>
      <c r="AH22" t="e">
        <v>#DIV/0!</v>
      </c>
      <c r="AI22">
        <v>3.1328980007960049E-2</v>
      </c>
      <c r="AJ22">
        <v>5.6285227344634571E-2</v>
      </c>
      <c r="AK22">
        <v>5.9236220230745127E-3</v>
      </c>
      <c r="AL22" t="e">
        <v>#DIV/0!</v>
      </c>
      <c r="AM22" t="e">
        <v>#DIV/0!</v>
      </c>
      <c r="AN22" t="e">
        <v>#DIV/0!</v>
      </c>
    </row>
    <row r="23" spans="1:40" x14ac:dyDescent="0.25">
      <c r="A23">
        <v>101</v>
      </c>
      <c r="B23" t="s">
        <v>39</v>
      </c>
      <c r="C23">
        <v>0</v>
      </c>
      <c r="D23" t="e">
        <v>#DIV/0!</v>
      </c>
      <c r="E23" t="e">
        <v>#DIV/0!</v>
      </c>
      <c r="F23" t="e">
        <v>#DIV/0!</v>
      </c>
      <c r="G23" t="e">
        <v>#DIV/0!</v>
      </c>
      <c r="H23" t="e">
        <v>#DIV/0!</v>
      </c>
      <c r="I23">
        <v>7.0437701253075802E-2</v>
      </c>
      <c r="J23" t="e">
        <v>#DIV/0!</v>
      </c>
      <c r="K23" t="e">
        <v>#DIV/0!</v>
      </c>
      <c r="L23" t="e">
        <v>#DIV/0!</v>
      </c>
      <c r="M23" t="e">
        <v>#DIV/0!</v>
      </c>
      <c r="N23" t="e">
        <v>#DIV/0!</v>
      </c>
      <c r="O23" t="e">
        <v>#DIV/0!</v>
      </c>
      <c r="P23" t="e">
        <v>#DIV/0!</v>
      </c>
      <c r="Q23">
        <v>8.281626171963534E-3</v>
      </c>
      <c r="R23">
        <v>8.6536574502866601E-2</v>
      </c>
      <c r="S23">
        <v>0.14517774688535218</v>
      </c>
      <c r="T23">
        <v>6.6172251449784086E-2</v>
      </c>
      <c r="U23" t="e">
        <v>#DIV/0!</v>
      </c>
      <c r="V23" t="e">
        <v>#DIV/0!</v>
      </c>
      <c r="W23" t="e">
        <v>#DIV/0!</v>
      </c>
      <c r="X23" t="e">
        <v>#DIV/0!</v>
      </c>
      <c r="Y23" t="e">
        <v>#DIV/0!</v>
      </c>
      <c r="Z23" t="e">
        <v>#DIV/0!</v>
      </c>
      <c r="AA23" t="e">
        <v>#DIV/0!</v>
      </c>
      <c r="AB23" t="e">
        <v>#DIV/0!</v>
      </c>
      <c r="AC23" t="e">
        <v>#DIV/0!</v>
      </c>
      <c r="AD23" t="e">
        <v>#DIV/0!</v>
      </c>
      <c r="AE23" t="e">
        <v>#DIV/0!</v>
      </c>
      <c r="AF23" t="e">
        <v>#DIV/0!</v>
      </c>
      <c r="AG23" t="e">
        <v>#DIV/0!</v>
      </c>
      <c r="AH23" t="e">
        <v>#DIV/0!</v>
      </c>
      <c r="AI23">
        <v>3.8392384246616652E-2</v>
      </c>
      <c r="AJ23">
        <v>7.2588797043787942E-2</v>
      </c>
      <c r="AK23">
        <v>8.3826690389376436E-3</v>
      </c>
      <c r="AL23" t="e">
        <v>#DIV/0!</v>
      </c>
      <c r="AM23" t="e">
        <v>#DIV/0!</v>
      </c>
      <c r="AN23" t="e">
        <v>#DIV/0!</v>
      </c>
    </row>
    <row r="24" spans="1:40" x14ac:dyDescent="0.25">
      <c r="B24" t="s">
        <v>40</v>
      </c>
      <c r="C24">
        <v>0</v>
      </c>
      <c r="D24" t="e">
        <v>#DIV/0!</v>
      </c>
      <c r="E24" t="e">
        <v>#DIV/0!</v>
      </c>
      <c r="F24" t="e">
        <v>#DIV/0!</v>
      </c>
      <c r="G24" t="e">
        <v>#DIV/0!</v>
      </c>
      <c r="H24" t="e">
        <v>#DIV/0!</v>
      </c>
      <c r="I24">
        <v>5.8529442962580475E-2</v>
      </c>
      <c r="J24" t="e">
        <v>#DIV/0!</v>
      </c>
      <c r="K24" t="e">
        <v>#DIV/0!</v>
      </c>
      <c r="L24" t="e">
        <v>#DIV/0!</v>
      </c>
      <c r="M24" t="e">
        <v>#DIV/0!</v>
      </c>
      <c r="N24" t="e">
        <v>#DIV/0!</v>
      </c>
      <c r="O24" t="e">
        <v>#DIV/0!</v>
      </c>
      <c r="P24" t="e">
        <v>#DIV/0!</v>
      </c>
      <c r="Q24" t="e">
        <v>#DIV/0!</v>
      </c>
      <c r="R24">
        <v>6.4921809410372538E-2</v>
      </c>
      <c r="S24">
        <v>9.83580567819618E-2</v>
      </c>
      <c r="T24">
        <v>5.5025417855707033E-2</v>
      </c>
      <c r="U24" t="e">
        <v>#DIV/0!</v>
      </c>
      <c r="V24" t="e">
        <v>#DIV/0!</v>
      </c>
      <c r="W24" t="e">
        <v>#DIV/0!</v>
      </c>
      <c r="X24" t="e">
        <v>#DIV/0!</v>
      </c>
      <c r="Y24" t="e">
        <v>#DIV/0!</v>
      </c>
      <c r="Z24" t="e">
        <v>#DIV/0!</v>
      </c>
      <c r="AA24" t="e">
        <v>#DIV/0!</v>
      </c>
      <c r="AB24" t="e">
        <v>#DIV/0!</v>
      </c>
      <c r="AC24" t="e">
        <v>#DIV/0!</v>
      </c>
      <c r="AD24" t="e">
        <v>#DIV/0!</v>
      </c>
      <c r="AE24" t="e">
        <v>#DIV/0!</v>
      </c>
      <c r="AF24" t="e">
        <v>#DIV/0!</v>
      </c>
      <c r="AG24" t="e">
        <v>#DIV/0!</v>
      </c>
      <c r="AH24" t="e">
        <v>#DIV/0!</v>
      </c>
      <c r="AI24">
        <v>2.9612507495228011E-2</v>
      </c>
      <c r="AJ24">
        <v>4.8480279333312032E-2</v>
      </c>
      <c r="AK24">
        <v>6.55013309216829E-3</v>
      </c>
      <c r="AL24" t="e">
        <v>#DIV/0!</v>
      </c>
      <c r="AM24" t="e">
        <v>#DIV/0!</v>
      </c>
      <c r="AN24" t="e">
        <v>#DIV/0!</v>
      </c>
    </row>
    <row r="25" spans="1:40" x14ac:dyDescent="0.25">
      <c r="B25" t="s">
        <v>41</v>
      </c>
      <c r="C25">
        <v>0</v>
      </c>
      <c r="D25" t="e">
        <v>#DIV/0!</v>
      </c>
      <c r="E25" t="e">
        <v>#DIV/0!</v>
      </c>
      <c r="F25" t="e">
        <v>#DIV/0!</v>
      </c>
      <c r="G25" t="e">
        <v>#DIV/0!</v>
      </c>
      <c r="H25" t="e">
        <v>#DIV/0!</v>
      </c>
      <c r="I25">
        <v>6.3009969231840032E-2</v>
      </c>
      <c r="J25" t="e">
        <v>#DIV/0!</v>
      </c>
      <c r="K25" t="e">
        <v>#DIV/0!</v>
      </c>
      <c r="L25" t="e">
        <v>#DIV/0!</v>
      </c>
      <c r="M25" t="e">
        <v>#DIV/0!</v>
      </c>
      <c r="N25" t="e">
        <v>#DIV/0!</v>
      </c>
      <c r="O25" t="e">
        <v>#DIV/0!</v>
      </c>
      <c r="P25" t="e">
        <v>#DIV/0!</v>
      </c>
      <c r="Q25" t="e">
        <v>#DIV/0!</v>
      </c>
      <c r="R25">
        <v>6.2942617503351853E-2</v>
      </c>
      <c r="S25">
        <v>9.907176141325226E-2</v>
      </c>
      <c r="T25">
        <v>5.6282158027268568E-2</v>
      </c>
      <c r="U25" t="e">
        <v>#DIV/0!</v>
      </c>
      <c r="V25" t="e">
        <v>#DIV/0!</v>
      </c>
      <c r="W25" t="e">
        <v>#DIV/0!</v>
      </c>
      <c r="X25" t="e">
        <v>#DIV/0!</v>
      </c>
      <c r="Y25" t="e">
        <v>#DIV/0!</v>
      </c>
      <c r="Z25" t="e">
        <v>#DIV/0!</v>
      </c>
      <c r="AA25" t="e">
        <v>#DIV/0!</v>
      </c>
      <c r="AB25" t="e">
        <v>#DIV/0!</v>
      </c>
      <c r="AC25" t="e">
        <v>#DIV/0!</v>
      </c>
      <c r="AD25" t="e">
        <v>#DIV/0!</v>
      </c>
      <c r="AE25" t="e">
        <v>#DIV/0!</v>
      </c>
      <c r="AF25" t="e">
        <v>#DIV/0!</v>
      </c>
      <c r="AG25" t="e">
        <v>#DIV/0!</v>
      </c>
      <c r="AH25" t="e">
        <v>#DIV/0!</v>
      </c>
      <c r="AI25">
        <v>2.794715092135271E-2</v>
      </c>
      <c r="AJ25">
        <v>4.7163497434097354E-2</v>
      </c>
      <c r="AK25">
        <v>5.9857393797304584E-3</v>
      </c>
      <c r="AL25" t="e">
        <v>#DIV/0!</v>
      </c>
      <c r="AM25" t="e">
        <v>#DIV/0!</v>
      </c>
      <c r="AN25" t="e">
        <v>#DIV/0!</v>
      </c>
    </row>
    <row r="26" spans="1:40" x14ac:dyDescent="0.25">
      <c r="A26">
        <v>136</v>
      </c>
      <c r="B26" t="s">
        <v>39</v>
      </c>
      <c r="C26">
        <v>0</v>
      </c>
      <c r="D26" t="e">
        <v>#DIV/0!</v>
      </c>
      <c r="E26" t="e">
        <v>#DIV/0!</v>
      </c>
      <c r="F26" t="e">
        <v>#DIV/0!</v>
      </c>
      <c r="G26" t="e">
        <v>#DIV/0!</v>
      </c>
      <c r="H26" t="e">
        <v>#DIV/0!</v>
      </c>
      <c r="I26" t="e">
        <v>#DIV/0!</v>
      </c>
      <c r="J26" t="e">
        <v>#DIV/0!</v>
      </c>
      <c r="K26" t="e">
        <v>#DIV/0!</v>
      </c>
      <c r="L26" t="e">
        <v>#DIV/0!</v>
      </c>
      <c r="M26" t="e">
        <v>#DIV/0!</v>
      </c>
      <c r="N26" t="e">
        <v>#DIV/0!</v>
      </c>
      <c r="O26" t="e">
        <v>#DIV/0!</v>
      </c>
      <c r="P26" t="e">
        <v>#DIV/0!</v>
      </c>
      <c r="Q26" t="e">
        <v>#DIV/0!</v>
      </c>
      <c r="R26">
        <v>4.0862515140566665E-2</v>
      </c>
      <c r="S26">
        <v>5.2384294669376781E-2</v>
      </c>
      <c r="T26">
        <v>4.4285143389581942E-2</v>
      </c>
      <c r="U26" t="e">
        <v>#DIV/0!</v>
      </c>
      <c r="V26" t="e">
        <v>#DIV/0!</v>
      </c>
      <c r="W26" t="e">
        <v>#DIV/0!</v>
      </c>
      <c r="X26" t="e">
        <v>#DIV/0!</v>
      </c>
      <c r="Y26" t="e">
        <v>#DIV/0!</v>
      </c>
      <c r="Z26" t="e">
        <v>#DIV/0!</v>
      </c>
      <c r="AA26" t="e">
        <v>#DIV/0!</v>
      </c>
      <c r="AB26" t="e">
        <v>#DIV/0!</v>
      </c>
      <c r="AC26" t="e">
        <v>#DIV/0!</v>
      </c>
      <c r="AD26" t="e">
        <v>#DIV/0!</v>
      </c>
      <c r="AE26" t="e">
        <v>#DIV/0!</v>
      </c>
      <c r="AF26" t="e">
        <v>#DIV/0!</v>
      </c>
      <c r="AG26" t="e">
        <v>#DIV/0!</v>
      </c>
      <c r="AH26" t="e">
        <v>#DIV/0!</v>
      </c>
      <c r="AI26">
        <v>1.9719917949623744E-2</v>
      </c>
      <c r="AJ26">
        <v>2.1820657032983568E-2</v>
      </c>
      <c r="AK26">
        <v>3.624725571754943E-3</v>
      </c>
      <c r="AL26" t="e">
        <v>#DIV/0!</v>
      </c>
      <c r="AM26" t="e">
        <v>#DIV/0!</v>
      </c>
      <c r="AN26" t="e">
        <v>#DIV/0!</v>
      </c>
    </row>
    <row r="27" spans="1:40" x14ac:dyDescent="0.25">
      <c r="B27" t="s">
        <v>40</v>
      </c>
      <c r="C27">
        <v>0</v>
      </c>
      <c r="D27" t="e">
        <v>#DIV/0!</v>
      </c>
      <c r="E27" t="e">
        <v>#DIV/0!</v>
      </c>
      <c r="F27" t="e">
        <v>#DIV/0!</v>
      </c>
      <c r="G27" t="e">
        <v>#DIV/0!</v>
      </c>
      <c r="H27" t="e">
        <v>#DIV/0!</v>
      </c>
      <c r="I27" t="e">
        <v>#DIV/0!</v>
      </c>
      <c r="J27" t="e">
        <v>#DIV/0!</v>
      </c>
      <c r="K27" t="e">
        <v>#DIV/0!</v>
      </c>
      <c r="L27" t="e">
        <v>#DIV/0!</v>
      </c>
      <c r="M27" t="e">
        <v>#DIV/0!</v>
      </c>
      <c r="N27" t="e">
        <v>#DIV/0!</v>
      </c>
      <c r="O27" t="e">
        <v>#DIV/0!</v>
      </c>
      <c r="P27" t="e">
        <v>#DIV/0!</v>
      </c>
      <c r="Q27" t="e">
        <v>#DIV/0!</v>
      </c>
      <c r="R27">
        <v>3.5500483889906738E-2</v>
      </c>
      <c r="S27">
        <v>4.3501433991875699E-2</v>
      </c>
      <c r="T27" t="e">
        <v>#DIV/0!</v>
      </c>
      <c r="U27" t="e">
        <v>#DIV/0!</v>
      </c>
      <c r="V27" t="e">
        <v>#DIV/0!</v>
      </c>
      <c r="W27" t="e">
        <v>#DIV/0!</v>
      </c>
      <c r="X27" t="e">
        <v>#DIV/0!</v>
      </c>
      <c r="Y27" t="e">
        <v>#DIV/0!</v>
      </c>
      <c r="Z27" t="e">
        <v>#DIV/0!</v>
      </c>
      <c r="AA27" t="e">
        <v>#DIV/0!</v>
      </c>
      <c r="AB27" t="e">
        <v>#DIV/0!</v>
      </c>
      <c r="AC27" t="e">
        <v>#DIV/0!</v>
      </c>
      <c r="AD27" t="e">
        <v>#DIV/0!</v>
      </c>
      <c r="AE27" t="e">
        <v>#DIV/0!</v>
      </c>
      <c r="AF27" t="e">
        <v>#DIV/0!</v>
      </c>
      <c r="AG27" t="e">
        <v>#DIV/0!</v>
      </c>
      <c r="AH27" t="e">
        <v>#DIV/0!</v>
      </c>
      <c r="AI27">
        <v>1.8500480853694292E-2</v>
      </c>
      <c r="AJ27">
        <v>1.8028828486158013E-2</v>
      </c>
      <c r="AK27">
        <v>4.6967754096797053E-3</v>
      </c>
      <c r="AL27" t="e">
        <v>#DIV/0!</v>
      </c>
      <c r="AM27" t="e">
        <v>#DIV/0!</v>
      </c>
      <c r="AN27" t="e">
        <v>#DIV/0!</v>
      </c>
    </row>
    <row r="28" spans="1:40" x14ac:dyDescent="0.25">
      <c r="B28" t="s">
        <v>41</v>
      </c>
      <c r="C28">
        <v>0</v>
      </c>
      <c r="D28" t="e">
        <v>#DIV/0!</v>
      </c>
      <c r="E28" t="e">
        <v>#DIV/0!</v>
      </c>
      <c r="F28" t="e">
        <v>#DIV/0!</v>
      </c>
      <c r="G28" t="e">
        <v>#DIV/0!</v>
      </c>
      <c r="H28" t="e">
        <v>#DIV/0!</v>
      </c>
      <c r="I28" t="e">
        <v>#DIV/0!</v>
      </c>
      <c r="J28" t="e">
        <v>#DIV/0!</v>
      </c>
      <c r="K28" t="e">
        <v>#DIV/0!</v>
      </c>
      <c r="L28" t="e">
        <v>#DIV/0!</v>
      </c>
      <c r="M28" t="e">
        <v>#DIV/0!</v>
      </c>
      <c r="N28" t="e">
        <v>#DIV/0!</v>
      </c>
      <c r="O28" t="e">
        <v>#DIV/0!</v>
      </c>
      <c r="P28" t="e">
        <v>#DIV/0!</v>
      </c>
      <c r="Q28" t="e">
        <v>#DIV/0!</v>
      </c>
      <c r="R28">
        <v>3.6576492472289342E-2</v>
      </c>
      <c r="S28">
        <v>5.0193979497250678E-2</v>
      </c>
      <c r="T28">
        <v>2.872210636172496E-2</v>
      </c>
      <c r="U28" t="e">
        <v>#DIV/0!</v>
      </c>
      <c r="V28" t="e">
        <v>#DIV/0!</v>
      </c>
      <c r="W28" t="e">
        <v>#DIV/0!</v>
      </c>
      <c r="X28" t="e">
        <v>#DIV/0!</v>
      </c>
      <c r="Y28" t="e">
        <v>#DIV/0!</v>
      </c>
      <c r="Z28" t="e">
        <v>#DIV/0!</v>
      </c>
      <c r="AA28" t="e">
        <v>#DIV/0!</v>
      </c>
      <c r="AB28" t="e">
        <v>#DIV/0!</v>
      </c>
      <c r="AC28" t="e">
        <v>#DIV/0!</v>
      </c>
      <c r="AD28" t="e">
        <v>#DIV/0!</v>
      </c>
      <c r="AE28" t="e">
        <v>#DIV/0!</v>
      </c>
      <c r="AF28" t="e">
        <v>#DIV/0!</v>
      </c>
      <c r="AG28" t="e">
        <v>#DIV/0!</v>
      </c>
      <c r="AH28" t="e">
        <v>#DIV/0!</v>
      </c>
      <c r="AI28">
        <v>1.8208814658273991E-2</v>
      </c>
      <c r="AJ28">
        <v>1.8876318056301671E-2</v>
      </c>
      <c r="AK28">
        <v>3.285106571474081E-3</v>
      </c>
      <c r="AL28" t="e">
        <v>#DIV/0!</v>
      </c>
      <c r="AM28" t="e">
        <v>#DIV/0!</v>
      </c>
      <c r="AN28" t="e">
        <v>#DIV/0!</v>
      </c>
    </row>
    <row r="29" spans="1:40" x14ac:dyDescent="0.25">
      <c r="A29" t="s">
        <v>89</v>
      </c>
      <c r="B29">
        <v>1</v>
      </c>
      <c r="C29">
        <v>0</v>
      </c>
      <c r="D29" t="e">
        <v>#DIV/0!</v>
      </c>
      <c r="E29" t="e">
        <v>#DIV/0!</v>
      </c>
      <c r="F29" t="e">
        <v>#DIV/0!</v>
      </c>
      <c r="G29" t="e">
        <v>#DIV/0!</v>
      </c>
      <c r="H29" t="e">
        <v>#DIV/0!</v>
      </c>
      <c r="I29" t="e">
        <v>#DIV/0!</v>
      </c>
      <c r="J29" t="e">
        <v>#DIV/0!</v>
      </c>
      <c r="K29" t="e">
        <v>#DIV/0!</v>
      </c>
      <c r="L29" t="e">
        <v>#DIV/0!</v>
      </c>
      <c r="M29" t="e">
        <v>#DIV/0!</v>
      </c>
      <c r="N29" t="e">
        <v>#DIV/0!</v>
      </c>
      <c r="O29" t="e">
        <v>#DIV/0!</v>
      </c>
      <c r="P29" t="e">
        <v>#DIV/0!</v>
      </c>
      <c r="Q29" t="e">
        <v>#DIV/0!</v>
      </c>
      <c r="R29" t="e">
        <v>#DIV/0!</v>
      </c>
      <c r="S29" t="e">
        <v>#DIV/0!</v>
      </c>
      <c r="T29" t="e">
        <v>#DIV/0!</v>
      </c>
      <c r="U29" t="e">
        <v>#DIV/0!</v>
      </c>
      <c r="V29" t="e">
        <v>#DIV/0!</v>
      </c>
      <c r="W29" t="e">
        <v>#DIV/0!</v>
      </c>
      <c r="X29" t="e">
        <v>#DIV/0!</v>
      </c>
      <c r="Y29" t="e">
        <v>#DIV/0!</v>
      </c>
      <c r="Z29" t="e">
        <v>#DIV/0!</v>
      </c>
      <c r="AA29" t="e">
        <v>#DIV/0!</v>
      </c>
      <c r="AB29" t="e">
        <v>#DIV/0!</v>
      </c>
      <c r="AC29" t="e">
        <v>#DIV/0!</v>
      </c>
      <c r="AD29" t="e">
        <v>#DIV/0!</v>
      </c>
      <c r="AE29" t="e">
        <v>#DIV/0!</v>
      </c>
      <c r="AF29" t="e">
        <v>#DIV/0!</v>
      </c>
      <c r="AG29" t="e">
        <v>#DIV/0!</v>
      </c>
      <c r="AH29" t="e">
        <v>#DIV/0!</v>
      </c>
      <c r="AI29" t="e">
        <v>#DIV/0!</v>
      </c>
      <c r="AJ29" t="e">
        <v>#DIV/0!</v>
      </c>
      <c r="AK29" t="e">
        <v>#DIV/0!</v>
      </c>
      <c r="AL29" t="e">
        <v>#DIV/0!</v>
      </c>
      <c r="AM29" t="e">
        <v>#DIV/0!</v>
      </c>
      <c r="AN29" t="e">
        <v>#DIV/0!</v>
      </c>
    </row>
    <row r="30" spans="1:40" x14ac:dyDescent="0.25">
      <c r="B30">
        <v>5</v>
      </c>
      <c r="C30">
        <v>0.33061103230005479</v>
      </c>
      <c r="D30">
        <v>0</v>
      </c>
      <c r="E30" t="e">
        <v>#DIV/0!</v>
      </c>
      <c r="F30" t="e">
        <v>#DIV/0!</v>
      </c>
      <c r="G30">
        <v>3.220226190961193E-2</v>
      </c>
      <c r="H30" t="e">
        <v>#DIV/0!</v>
      </c>
      <c r="I30" t="e">
        <v>#DIV/0!</v>
      </c>
      <c r="J30" t="e">
        <v>#DIV/0!</v>
      </c>
      <c r="K30" t="e">
        <v>#DIV/0!</v>
      </c>
      <c r="L30" t="e">
        <v>#DIV/0!</v>
      </c>
      <c r="M30" t="e">
        <v>#DIV/0!</v>
      </c>
      <c r="N30" t="e">
        <v>#DIV/0!</v>
      </c>
      <c r="O30" t="e">
        <v>#DIV/0!</v>
      </c>
      <c r="P30" t="e">
        <v>#DIV/0!</v>
      </c>
      <c r="Q30" t="e">
        <v>#DIV/0!</v>
      </c>
      <c r="R30">
        <v>0.17681341165231337</v>
      </c>
      <c r="S30">
        <v>0.27922644376723355</v>
      </c>
      <c r="T30">
        <v>0.20432633191974578</v>
      </c>
      <c r="U30" t="e">
        <v>#DIV/0!</v>
      </c>
      <c r="V30" t="e">
        <v>#DIV/0!</v>
      </c>
      <c r="W30" t="e">
        <v>#DIV/0!</v>
      </c>
      <c r="X30" t="e">
        <v>#DIV/0!</v>
      </c>
      <c r="Y30" t="e">
        <v>#DIV/0!</v>
      </c>
      <c r="Z30" t="e">
        <v>#DIV/0!</v>
      </c>
      <c r="AA30" t="e">
        <v>#DIV/0!</v>
      </c>
      <c r="AB30" t="e">
        <v>#DIV/0!</v>
      </c>
      <c r="AC30" t="e">
        <v>#DIV/0!</v>
      </c>
      <c r="AD30" t="e">
        <v>#DIV/0!</v>
      </c>
      <c r="AE30" t="e">
        <v>#DIV/0!</v>
      </c>
      <c r="AF30" t="e">
        <v>#DIV/0!</v>
      </c>
      <c r="AG30" t="e">
        <v>#DIV/0!</v>
      </c>
      <c r="AH30" t="e">
        <v>#DIV/0!</v>
      </c>
      <c r="AI30">
        <v>0.10381231367924261</v>
      </c>
      <c r="AJ30">
        <v>0.12409304337109373</v>
      </c>
      <c r="AK30">
        <v>4.5193556187913021E-2</v>
      </c>
      <c r="AL30">
        <v>8.1102881179363387E-2</v>
      </c>
      <c r="AM30">
        <v>3.6150359883923851E-2</v>
      </c>
      <c r="AN30" t="e">
        <v>#DIV/0!</v>
      </c>
    </row>
    <row r="31" spans="1:40" x14ac:dyDescent="0.25">
      <c r="B31">
        <v>17</v>
      </c>
      <c r="C31">
        <v>0.23465875021232011</v>
      </c>
      <c r="D31">
        <v>0</v>
      </c>
      <c r="E31" t="e">
        <v>#DIV/0!</v>
      </c>
      <c r="F31" t="e">
        <v>#DIV/0!</v>
      </c>
      <c r="G31">
        <v>1.5831185909789606E-2</v>
      </c>
      <c r="H31" t="e">
        <v>#DIV/0!</v>
      </c>
      <c r="I31">
        <v>6.413601303187029E-2</v>
      </c>
      <c r="J31" t="e">
        <v>#DIV/0!</v>
      </c>
      <c r="K31">
        <v>2.5352306343035449E-2</v>
      </c>
      <c r="L31">
        <v>7.8767249387845951E-3</v>
      </c>
      <c r="M31" t="e">
        <v>#DIV/0!</v>
      </c>
      <c r="N31" t="e">
        <v>#DIV/0!</v>
      </c>
      <c r="O31" t="e">
        <v>#DIV/0!</v>
      </c>
      <c r="P31">
        <v>5.5355466557344647E-3</v>
      </c>
      <c r="Q31">
        <v>8.2886294819652529E-3</v>
      </c>
      <c r="R31">
        <v>8.096856958081558E-2</v>
      </c>
      <c r="S31">
        <v>0.13208658935495834</v>
      </c>
      <c r="T31">
        <v>8.7494611221091034E-2</v>
      </c>
      <c r="U31">
        <v>0.17396046456941519</v>
      </c>
      <c r="V31">
        <v>0.15832113425291436</v>
      </c>
      <c r="W31" t="e">
        <v>#DIV/0!</v>
      </c>
      <c r="X31" t="e">
        <v>#DIV/0!</v>
      </c>
      <c r="Y31" t="e">
        <v>#DIV/0!</v>
      </c>
      <c r="Z31">
        <v>2.7932462305645708E-2</v>
      </c>
      <c r="AA31" t="e">
        <v>#DIV/0!</v>
      </c>
      <c r="AB31" t="e">
        <v>#DIV/0!</v>
      </c>
      <c r="AC31" t="e">
        <v>#DIV/0!</v>
      </c>
      <c r="AD31" t="e">
        <v>#DIV/0!</v>
      </c>
      <c r="AE31" t="e">
        <v>#DIV/0!</v>
      </c>
      <c r="AF31" t="e">
        <v>#DIV/0!</v>
      </c>
      <c r="AG31" t="e">
        <v>#DIV/0!</v>
      </c>
      <c r="AH31" t="e">
        <v>#DIV/0!</v>
      </c>
      <c r="AI31">
        <v>3.7358484669451429E-2</v>
      </c>
      <c r="AJ31">
        <v>7.6844295356475203E-2</v>
      </c>
      <c r="AK31">
        <v>1.8759962035894234E-2</v>
      </c>
      <c r="AL31">
        <v>4.0422039070424749E-2</v>
      </c>
      <c r="AM31">
        <v>1.7293563540824935E-2</v>
      </c>
      <c r="AN31">
        <v>2.0307759078025161E-2</v>
      </c>
    </row>
    <row r="32" spans="1:40" x14ac:dyDescent="0.25">
      <c r="B32">
        <v>38</v>
      </c>
      <c r="C32">
        <v>0.2075185113322485</v>
      </c>
      <c r="D32">
        <v>0</v>
      </c>
      <c r="E32" t="e">
        <v>#DIV/0!</v>
      </c>
      <c r="F32" t="e">
        <v>#DIV/0!</v>
      </c>
      <c r="G32">
        <v>1.4935768178452847E-2</v>
      </c>
      <c r="H32" t="e">
        <v>#DIV/0!</v>
      </c>
      <c r="I32">
        <v>3.5663533800182431E-2</v>
      </c>
      <c r="J32">
        <v>2.8166386968046232E-2</v>
      </c>
      <c r="K32">
        <v>1.4327136630106499E-2</v>
      </c>
      <c r="L32">
        <v>7.2864444877765193E-3</v>
      </c>
      <c r="M32" t="e">
        <v>#DIV/0!</v>
      </c>
      <c r="N32" t="e">
        <v>#DIV/0!</v>
      </c>
      <c r="O32" t="e">
        <v>#DIV/0!</v>
      </c>
      <c r="P32">
        <v>4.2355945518571213E-3</v>
      </c>
      <c r="Q32">
        <v>3.6034648233929842E-3</v>
      </c>
      <c r="R32">
        <v>4.6192605456384962E-2</v>
      </c>
      <c r="S32">
        <v>7.9019675393491112E-2</v>
      </c>
      <c r="T32">
        <v>4.0820275476455448E-2</v>
      </c>
      <c r="U32">
        <v>0.12444420640726354</v>
      </c>
      <c r="V32">
        <v>0.12187796436991775</v>
      </c>
      <c r="W32" t="e">
        <v>#DIV/0!</v>
      </c>
      <c r="X32" t="e">
        <v>#DIV/0!</v>
      </c>
      <c r="Y32" t="e">
        <v>#DIV/0!</v>
      </c>
      <c r="Z32" t="e">
        <v>#DIV/0!</v>
      </c>
      <c r="AA32" t="e">
        <v>#DIV/0!</v>
      </c>
      <c r="AB32" t="e">
        <v>#DIV/0!</v>
      </c>
      <c r="AC32" t="e">
        <v>#DIV/0!</v>
      </c>
      <c r="AD32" t="e">
        <v>#DIV/0!</v>
      </c>
      <c r="AE32" t="e">
        <v>#DIV/0!</v>
      </c>
      <c r="AF32" t="e">
        <v>#DIV/0!</v>
      </c>
      <c r="AG32" t="e">
        <v>#DIV/0!</v>
      </c>
      <c r="AH32" t="e">
        <v>#DIV/0!</v>
      </c>
      <c r="AI32">
        <v>2.5692412075278961E-2</v>
      </c>
      <c r="AJ32">
        <v>5.2429879876512014E-2</v>
      </c>
      <c r="AK32">
        <v>9.3519050521989455E-3</v>
      </c>
      <c r="AL32">
        <v>2.5519673604284348E-2</v>
      </c>
      <c r="AM32">
        <v>1.031860301835491E-2</v>
      </c>
      <c r="AN32">
        <v>1.2650942529640932E-2</v>
      </c>
    </row>
    <row r="33" spans="2:40" x14ac:dyDescent="0.25">
      <c r="B33">
        <v>57</v>
      </c>
      <c r="C33">
        <v>0.21915554990570996</v>
      </c>
      <c r="D33">
        <v>0</v>
      </c>
      <c r="E33" t="e">
        <v>#DIV/0!</v>
      </c>
      <c r="F33" t="e">
        <v>#DIV/0!</v>
      </c>
      <c r="G33" t="e">
        <v>#DIV/0!</v>
      </c>
      <c r="H33" t="e">
        <v>#DIV/0!</v>
      </c>
      <c r="I33">
        <v>3.1268497637633244E-2</v>
      </c>
      <c r="J33">
        <v>2.3661466390972542E-2</v>
      </c>
      <c r="K33">
        <v>1.5016642843568165E-2</v>
      </c>
      <c r="L33">
        <v>7.4126772315448695E-3</v>
      </c>
      <c r="M33" t="e">
        <v>#DIV/0!</v>
      </c>
      <c r="N33" t="e">
        <v>#DIV/0!</v>
      </c>
      <c r="O33" t="e">
        <v>#DIV/0!</v>
      </c>
      <c r="P33">
        <v>3.8660477072577234E-3</v>
      </c>
      <c r="Q33">
        <v>2.8379394301005362E-3</v>
      </c>
      <c r="R33">
        <v>3.7605673566668836E-2</v>
      </c>
      <c r="S33">
        <v>6.4114850793125136E-2</v>
      </c>
      <c r="T33">
        <v>3.7435109393992853E-2</v>
      </c>
      <c r="U33">
        <v>0.1325915657136558</v>
      </c>
      <c r="V33">
        <v>0.13264869033977908</v>
      </c>
      <c r="W33" t="e">
        <v>#DIV/0!</v>
      </c>
      <c r="X33" t="e">
        <v>#DIV/0!</v>
      </c>
      <c r="Y33" t="e">
        <v>#DIV/0!</v>
      </c>
      <c r="Z33" t="e">
        <v>#DIV/0!</v>
      </c>
      <c r="AA33" t="e">
        <v>#DIV/0!</v>
      </c>
      <c r="AB33" t="e">
        <v>#DIV/0!</v>
      </c>
      <c r="AC33" t="e">
        <v>#DIV/0!</v>
      </c>
      <c r="AD33" t="e">
        <v>#DIV/0!</v>
      </c>
      <c r="AE33" t="e">
        <v>#DIV/0!</v>
      </c>
      <c r="AF33" t="e">
        <v>#DIV/0!</v>
      </c>
      <c r="AG33" t="e">
        <v>#DIV/0!</v>
      </c>
      <c r="AH33" t="e">
        <v>#DIV/0!</v>
      </c>
      <c r="AI33">
        <v>2.1596021122325695E-2</v>
      </c>
      <c r="AJ33">
        <v>4.428561014762103E-2</v>
      </c>
      <c r="AK33">
        <v>8.6560466890180932E-3</v>
      </c>
      <c r="AL33">
        <v>3.143741242623084E-2</v>
      </c>
      <c r="AM33">
        <v>1.4011792784617264E-2</v>
      </c>
      <c r="AN33">
        <v>1.6610994101074913E-2</v>
      </c>
    </row>
    <row r="34" spans="2:40" x14ac:dyDescent="0.25">
      <c r="B34">
        <v>61</v>
      </c>
      <c r="C34">
        <v>0</v>
      </c>
      <c r="D34" t="e">
        <v>#DIV/0!</v>
      </c>
      <c r="E34" t="e">
        <v>#DIV/0!</v>
      </c>
      <c r="F34" t="e">
        <v>#DIV/0!</v>
      </c>
      <c r="G34" t="e">
        <v>#DIV/0!</v>
      </c>
      <c r="H34" t="e">
        <v>#DIV/0!</v>
      </c>
      <c r="I34">
        <v>2.810979518540371E-2</v>
      </c>
      <c r="J34">
        <v>2.2579750553821536E-2</v>
      </c>
      <c r="K34">
        <v>1.3031957340441857E-2</v>
      </c>
      <c r="L34">
        <v>8.8642253415528467E-3</v>
      </c>
      <c r="M34" t="e">
        <v>#DIV/0!</v>
      </c>
      <c r="N34" t="e">
        <v>#DIV/0!</v>
      </c>
      <c r="O34" t="e">
        <v>#DIV/0!</v>
      </c>
      <c r="P34">
        <v>3.0548223772607235E-3</v>
      </c>
      <c r="Q34">
        <v>2.5257163956571658E-3</v>
      </c>
      <c r="R34">
        <v>3.2764397602090774E-2</v>
      </c>
      <c r="S34">
        <v>5.3736661285003866E-2</v>
      </c>
      <c r="T34">
        <v>2.7858084957414053E-2</v>
      </c>
      <c r="U34">
        <v>0.10778149388142681</v>
      </c>
      <c r="V34">
        <v>0.11527790026957319</v>
      </c>
      <c r="W34" t="e">
        <v>#DIV/0!</v>
      </c>
      <c r="X34" t="e">
        <v>#DIV/0!</v>
      </c>
      <c r="Y34" t="e">
        <v>#DIV/0!</v>
      </c>
      <c r="Z34" t="e">
        <v>#DIV/0!</v>
      </c>
      <c r="AA34" t="e">
        <v>#DIV/0!</v>
      </c>
      <c r="AB34" t="e">
        <v>#DIV/0!</v>
      </c>
      <c r="AC34" t="e">
        <v>#DIV/0!</v>
      </c>
      <c r="AD34" t="e">
        <v>#DIV/0!</v>
      </c>
      <c r="AE34" t="e">
        <v>#DIV/0!</v>
      </c>
      <c r="AF34" t="e">
        <v>#DIV/0!</v>
      </c>
      <c r="AG34" t="e">
        <v>#DIV/0!</v>
      </c>
      <c r="AH34" t="e">
        <v>#DIV/0!</v>
      </c>
      <c r="AI34">
        <v>1.5799349560317411E-2</v>
      </c>
      <c r="AJ34">
        <v>3.0598699257135608E-2</v>
      </c>
      <c r="AK34">
        <v>5.1082189969641834E-3</v>
      </c>
      <c r="AL34">
        <v>1.7688298458035882E-2</v>
      </c>
      <c r="AM34">
        <v>8.6831608456392293E-3</v>
      </c>
      <c r="AN34" t="e">
        <v>#DIV/0!</v>
      </c>
    </row>
    <row r="35" spans="2:40" x14ac:dyDescent="0.25">
      <c r="B35">
        <v>73</v>
      </c>
      <c r="C35">
        <v>0</v>
      </c>
      <c r="D35" t="e">
        <v>#DIV/0!</v>
      </c>
      <c r="E35" t="e">
        <v>#DIV/0!</v>
      </c>
      <c r="F35" t="e">
        <v>#DIV/0!</v>
      </c>
      <c r="G35" t="e">
        <v>#DIV/0!</v>
      </c>
      <c r="H35" t="e">
        <v>#DIV/0!</v>
      </c>
      <c r="I35">
        <v>5.3204774182461827E-2</v>
      </c>
      <c r="J35">
        <v>3.8302913022300732E-2</v>
      </c>
      <c r="K35">
        <v>2.0128917712224109E-2</v>
      </c>
      <c r="L35" t="e">
        <v>#DIV/0!</v>
      </c>
      <c r="M35" t="e">
        <v>#DIV/0!</v>
      </c>
      <c r="N35" t="e">
        <v>#DIV/0!</v>
      </c>
      <c r="O35" t="e">
        <v>#DIV/0!</v>
      </c>
      <c r="P35" t="e">
        <v>#DIV/0!</v>
      </c>
      <c r="Q35">
        <v>4.8108777159092883E-3</v>
      </c>
      <c r="R35">
        <v>5.681693106697696E-2</v>
      </c>
      <c r="S35">
        <v>0.10244693820564438</v>
      </c>
      <c r="T35">
        <v>4.4631757270881291E-2</v>
      </c>
      <c r="U35" t="e">
        <v>#DIV/0!</v>
      </c>
      <c r="V35" t="e">
        <v>#DIV/0!</v>
      </c>
      <c r="W35" t="e">
        <v>#DIV/0!</v>
      </c>
      <c r="X35" t="e">
        <v>#DIV/0!</v>
      </c>
      <c r="Y35" t="e">
        <v>#DIV/0!</v>
      </c>
      <c r="Z35" t="e">
        <v>#DIV/0!</v>
      </c>
      <c r="AA35" t="e">
        <v>#DIV/0!</v>
      </c>
      <c r="AB35" t="e">
        <v>#DIV/0!</v>
      </c>
      <c r="AC35" t="e">
        <v>#DIV/0!</v>
      </c>
      <c r="AD35" t="e">
        <v>#DIV/0!</v>
      </c>
      <c r="AE35" t="e">
        <v>#DIV/0!</v>
      </c>
      <c r="AF35" t="e">
        <v>#DIV/0!</v>
      </c>
      <c r="AG35" t="e">
        <v>#DIV/0!</v>
      </c>
      <c r="AH35" t="e">
        <v>#DIV/0!</v>
      </c>
      <c r="AI35">
        <v>3.0085253538869688E-2</v>
      </c>
      <c r="AJ35">
        <v>5.6391334222819438E-2</v>
      </c>
      <c r="AK35">
        <v>7.2743192234070693E-3</v>
      </c>
      <c r="AL35" t="e">
        <v>#DIV/0!</v>
      </c>
      <c r="AM35" t="e">
        <v>#DIV/0!</v>
      </c>
      <c r="AN35" t="e">
        <v>#DIV/0!</v>
      </c>
    </row>
    <row r="36" spans="2:40" x14ac:dyDescent="0.25">
      <c r="B36">
        <v>101</v>
      </c>
      <c r="C36">
        <v>0</v>
      </c>
      <c r="D36" t="e">
        <v>#DIV/0!</v>
      </c>
      <c r="E36" t="e">
        <v>#DIV/0!</v>
      </c>
      <c r="F36" t="e">
        <v>#DIV/0!</v>
      </c>
      <c r="G36" t="e">
        <v>#DIV/0!</v>
      </c>
      <c r="H36" t="e">
        <v>#DIV/0!</v>
      </c>
      <c r="I36">
        <v>6.3992371149165436E-2</v>
      </c>
      <c r="J36" t="e">
        <v>#DIV/0!</v>
      </c>
      <c r="K36" t="e">
        <v>#DIV/0!</v>
      </c>
      <c r="L36" t="e">
        <v>#DIV/0!</v>
      </c>
      <c r="M36" t="e">
        <v>#DIV/0!</v>
      </c>
      <c r="N36" t="e">
        <v>#DIV/0!</v>
      </c>
      <c r="O36" t="e">
        <v>#DIV/0!</v>
      </c>
      <c r="P36" t="e">
        <v>#DIV/0!</v>
      </c>
      <c r="Q36" t="e">
        <v>#DIV/0!</v>
      </c>
      <c r="R36">
        <v>7.1467000472196993E-2</v>
      </c>
      <c r="S36">
        <v>0.11420252169352207</v>
      </c>
      <c r="T36">
        <v>5.9159942444253232E-2</v>
      </c>
      <c r="U36" t="e">
        <v>#DIV/0!</v>
      </c>
      <c r="V36" t="e">
        <v>#DIV/0!</v>
      </c>
      <c r="W36" t="e">
        <v>#DIV/0!</v>
      </c>
      <c r="X36" t="e">
        <v>#DIV/0!</v>
      </c>
      <c r="Y36" t="e">
        <v>#DIV/0!</v>
      </c>
      <c r="Z36" t="e">
        <v>#DIV/0!</v>
      </c>
      <c r="AA36" t="e">
        <v>#DIV/0!</v>
      </c>
      <c r="AB36" t="e">
        <v>#DIV/0!</v>
      </c>
      <c r="AC36" t="e">
        <v>#DIV/0!</v>
      </c>
      <c r="AD36" t="e">
        <v>#DIV/0!</v>
      </c>
      <c r="AE36" t="e">
        <v>#DIV/0!</v>
      </c>
      <c r="AF36" t="e">
        <v>#DIV/0!</v>
      </c>
      <c r="AG36" t="e">
        <v>#DIV/0!</v>
      </c>
      <c r="AH36" t="e">
        <v>#DIV/0!</v>
      </c>
      <c r="AI36">
        <v>3.1984014221065789E-2</v>
      </c>
      <c r="AJ36">
        <v>5.6077524603732443E-2</v>
      </c>
      <c r="AK36">
        <v>6.9728471702787979E-3</v>
      </c>
      <c r="AL36" t="e">
        <v>#DIV/0!</v>
      </c>
      <c r="AM36" t="e">
        <v>#DIV/0!</v>
      </c>
      <c r="AN36" t="e">
        <v>#DIV/0!</v>
      </c>
    </row>
    <row r="37" spans="2:40" x14ac:dyDescent="0.25">
      <c r="B37">
        <v>136</v>
      </c>
      <c r="C37">
        <v>0</v>
      </c>
      <c r="D37" t="e">
        <v>#DIV/0!</v>
      </c>
      <c r="E37" t="e">
        <v>#DIV/0!</v>
      </c>
      <c r="F37" t="e">
        <v>#DIV/0!</v>
      </c>
      <c r="G37" t="e">
        <v>#DIV/0!</v>
      </c>
      <c r="H37" t="e">
        <v>#DIV/0!</v>
      </c>
      <c r="I37" t="e">
        <v>#DIV/0!</v>
      </c>
      <c r="J37" t="e">
        <v>#DIV/0!</v>
      </c>
      <c r="K37" t="e">
        <v>#DIV/0!</v>
      </c>
      <c r="L37" t="e">
        <v>#DIV/0!</v>
      </c>
      <c r="M37" t="e">
        <v>#DIV/0!</v>
      </c>
      <c r="N37" t="e">
        <v>#DIV/0!</v>
      </c>
      <c r="O37" t="e">
        <v>#DIV/0!</v>
      </c>
      <c r="P37" t="e">
        <v>#DIV/0!</v>
      </c>
      <c r="Q37" t="e">
        <v>#DIV/0!</v>
      </c>
      <c r="R37">
        <v>3.7646497167587584E-2</v>
      </c>
      <c r="S37">
        <v>4.8693236052834384E-2</v>
      </c>
      <c r="T37" t="e">
        <v>#DIV/0!</v>
      </c>
      <c r="U37" t="e">
        <v>#DIV/0!</v>
      </c>
      <c r="V37" t="e">
        <v>#DIV/0!</v>
      </c>
      <c r="W37" t="e">
        <v>#DIV/0!</v>
      </c>
      <c r="X37" t="e">
        <v>#DIV/0!</v>
      </c>
      <c r="Y37" t="e">
        <v>#DIV/0!</v>
      </c>
      <c r="Z37" t="e">
        <v>#DIV/0!</v>
      </c>
      <c r="AA37" t="e">
        <v>#DIV/0!</v>
      </c>
      <c r="AB37" t="e">
        <v>#DIV/0!</v>
      </c>
      <c r="AC37" t="e">
        <v>#DIV/0!</v>
      </c>
      <c r="AD37" t="e">
        <v>#DIV/0!</v>
      </c>
      <c r="AE37" t="e">
        <v>#DIV/0!</v>
      </c>
      <c r="AF37" t="e">
        <v>#DIV/0!</v>
      </c>
      <c r="AG37" t="e">
        <v>#DIV/0!</v>
      </c>
      <c r="AH37" t="e">
        <v>#DIV/0!</v>
      </c>
      <c r="AI37">
        <v>1.8809737820530678E-2</v>
      </c>
      <c r="AJ37">
        <v>1.9575267858481085E-2</v>
      </c>
      <c r="AK37">
        <v>3.8688691843029098E-3</v>
      </c>
      <c r="AL37" t="e">
        <v>#DIV/0!</v>
      </c>
      <c r="AM37" t="e">
        <v>#DIV/0!</v>
      </c>
      <c r="AN37" t="e">
        <v>#DIV/0!</v>
      </c>
    </row>
  </sheetData>
  <conditionalFormatting sqref="C2:AN28">
    <cfRule type="colorScale" priority="2">
      <colorScale>
        <cfvo type="min"/>
        <cfvo type="percentile" val="50"/>
        <cfvo type="max"/>
        <color rgb="FF63BE7B"/>
        <color rgb="FFFFEB84"/>
        <color rgb="FFF8696B"/>
      </colorScale>
    </cfRule>
  </conditionalFormatting>
  <conditionalFormatting sqref="C29:AN37">
    <cfRule type="colorScale" priority="1">
      <colorScale>
        <cfvo type="min"/>
        <cfvo type="percentile" val="50"/>
        <cfvo type="max"/>
        <color rgb="FF63BE7B"/>
        <color rgb="FFFFEB84"/>
        <color rgb="FFF8696B"/>
      </colorScale>
    </cfRule>
  </conditionalFormatting>
  <pageMargins left="0.7" right="0.7" top="0.78740157499999996" bottom="0.78740157499999996"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1E7B28-BCA8-4A87-80A3-68C23E9001FF}">
  <dimension ref="A1:CL90"/>
  <sheetViews>
    <sheetView zoomScale="85" zoomScaleNormal="85" workbookViewId="0">
      <pane xSplit="3" ySplit="3" topLeftCell="D4" activePane="bottomRight" state="frozen"/>
      <selection pane="topRight" activeCell="D1" sqref="D1"/>
      <selection pane="bottomLeft" activeCell="A4" sqref="A4"/>
      <selection pane="bottomRight" activeCell="D16" sqref="D16"/>
    </sheetView>
  </sheetViews>
  <sheetFormatPr baseColWidth="10" defaultRowHeight="15" x14ac:dyDescent="0.25"/>
  <cols>
    <col min="2" max="2" width="12.42578125" bestFit="1" customWidth="1"/>
    <col min="80" max="80" width="12" customWidth="1"/>
  </cols>
  <sheetData>
    <row r="1" spans="1:87" x14ac:dyDescent="0.25">
      <c r="D1" t="s">
        <v>199</v>
      </c>
      <c r="E1">
        <v>0.71819999999999995</v>
      </c>
      <c r="M1">
        <v>0.77710000000000001</v>
      </c>
      <c r="Q1">
        <v>0.35210000000000002</v>
      </c>
    </row>
    <row r="2" spans="1:87" x14ac:dyDescent="0.25">
      <c r="A2" t="s">
        <v>85</v>
      </c>
      <c r="D2" t="s">
        <v>78</v>
      </c>
      <c r="F2" t="s">
        <v>79</v>
      </c>
      <c r="H2" t="s">
        <v>80</v>
      </c>
      <c r="J2" t="s">
        <v>1</v>
      </c>
      <c r="L2" t="s">
        <v>2</v>
      </c>
      <c r="N2" t="s">
        <v>3</v>
      </c>
      <c r="P2" t="s">
        <v>4</v>
      </c>
      <c r="R2" t="s">
        <v>5</v>
      </c>
      <c r="T2" t="s">
        <v>6</v>
      </c>
      <c r="V2" t="s">
        <v>7</v>
      </c>
      <c r="X2" t="s">
        <v>8</v>
      </c>
      <c r="Z2" t="s">
        <v>81</v>
      </c>
      <c r="AB2" t="s">
        <v>82</v>
      </c>
      <c r="AD2" t="s">
        <v>9</v>
      </c>
      <c r="AF2" t="s">
        <v>10</v>
      </c>
      <c r="AH2" t="s">
        <v>11</v>
      </c>
      <c r="AJ2" t="s">
        <v>12</v>
      </c>
      <c r="AL2" t="s">
        <v>13</v>
      </c>
      <c r="AN2" t="s">
        <v>14</v>
      </c>
      <c r="AP2" t="s">
        <v>15</v>
      </c>
      <c r="AR2" t="s">
        <v>16</v>
      </c>
      <c r="AT2" t="s">
        <v>76</v>
      </c>
      <c r="AV2" t="s">
        <v>18</v>
      </c>
      <c r="AX2" t="s">
        <v>19</v>
      </c>
      <c r="AZ2" t="s">
        <v>20</v>
      </c>
      <c r="BB2" t="s">
        <v>21</v>
      </c>
      <c r="BD2" t="s">
        <v>22</v>
      </c>
      <c r="BF2" t="s">
        <v>23</v>
      </c>
      <c r="BH2" t="s">
        <v>24</v>
      </c>
      <c r="BJ2" t="s">
        <v>25</v>
      </c>
      <c r="BL2" t="s">
        <v>26</v>
      </c>
      <c r="BN2" t="s">
        <v>77</v>
      </c>
      <c r="BP2" t="s">
        <v>27</v>
      </c>
      <c r="BR2" t="s">
        <v>28</v>
      </c>
      <c r="BT2" t="s">
        <v>29</v>
      </c>
      <c r="BV2" t="s">
        <v>30</v>
      </c>
      <c r="BX2" t="s">
        <v>31</v>
      </c>
      <c r="BZ2" t="s">
        <v>32</v>
      </c>
      <c r="CB2" t="s">
        <v>193</v>
      </c>
      <c r="CD2" t="s">
        <v>194</v>
      </c>
      <c r="CF2" t="s">
        <v>195</v>
      </c>
      <c r="CH2" t="s">
        <v>196</v>
      </c>
    </row>
    <row r="3" spans="1:87" x14ac:dyDescent="0.25">
      <c r="D3" t="s">
        <v>192</v>
      </c>
      <c r="E3" t="s">
        <v>169</v>
      </c>
      <c r="F3" t="s">
        <v>192</v>
      </c>
      <c r="G3" t="s">
        <v>169</v>
      </c>
      <c r="H3" t="s">
        <v>192</v>
      </c>
      <c r="I3" t="s">
        <v>169</v>
      </c>
      <c r="J3" t="s">
        <v>192</v>
      </c>
      <c r="K3" t="s">
        <v>169</v>
      </c>
      <c r="L3" t="s">
        <v>192</v>
      </c>
      <c r="M3" t="s">
        <v>169</v>
      </c>
      <c r="N3" t="s">
        <v>192</v>
      </c>
      <c r="O3" t="s">
        <v>169</v>
      </c>
      <c r="P3" t="s">
        <v>192</v>
      </c>
      <c r="Q3" t="s">
        <v>169</v>
      </c>
      <c r="R3" t="s">
        <v>192</v>
      </c>
      <c r="S3" t="s">
        <v>169</v>
      </c>
      <c r="T3" t="s">
        <v>192</v>
      </c>
      <c r="U3" t="s">
        <v>169</v>
      </c>
      <c r="V3" t="s">
        <v>192</v>
      </c>
      <c r="W3" t="s">
        <v>169</v>
      </c>
      <c r="X3" t="s">
        <v>192</v>
      </c>
      <c r="Y3" t="s">
        <v>169</v>
      </c>
      <c r="Z3" t="s">
        <v>192</v>
      </c>
      <c r="AA3" t="s">
        <v>169</v>
      </c>
      <c r="AB3" t="s">
        <v>192</v>
      </c>
      <c r="AC3" t="s">
        <v>169</v>
      </c>
      <c r="AD3" t="s">
        <v>192</v>
      </c>
      <c r="AE3" t="s">
        <v>169</v>
      </c>
      <c r="AF3" t="s">
        <v>192</v>
      </c>
      <c r="AG3" t="s">
        <v>169</v>
      </c>
      <c r="AH3" t="s">
        <v>192</v>
      </c>
      <c r="AI3" t="s">
        <v>169</v>
      </c>
      <c r="AJ3" t="s">
        <v>192</v>
      </c>
      <c r="AK3" t="s">
        <v>169</v>
      </c>
      <c r="AL3" t="s">
        <v>192</v>
      </c>
      <c r="AM3" t="s">
        <v>169</v>
      </c>
      <c r="AN3" t="s">
        <v>192</v>
      </c>
      <c r="AO3" t="s">
        <v>169</v>
      </c>
      <c r="AP3" t="s">
        <v>192</v>
      </c>
      <c r="AQ3" t="s">
        <v>169</v>
      </c>
      <c r="AR3" t="s">
        <v>192</v>
      </c>
      <c r="AS3" t="s">
        <v>169</v>
      </c>
      <c r="AT3" t="s">
        <v>192</v>
      </c>
      <c r="AU3" t="s">
        <v>169</v>
      </c>
      <c r="AV3" t="s">
        <v>192</v>
      </c>
      <c r="AW3" t="s">
        <v>169</v>
      </c>
      <c r="AX3" t="s">
        <v>192</v>
      </c>
      <c r="AY3" t="s">
        <v>169</v>
      </c>
      <c r="AZ3" t="s">
        <v>192</v>
      </c>
      <c r="BA3" t="s">
        <v>169</v>
      </c>
      <c r="BB3" t="s">
        <v>192</v>
      </c>
      <c r="BC3" t="s">
        <v>169</v>
      </c>
      <c r="BD3" t="s">
        <v>192</v>
      </c>
      <c r="BE3" t="s">
        <v>169</v>
      </c>
      <c r="BF3" t="s">
        <v>192</v>
      </c>
      <c r="BG3" t="s">
        <v>169</v>
      </c>
      <c r="BH3" t="s">
        <v>192</v>
      </c>
      <c r="BI3" t="s">
        <v>169</v>
      </c>
      <c r="BJ3" t="s">
        <v>192</v>
      </c>
      <c r="BK3" t="s">
        <v>169</v>
      </c>
      <c r="BL3" t="s">
        <v>192</v>
      </c>
      <c r="BM3" t="s">
        <v>169</v>
      </c>
      <c r="BN3" t="s">
        <v>192</v>
      </c>
      <c r="BO3" t="s">
        <v>169</v>
      </c>
      <c r="BP3" t="s">
        <v>192</v>
      </c>
      <c r="BQ3" t="s">
        <v>169</v>
      </c>
      <c r="BR3" t="s">
        <v>192</v>
      </c>
      <c r="BS3" t="s">
        <v>169</v>
      </c>
      <c r="BT3" t="s">
        <v>192</v>
      </c>
      <c r="BU3" t="s">
        <v>169</v>
      </c>
      <c r="BV3" t="s">
        <v>192</v>
      </c>
      <c r="BW3" t="s">
        <v>169</v>
      </c>
      <c r="BX3" t="s">
        <v>192</v>
      </c>
      <c r="BY3" t="s">
        <v>169</v>
      </c>
      <c r="BZ3" t="s">
        <v>192</v>
      </c>
      <c r="CA3" t="s">
        <v>169</v>
      </c>
      <c r="CB3" t="s">
        <v>192</v>
      </c>
      <c r="CC3" t="s">
        <v>169</v>
      </c>
      <c r="CD3" t="s">
        <v>192</v>
      </c>
      <c r="CE3" t="s">
        <v>169</v>
      </c>
      <c r="CF3" t="s">
        <v>192</v>
      </c>
      <c r="CG3" t="s">
        <v>169</v>
      </c>
      <c r="CH3" t="s">
        <v>192</v>
      </c>
      <c r="CI3" t="s">
        <v>169</v>
      </c>
    </row>
    <row r="4" spans="1:87" x14ac:dyDescent="0.25">
      <c r="A4">
        <v>1</v>
      </c>
      <c r="B4" s="2">
        <v>45068</v>
      </c>
      <c r="C4" t="s">
        <v>39</v>
      </c>
      <c r="D4" s="4"/>
      <c r="E4" s="4">
        <v>6.9893975387003504E-3</v>
      </c>
      <c r="F4" s="4"/>
      <c r="G4" s="4">
        <v>0</v>
      </c>
      <c r="H4" s="4"/>
      <c r="I4" s="4">
        <v>0</v>
      </c>
      <c r="J4" s="4"/>
      <c r="K4" s="4">
        <v>0</v>
      </c>
      <c r="L4" s="4"/>
      <c r="M4" s="4">
        <v>0</v>
      </c>
      <c r="N4" s="4"/>
      <c r="O4" s="4">
        <v>2.33779026822488E-3</v>
      </c>
      <c r="P4" s="4"/>
      <c r="Q4" s="4">
        <v>1.1790775702605201E-2</v>
      </c>
      <c r="R4" s="4"/>
      <c r="S4" s="4">
        <v>0</v>
      </c>
      <c r="T4" s="4"/>
      <c r="U4" s="4">
        <v>0</v>
      </c>
      <c r="V4" s="4"/>
      <c r="W4" s="4">
        <v>0</v>
      </c>
      <c r="X4" s="4"/>
      <c r="Y4" s="4">
        <v>0</v>
      </c>
      <c r="Z4" s="4"/>
      <c r="AA4" s="4">
        <v>0</v>
      </c>
      <c r="AB4" s="4"/>
      <c r="AC4" s="4">
        <v>0</v>
      </c>
      <c r="AD4" s="4"/>
      <c r="AE4" s="4">
        <v>0</v>
      </c>
      <c r="AF4" s="4"/>
      <c r="AG4" s="4">
        <v>0</v>
      </c>
      <c r="AH4" s="4"/>
      <c r="AI4" s="4">
        <v>0</v>
      </c>
      <c r="AJ4" s="4"/>
      <c r="AK4" s="4">
        <v>0</v>
      </c>
      <c r="AL4" s="4"/>
      <c r="AM4" s="4">
        <v>0</v>
      </c>
      <c r="AN4" s="4"/>
      <c r="AO4" s="4">
        <v>0</v>
      </c>
      <c r="AP4" s="4"/>
      <c r="AQ4" s="4">
        <v>0</v>
      </c>
      <c r="AR4" s="4"/>
      <c r="AS4" s="4">
        <v>0</v>
      </c>
      <c r="AT4" s="4"/>
      <c r="AU4" s="4">
        <v>0</v>
      </c>
      <c r="AV4" s="4"/>
      <c r="AW4" s="4">
        <v>0</v>
      </c>
      <c r="AX4" s="4"/>
      <c r="AY4" s="4">
        <v>0</v>
      </c>
      <c r="AZ4" s="4"/>
      <c r="BA4" s="4">
        <v>0</v>
      </c>
      <c r="BB4" s="4"/>
      <c r="BC4" s="4">
        <v>0</v>
      </c>
      <c r="BD4" s="4"/>
      <c r="BE4" s="4">
        <v>0</v>
      </c>
      <c r="BF4" s="4"/>
      <c r="BG4" s="4">
        <v>0</v>
      </c>
      <c r="BH4" s="4"/>
      <c r="BI4" s="4">
        <v>0</v>
      </c>
      <c r="BJ4" s="4"/>
      <c r="BK4" s="4">
        <v>0</v>
      </c>
      <c r="BL4" s="4"/>
      <c r="BM4" s="4">
        <v>0</v>
      </c>
      <c r="BN4" s="4"/>
      <c r="BO4" s="4">
        <v>0</v>
      </c>
      <c r="BP4" s="4"/>
      <c r="BQ4" s="4">
        <v>0</v>
      </c>
      <c r="BR4" s="4"/>
      <c r="BS4" s="4">
        <v>0</v>
      </c>
      <c r="BT4" s="4"/>
      <c r="BU4" s="4">
        <v>0</v>
      </c>
      <c r="BV4" s="4"/>
      <c r="BW4" s="4">
        <v>0</v>
      </c>
      <c r="BX4" s="4"/>
      <c r="BY4" s="4">
        <v>0</v>
      </c>
      <c r="BZ4" s="4"/>
      <c r="CA4" s="4">
        <v>0</v>
      </c>
      <c r="CB4" s="4">
        <f>SUM(D4,F4,H4,J4,L4,N4,P4,R4,T4,V4,X4)</f>
        <v>0</v>
      </c>
      <c r="CC4" s="4">
        <f>SUM(E4,G4,I4,K4,M4,O4,Q4,S4,U4,W4,Y4)</f>
        <v>2.1117963509530432E-2</v>
      </c>
      <c r="CD4" s="4">
        <f>SUM(AT4,AV4,AX4,AZ4,BB4,BD4,BF4,BH4,BJ4)</f>
        <v>0</v>
      </c>
      <c r="CE4" s="4">
        <f>SUM(AU4,AW4,AY4,BA4,BC4,BE4,BG4,BI4,BK4)</f>
        <v>0</v>
      </c>
      <c r="CF4" s="4">
        <f>SUM(Z4,AB4,AD4,AF4,AH4,AJ4,AL4,AN4,AP4,AR4)</f>
        <v>0</v>
      </c>
      <c r="CG4" s="4">
        <f>SUM(AA4,AC4,AE4,AG4,AI4,AK4,AM4,AO4,AQ4,AS4)</f>
        <v>0</v>
      </c>
      <c r="CH4" s="4">
        <f>SUM(BL4,BN4,BP4,BR4,BT4,BV4,BX4,BZ4)</f>
        <v>0</v>
      </c>
      <c r="CI4" s="4">
        <f>SUM(BM4,BO4,BQ4,BS4,BU4,BW4,BY4,CA4)</f>
        <v>0</v>
      </c>
    </row>
    <row r="5" spans="1:87" x14ac:dyDescent="0.25">
      <c r="B5" s="2"/>
      <c r="C5" t="s">
        <v>40</v>
      </c>
      <c r="D5" s="4"/>
      <c r="E5" s="4">
        <v>7.1586165996728795E-3</v>
      </c>
      <c r="F5" s="4"/>
      <c r="G5" s="4">
        <v>0</v>
      </c>
      <c r="H5" s="4"/>
      <c r="I5" s="4">
        <v>0</v>
      </c>
      <c r="J5" s="4"/>
      <c r="K5" s="4">
        <v>0</v>
      </c>
      <c r="L5" s="4"/>
      <c r="M5" s="4">
        <v>0</v>
      </c>
      <c r="N5" s="4"/>
      <c r="O5" s="4">
        <v>1.67825382247219E-3</v>
      </c>
      <c r="P5" s="4"/>
      <c r="Q5" s="4">
        <v>1.38040981363727E-2</v>
      </c>
      <c r="R5" s="4"/>
      <c r="S5" s="4">
        <v>0</v>
      </c>
      <c r="T5" s="4"/>
      <c r="U5" s="4">
        <v>0</v>
      </c>
      <c r="V5" s="4"/>
      <c r="W5" s="4">
        <v>0</v>
      </c>
      <c r="X5" s="4"/>
      <c r="Y5" s="4">
        <v>0</v>
      </c>
      <c r="Z5" s="4"/>
      <c r="AA5" s="4">
        <v>0</v>
      </c>
      <c r="AB5" s="4"/>
      <c r="AC5" s="4">
        <v>0</v>
      </c>
      <c r="AD5" s="4"/>
      <c r="AE5" s="4">
        <v>0</v>
      </c>
      <c r="AF5" s="4"/>
      <c r="AG5" s="4">
        <v>0</v>
      </c>
      <c r="AH5" s="4"/>
      <c r="AI5" s="4">
        <v>0</v>
      </c>
      <c r="AJ5" s="4"/>
      <c r="AK5" s="4">
        <v>0</v>
      </c>
      <c r="AL5" s="4"/>
      <c r="AM5" s="4">
        <v>0</v>
      </c>
      <c r="AN5" s="4"/>
      <c r="AO5" s="4">
        <v>0</v>
      </c>
      <c r="AP5" s="4"/>
      <c r="AQ5" s="4">
        <v>0</v>
      </c>
      <c r="AR5" s="4"/>
      <c r="AS5" s="4">
        <v>0</v>
      </c>
      <c r="AT5" s="4"/>
      <c r="AU5" s="4">
        <v>0</v>
      </c>
      <c r="AV5" s="4"/>
      <c r="AW5" s="4">
        <v>0</v>
      </c>
      <c r="AX5" s="4"/>
      <c r="AY5" s="4">
        <v>0</v>
      </c>
      <c r="AZ5" s="4"/>
      <c r="BA5" s="4">
        <v>0</v>
      </c>
      <c r="BB5" s="4"/>
      <c r="BC5" s="4">
        <v>0</v>
      </c>
      <c r="BD5" s="4"/>
      <c r="BE5" s="4">
        <v>0</v>
      </c>
      <c r="BF5" s="4"/>
      <c r="BG5" s="4">
        <v>0</v>
      </c>
      <c r="BH5" s="4"/>
      <c r="BI5" s="4">
        <v>0</v>
      </c>
      <c r="BJ5" s="4"/>
      <c r="BK5" s="4">
        <v>0</v>
      </c>
      <c r="BL5" s="4"/>
      <c r="BM5" s="4">
        <v>0</v>
      </c>
      <c r="BN5" s="4"/>
      <c r="BO5" s="4">
        <v>0</v>
      </c>
      <c r="BP5" s="4"/>
      <c r="BQ5" s="4">
        <v>0</v>
      </c>
      <c r="BR5" s="4"/>
      <c r="BS5" s="4">
        <v>0</v>
      </c>
      <c r="BT5" s="4"/>
      <c r="BU5" s="4">
        <v>0</v>
      </c>
      <c r="BV5" s="4"/>
      <c r="BW5" s="4">
        <v>0</v>
      </c>
      <c r="BX5" s="4"/>
      <c r="BY5" s="4">
        <v>0</v>
      </c>
      <c r="BZ5" s="4"/>
      <c r="CA5" s="4">
        <v>0</v>
      </c>
      <c r="CB5" s="4">
        <f t="shared" ref="CB5:CB30" si="0">SUM(D5,F5,H5,J5,L5,N5,P5,R5,T5,V5,X5)</f>
        <v>0</v>
      </c>
      <c r="CC5" s="4">
        <f t="shared" ref="CC5:CC30" si="1">SUM(E5,G5,I5,K5,M5,O5,Q5,S5,U5,W5,Y5)</f>
        <v>2.2640968558517771E-2</v>
      </c>
      <c r="CD5" s="4">
        <f t="shared" ref="CD5:CD30" si="2">SUM(AT5,AV5,AX5,AZ5,BB5,BD5,BF5,BH5,BJ5)</f>
        <v>0</v>
      </c>
      <c r="CE5" s="4">
        <f t="shared" ref="CE5:CE30" si="3">SUM(AU5,AW5,AY5,BA5,BC5,BE5,BG5,BI5,BK5)</f>
        <v>0</v>
      </c>
      <c r="CF5" s="4">
        <f t="shared" ref="CF5:CF30" si="4">SUM(Z5,AB5,AD5,AF5,AH5,AJ5,AL5,AN5,AP5,AR5)</f>
        <v>0</v>
      </c>
      <c r="CG5" s="4">
        <f t="shared" ref="CG5:CG30" si="5">SUM(AA5,AC5,AE5,AG5,AI5,AK5,AM5,AO5,AQ5,AS5)</f>
        <v>0</v>
      </c>
      <c r="CH5" s="4">
        <f t="shared" ref="CH5:CH30" si="6">SUM(BL5,BN5,BP5,BR5,BT5,BV5,BX5,BZ5)</f>
        <v>0</v>
      </c>
      <c r="CI5" s="4">
        <f t="shared" ref="CI5:CI30" si="7">SUM(BM5,BO5,BQ5,BS5,BU5,BW5,BY5,CA5)</f>
        <v>0</v>
      </c>
    </row>
    <row r="6" spans="1:87" x14ac:dyDescent="0.25">
      <c r="B6" s="2"/>
      <c r="C6" t="s">
        <v>41</v>
      </c>
      <c r="D6" s="4"/>
      <c r="E6" s="4">
        <v>6.5415614056163899E-3</v>
      </c>
      <c r="F6" s="4"/>
      <c r="G6" s="4">
        <v>0</v>
      </c>
      <c r="H6" s="4"/>
      <c r="I6" s="4">
        <v>0</v>
      </c>
      <c r="J6" s="4"/>
      <c r="K6" s="4">
        <v>0</v>
      </c>
      <c r="L6" s="4"/>
      <c r="M6" s="4">
        <v>1.01335748380402E-3</v>
      </c>
      <c r="N6" s="4"/>
      <c r="O6" s="4">
        <v>0</v>
      </c>
      <c r="P6" s="4"/>
      <c r="Q6" s="4">
        <v>1.25119338315338E-2</v>
      </c>
      <c r="R6" s="4"/>
      <c r="S6" s="4">
        <v>2.58914829109826E-3</v>
      </c>
      <c r="T6" s="4"/>
      <c r="U6" s="4">
        <v>0</v>
      </c>
      <c r="V6" s="4"/>
      <c r="W6" s="4">
        <v>0</v>
      </c>
      <c r="X6" s="4"/>
      <c r="Y6" s="4">
        <v>0</v>
      </c>
      <c r="Z6" s="4"/>
      <c r="AA6" s="4">
        <v>0</v>
      </c>
      <c r="AB6" s="4"/>
      <c r="AC6" s="4">
        <v>0</v>
      </c>
      <c r="AD6" s="4"/>
      <c r="AE6" s="4">
        <v>0</v>
      </c>
      <c r="AF6" s="4"/>
      <c r="AG6" s="4">
        <v>0</v>
      </c>
      <c r="AH6" s="4"/>
      <c r="AI6" s="4">
        <v>0</v>
      </c>
      <c r="AJ6" s="4"/>
      <c r="AK6" s="4">
        <v>0</v>
      </c>
      <c r="AL6" s="4"/>
      <c r="AM6" s="4">
        <v>0</v>
      </c>
      <c r="AN6" s="4"/>
      <c r="AO6" s="4">
        <v>0</v>
      </c>
      <c r="AP6" s="4"/>
      <c r="AQ6" s="4">
        <v>0</v>
      </c>
      <c r="AR6" s="4"/>
      <c r="AS6" s="4">
        <v>0</v>
      </c>
      <c r="AT6" s="4"/>
      <c r="AU6" s="4">
        <v>0</v>
      </c>
      <c r="AV6" s="4"/>
      <c r="AW6" s="4">
        <v>0</v>
      </c>
      <c r="AX6" s="4"/>
      <c r="AY6" s="4">
        <v>0</v>
      </c>
      <c r="AZ6" s="4"/>
      <c r="BA6" s="4">
        <v>0</v>
      </c>
      <c r="BB6" s="4"/>
      <c r="BC6" s="4">
        <v>0</v>
      </c>
      <c r="BD6" s="4"/>
      <c r="BE6" s="4">
        <v>0</v>
      </c>
      <c r="BF6" s="4"/>
      <c r="BG6" s="4">
        <v>0</v>
      </c>
      <c r="BH6" s="4"/>
      <c r="BI6" s="4">
        <v>0</v>
      </c>
      <c r="BJ6" s="4"/>
      <c r="BK6" s="4">
        <v>0</v>
      </c>
      <c r="BL6" s="4"/>
      <c r="BM6" s="4">
        <v>0</v>
      </c>
      <c r="BN6" s="4"/>
      <c r="BO6" s="4">
        <v>0</v>
      </c>
      <c r="BP6" s="4"/>
      <c r="BQ6" s="4">
        <v>0</v>
      </c>
      <c r="BR6" s="4"/>
      <c r="BS6" s="4">
        <v>0</v>
      </c>
      <c r="BT6" s="4"/>
      <c r="BU6" s="4">
        <v>0</v>
      </c>
      <c r="BV6" s="4"/>
      <c r="BW6" s="4">
        <v>0</v>
      </c>
      <c r="BX6" s="4"/>
      <c r="BY6" s="4">
        <v>0</v>
      </c>
      <c r="BZ6" s="4"/>
      <c r="CA6" s="4">
        <v>0</v>
      </c>
      <c r="CB6" s="4">
        <f t="shared" si="0"/>
        <v>0</v>
      </c>
      <c r="CC6" s="4">
        <f t="shared" si="1"/>
        <v>2.2656001012052469E-2</v>
      </c>
      <c r="CD6" s="4">
        <f t="shared" si="2"/>
        <v>0</v>
      </c>
      <c r="CE6" s="4">
        <f t="shared" si="3"/>
        <v>0</v>
      </c>
      <c r="CF6" s="4">
        <f t="shared" si="4"/>
        <v>0</v>
      </c>
      <c r="CG6" s="4">
        <f t="shared" si="5"/>
        <v>0</v>
      </c>
      <c r="CH6" s="4">
        <f t="shared" si="6"/>
        <v>0</v>
      </c>
      <c r="CI6" s="4">
        <f t="shared" si="7"/>
        <v>0</v>
      </c>
    </row>
    <row r="7" spans="1:87" x14ac:dyDescent="0.25">
      <c r="A7">
        <v>5</v>
      </c>
      <c r="B7" s="2">
        <v>45072</v>
      </c>
      <c r="C7" t="s">
        <v>39</v>
      </c>
      <c r="D7" s="4">
        <v>4.13</v>
      </c>
      <c r="E7" s="4">
        <v>2.24605963039477</v>
      </c>
      <c r="F7" s="4"/>
      <c r="G7" s="4">
        <v>3.3345659651197401E-2</v>
      </c>
      <c r="H7" s="4"/>
      <c r="I7" s="4">
        <v>0</v>
      </c>
      <c r="J7" s="4"/>
      <c r="K7" s="4">
        <v>0</v>
      </c>
      <c r="L7" s="4">
        <v>5.56</v>
      </c>
      <c r="M7" s="4">
        <v>0.209595663169868</v>
      </c>
      <c r="N7" s="4"/>
      <c r="O7" s="4">
        <v>8.4797716901868301E-3</v>
      </c>
      <c r="P7" s="4"/>
      <c r="Q7" s="4">
        <v>3.3389069317713203E-2</v>
      </c>
      <c r="R7" s="4"/>
      <c r="S7" s="4">
        <v>9.360817310340809E-3</v>
      </c>
      <c r="T7" s="4"/>
      <c r="U7" s="4">
        <v>7.89648505321092E-3</v>
      </c>
      <c r="V7" s="4"/>
      <c r="W7" s="4">
        <v>0</v>
      </c>
      <c r="X7" s="4"/>
      <c r="Y7" s="4">
        <v>0</v>
      </c>
      <c r="Z7" s="4"/>
      <c r="AA7" s="4">
        <v>0</v>
      </c>
      <c r="AB7" s="4"/>
      <c r="AC7" s="4">
        <v>0</v>
      </c>
      <c r="AD7" s="4">
        <v>0.54200000000000004</v>
      </c>
      <c r="AE7" s="4">
        <v>0</v>
      </c>
      <c r="AF7" s="4"/>
      <c r="AG7" s="4">
        <v>0</v>
      </c>
      <c r="AH7" s="4">
        <v>7.06</v>
      </c>
      <c r="AI7" s="4">
        <v>1.87660381699656</v>
      </c>
      <c r="AJ7" s="4">
        <v>2.44</v>
      </c>
      <c r="AK7" s="4">
        <v>1.0537722752310799</v>
      </c>
      <c r="AL7" s="4">
        <v>2.36</v>
      </c>
      <c r="AM7" s="4">
        <v>0.61761008805601503</v>
      </c>
      <c r="AN7" s="4"/>
      <c r="AO7" s="4">
        <v>7.0429298677974997E-2</v>
      </c>
      <c r="AP7" s="4"/>
      <c r="AQ7" s="4">
        <v>2.0764918452111397E-2</v>
      </c>
      <c r="AR7" s="4"/>
      <c r="AS7" s="4">
        <v>0</v>
      </c>
      <c r="AT7" s="4"/>
      <c r="AU7" s="4">
        <v>0</v>
      </c>
      <c r="AV7" s="4"/>
      <c r="AW7" s="4">
        <v>0</v>
      </c>
      <c r="AX7" s="4"/>
      <c r="AY7" s="4">
        <v>1.9610061907035702E-2</v>
      </c>
      <c r="AZ7" s="4"/>
      <c r="BA7" s="4">
        <v>1.64689399004667E-3</v>
      </c>
      <c r="BB7" s="4"/>
      <c r="BC7" s="4">
        <v>0</v>
      </c>
      <c r="BD7" s="4"/>
      <c r="BE7" s="4">
        <v>0</v>
      </c>
      <c r="BF7" s="4"/>
      <c r="BG7" s="4">
        <v>0</v>
      </c>
      <c r="BH7" s="4"/>
      <c r="BI7" s="4">
        <v>6.8514143292240648E-3</v>
      </c>
      <c r="BJ7" s="4"/>
      <c r="BK7" s="4">
        <v>7.2705515071929752E-3</v>
      </c>
      <c r="BL7" s="4"/>
      <c r="BM7" s="4">
        <v>0</v>
      </c>
      <c r="BN7" s="4"/>
      <c r="BO7" s="4">
        <v>0</v>
      </c>
      <c r="BP7" s="4">
        <v>2.09</v>
      </c>
      <c r="BQ7" s="4">
        <v>0.29225129548985251</v>
      </c>
      <c r="BR7" s="4">
        <v>10</v>
      </c>
      <c r="BS7" s="4">
        <v>1.9363650390547249</v>
      </c>
      <c r="BT7" s="4">
        <v>7.02</v>
      </c>
      <c r="BU7" s="4">
        <v>0.42756712867803598</v>
      </c>
      <c r="BV7" s="4">
        <v>3.51</v>
      </c>
      <c r="BW7" s="4">
        <v>0.44154062465152655</v>
      </c>
      <c r="BX7" s="4">
        <v>2.21</v>
      </c>
      <c r="BY7" s="4">
        <v>0.12534287001228395</v>
      </c>
      <c r="BZ7" s="4"/>
      <c r="CA7" s="4">
        <v>5.0288467165350605E-2</v>
      </c>
      <c r="CB7" s="4">
        <f t="shared" si="0"/>
        <v>9.69</v>
      </c>
      <c r="CC7" s="4">
        <f t="shared" si="1"/>
        <v>2.5481270965872871</v>
      </c>
      <c r="CD7" s="4">
        <f t="shared" si="2"/>
        <v>0</v>
      </c>
      <c r="CE7" s="4">
        <f t="shared" si="3"/>
        <v>3.5378921733499408E-2</v>
      </c>
      <c r="CF7" s="4">
        <f t="shared" si="4"/>
        <v>12.401999999999999</v>
      </c>
      <c r="CG7" s="4">
        <f t="shared" si="5"/>
        <v>3.6391803974137411</v>
      </c>
      <c r="CH7" s="4">
        <f t="shared" si="6"/>
        <v>24.83</v>
      </c>
      <c r="CI7" s="4">
        <f t="shared" si="7"/>
        <v>3.2733554250517747</v>
      </c>
    </row>
    <row r="8" spans="1:87" x14ac:dyDescent="0.25">
      <c r="C8" t="s">
        <v>40</v>
      </c>
      <c r="D8" s="4">
        <v>3.36</v>
      </c>
      <c r="E8" s="4">
        <v>0.78960623360809801</v>
      </c>
      <c r="F8" s="4"/>
      <c r="G8" s="4">
        <v>1.3818630109277599E-2</v>
      </c>
      <c r="H8" s="4"/>
      <c r="I8" s="4">
        <v>0</v>
      </c>
      <c r="J8" s="4"/>
      <c r="K8" s="4">
        <v>0</v>
      </c>
      <c r="L8" s="4">
        <v>2.14</v>
      </c>
      <c r="M8" s="4">
        <v>4.0133144250146899E-2</v>
      </c>
      <c r="N8" s="4"/>
      <c r="O8" s="4">
        <v>2.6023062165192001E-3</v>
      </c>
      <c r="P8" s="4"/>
      <c r="Q8" s="4">
        <v>2.1062998773426902E-2</v>
      </c>
      <c r="R8" s="4"/>
      <c r="S8" s="4">
        <v>5.5475062293487403E-3</v>
      </c>
      <c r="T8" s="4"/>
      <c r="U8" s="4">
        <v>0</v>
      </c>
      <c r="V8" s="4"/>
      <c r="W8" s="4">
        <v>0</v>
      </c>
      <c r="X8" s="4"/>
      <c r="Y8" s="4">
        <v>0</v>
      </c>
      <c r="Z8" s="4"/>
      <c r="AA8" s="4">
        <v>0</v>
      </c>
      <c r="AB8" s="4"/>
      <c r="AC8" s="4">
        <v>0</v>
      </c>
      <c r="AD8" s="4"/>
      <c r="AE8" s="4">
        <v>0</v>
      </c>
      <c r="AF8" s="4"/>
      <c r="AG8" s="4">
        <v>0</v>
      </c>
      <c r="AH8" s="4">
        <v>5.17</v>
      </c>
      <c r="AI8" s="4">
        <v>0.50523927403996205</v>
      </c>
      <c r="AJ8" s="4">
        <v>2.29</v>
      </c>
      <c r="AK8" s="4">
        <v>0.36539778023237396</v>
      </c>
      <c r="AL8" s="4">
        <v>2.4300000000000002</v>
      </c>
      <c r="AM8" s="4">
        <v>0.32328649307469198</v>
      </c>
      <c r="AN8" s="4"/>
      <c r="AO8" s="4">
        <v>2.68430125780139E-2</v>
      </c>
      <c r="AP8" s="4"/>
      <c r="AQ8" s="4">
        <v>1.18975483383991E-2</v>
      </c>
      <c r="AR8" s="4"/>
      <c r="AS8" s="4">
        <v>0</v>
      </c>
      <c r="AT8" s="4"/>
      <c r="AU8" s="4">
        <v>0</v>
      </c>
      <c r="AV8" s="4"/>
      <c r="AW8" s="4">
        <v>0</v>
      </c>
      <c r="AX8" s="4"/>
      <c r="AY8" s="4">
        <v>3.84639919889388E-3</v>
      </c>
      <c r="AZ8" s="4"/>
      <c r="BA8" s="4">
        <v>0</v>
      </c>
      <c r="BB8" s="4"/>
      <c r="BC8" s="4">
        <v>0</v>
      </c>
      <c r="BD8" s="4"/>
      <c r="BE8" s="4">
        <v>0</v>
      </c>
      <c r="BF8" s="4"/>
      <c r="BG8" s="4">
        <v>0</v>
      </c>
      <c r="BH8" s="4"/>
      <c r="BI8" s="4">
        <v>0</v>
      </c>
      <c r="BJ8" s="4"/>
      <c r="BK8" s="4">
        <v>0</v>
      </c>
      <c r="BL8" s="4"/>
      <c r="BM8" s="4">
        <v>0</v>
      </c>
      <c r="BN8" s="4"/>
      <c r="BO8" s="4">
        <v>0</v>
      </c>
      <c r="BP8" s="4">
        <v>1.23</v>
      </c>
      <c r="BQ8" s="4">
        <v>9.6911218567987956E-2</v>
      </c>
      <c r="BR8" s="4">
        <v>7.61</v>
      </c>
      <c r="BS8" s="4">
        <v>0.51672229362191902</v>
      </c>
      <c r="BT8" s="4">
        <v>6.34</v>
      </c>
      <c r="BU8" s="4">
        <v>0.17091438572765072</v>
      </c>
      <c r="BV8" s="4">
        <v>3.46</v>
      </c>
      <c r="BW8" s="4">
        <v>0.13218645795696118</v>
      </c>
      <c r="BX8" s="4">
        <v>2.39</v>
      </c>
      <c r="BY8" s="4">
        <v>4.1003157029536594E-2</v>
      </c>
      <c r="BZ8" s="4">
        <v>1.1399999999999999</v>
      </c>
      <c r="CA8" s="4">
        <v>2.2455549144666177E-2</v>
      </c>
      <c r="CB8" s="4">
        <f t="shared" si="0"/>
        <v>5.5</v>
      </c>
      <c r="CC8" s="4">
        <f t="shared" si="1"/>
        <v>0.87277081918681743</v>
      </c>
      <c r="CD8" s="4">
        <f t="shared" si="2"/>
        <v>0</v>
      </c>
      <c r="CE8" s="4">
        <f t="shared" si="3"/>
        <v>3.84639919889388E-3</v>
      </c>
      <c r="CF8" s="4">
        <f t="shared" si="4"/>
        <v>9.89</v>
      </c>
      <c r="CG8" s="4">
        <f t="shared" si="5"/>
        <v>1.2326641082634411</v>
      </c>
      <c r="CH8" s="4">
        <f t="shared" si="6"/>
        <v>22.17</v>
      </c>
      <c r="CI8" s="4">
        <f t="shared" si="7"/>
        <v>0.9801930620487217</v>
      </c>
    </row>
    <row r="9" spans="1:87" x14ac:dyDescent="0.25">
      <c r="C9" t="s">
        <v>41</v>
      </c>
      <c r="D9" s="4">
        <v>1.31</v>
      </c>
      <c r="E9" s="4">
        <v>0.279018390056684</v>
      </c>
      <c r="F9" s="4"/>
      <c r="G9" s="4">
        <v>6.5073364540553106E-3</v>
      </c>
      <c r="H9" s="4"/>
      <c r="I9" s="4">
        <v>0</v>
      </c>
      <c r="J9" s="4"/>
      <c r="K9" s="4">
        <v>0</v>
      </c>
      <c r="L9" s="4">
        <v>0.76</v>
      </c>
      <c r="M9" s="4">
        <v>3.0518497895284297E-2</v>
      </c>
      <c r="N9" s="4"/>
      <c r="O9" s="4">
        <v>2.8251625857980398E-3</v>
      </c>
      <c r="P9" s="4"/>
      <c r="Q9" s="4">
        <v>2.64028903773092E-2</v>
      </c>
      <c r="R9" s="4"/>
      <c r="S9" s="4">
        <v>7.4585079263439708E-3</v>
      </c>
      <c r="T9" s="4"/>
      <c r="U9" s="4">
        <v>0</v>
      </c>
      <c r="V9" s="4"/>
      <c r="W9" s="4">
        <v>0</v>
      </c>
      <c r="X9" s="4"/>
      <c r="Y9" s="4">
        <v>0</v>
      </c>
      <c r="Z9" s="4"/>
      <c r="AA9" s="4">
        <v>0</v>
      </c>
      <c r="AB9" s="4"/>
      <c r="AC9" s="4">
        <v>0</v>
      </c>
      <c r="AD9" s="4"/>
      <c r="AE9" s="4">
        <v>0</v>
      </c>
      <c r="AF9" s="4"/>
      <c r="AG9" s="4">
        <v>0</v>
      </c>
      <c r="AH9" s="4">
        <v>3.83</v>
      </c>
      <c r="AI9" s="4">
        <v>0.63925431093827101</v>
      </c>
      <c r="AJ9" s="4">
        <v>1.78</v>
      </c>
      <c r="AK9" s="4">
        <v>0.43831271544360501</v>
      </c>
      <c r="AL9" s="4">
        <v>1.58</v>
      </c>
      <c r="AM9" s="4">
        <v>0.344819352976798</v>
      </c>
      <c r="AN9" s="4"/>
      <c r="AO9" s="4">
        <v>2.9631016779758098E-2</v>
      </c>
      <c r="AP9" s="4"/>
      <c r="AQ9" s="4">
        <v>1.2468631218282299E-2</v>
      </c>
      <c r="AR9" s="4"/>
      <c r="AS9" s="4">
        <v>0</v>
      </c>
      <c r="AT9" s="4"/>
      <c r="AU9" s="4">
        <v>0</v>
      </c>
      <c r="AV9" s="4"/>
      <c r="AW9" s="4">
        <v>0</v>
      </c>
      <c r="AX9" s="4"/>
      <c r="AY9" s="4">
        <v>2.769374528613595E-3</v>
      </c>
      <c r="AZ9" s="4"/>
      <c r="BA9" s="4">
        <v>0</v>
      </c>
      <c r="BB9" s="4"/>
      <c r="BC9" s="4">
        <v>0</v>
      </c>
      <c r="BD9" s="4"/>
      <c r="BE9" s="4">
        <v>0</v>
      </c>
      <c r="BF9" s="4"/>
      <c r="BG9" s="4">
        <v>0</v>
      </c>
      <c r="BH9" s="4"/>
      <c r="BI9" s="4">
        <v>2.9476215648256447E-3</v>
      </c>
      <c r="BJ9" s="4"/>
      <c r="BK9" s="4">
        <v>3.4423885011957045E-3</v>
      </c>
      <c r="BL9" s="4"/>
      <c r="BM9" s="4">
        <v>0</v>
      </c>
      <c r="BN9" s="4"/>
      <c r="BO9" s="4">
        <v>0</v>
      </c>
      <c r="BP9" s="4">
        <v>1.1000000000000001</v>
      </c>
      <c r="BQ9" s="4">
        <v>0.1020955943800058</v>
      </c>
      <c r="BR9" s="4">
        <v>6.48</v>
      </c>
      <c r="BS9" s="4">
        <v>0.7176094132707479</v>
      </c>
      <c r="BT9" s="4">
        <v>4.5999999999999996</v>
      </c>
      <c r="BU9" s="4">
        <v>0.21949159979208849</v>
      </c>
      <c r="BV9" s="4">
        <v>2.1800000000000002</v>
      </c>
      <c r="BW9" s="4">
        <v>0.17289452509140305</v>
      </c>
      <c r="BX9" s="4">
        <v>1.43</v>
      </c>
      <c r="BY9" s="4">
        <v>4.9447564206956299E-2</v>
      </c>
      <c r="BZ9" s="4">
        <v>0.66100000000000003</v>
      </c>
      <c r="CA9" s="4">
        <v>2.9113419824988634E-2</v>
      </c>
      <c r="CB9" s="4">
        <f t="shared" si="0"/>
        <v>2.0700000000000003</v>
      </c>
      <c r="CC9" s="4">
        <f t="shared" si="1"/>
        <v>0.3527307852954748</v>
      </c>
      <c r="CD9" s="4">
        <f t="shared" si="2"/>
        <v>0</v>
      </c>
      <c r="CE9" s="4">
        <f t="shared" si="3"/>
        <v>9.1593845946349433E-3</v>
      </c>
      <c r="CF9" s="4">
        <f t="shared" si="4"/>
        <v>7.19</v>
      </c>
      <c r="CG9" s="4">
        <f t="shared" si="5"/>
        <v>1.4644860273567142</v>
      </c>
      <c r="CH9" s="4">
        <f t="shared" si="6"/>
        <v>16.451000000000001</v>
      </c>
      <c r="CI9" s="4">
        <f t="shared" si="7"/>
        <v>1.2906521165661904</v>
      </c>
    </row>
    <row r="10" spans="1:87" x14ac:dyDescent="0.25">
      <c r="A10">
        <v>17</v>
      </c>
      <c r="B10" s="2">
        <v>45084</v>
      </c>
      <c r="C10" t="s">
        <v>39</v>
      </c>
      <c r="D10" s="4">
        <v>11.1</v>
      </c>
      <c r="E10" s="4">
        <v>3.67502333566574</v>
      </c>
      <c r="F10" s="4"/>
      <c r="G10" s="4">
        <v>5.2710090590919599E-2</v>
      </c>
      <c r="H10" s="4"/>
      <c r="I10" s="4">
        <v>0</v>
      </c>
      <c r="J10" s="4"/>
      <c r="K10" s="4">
        <v>0</v>
      </c>
      <c r="L10" s="4">
        <v>12.6</v>
      </c>
      <c r="M10" s="4">
        <v>0.22187965780612298</v>
      </c>
      <c r="N10" s="4"/>
      <c r="O10" s="4">
        <v>1.5030022547124601E-2</v>
      </c>
      <c r="P10" s="4">
        <v>1.19</v>
      </c>
      <c r="Q10" s="4">
        <v>7.3795781913673808E-2</v>
      </c>
      <c r="R10" s="4">
        <v>0.76</v>
      </c>
      <c r="S10" s="4">
        <v>3.49147823591077E-2</v>
      </c>
      <c r="T10" s="4">
        <v>1.27</v>
      </c>
      <c r="U10" s="4">
        <v>2.9367155782343599E-2</v>
      </c>
      <c r="V10" s="4">
        <v>1.48</v>
      </c>
      <c r="W10" s="4">
        <v>1.177727502749E-2</v>
      </c>
      <c r="X10" s="4">
        <v>0.998</v>
      </c>
      <c r="Y10" s="4">
        <v>3.71900619133E-3</v>
      </c>
      <c r="Z10" s="4"/>
      <c r="AA10" s="4">
        <v>0</v>
      </c>
      <c r="AB10" s="4"/>
      <c r="AC10" s="4">
        <v>0</v>
      </c>
      <c r="AD10" s="4">
        <v>3.32</v>
      </c>
      <c r="AE10" s="4">
        <v>1.6660111714123901E-2</v>
      </c>
      <c r="AF10" s="4">
        <v>1.48</v>
      </c>
      <c r="AG10" s="4">
        <v>1.1517704350125901E-2</v>
      </c>
      <c r="AH10" s="4">
        <v>124</v>
      </c>
      <c r="AI10" s="4">
        <v>10.835528744974001</v>
      </c>
      <c r="AJ10" s="4">
        <v>54</v>
      </c>
      <c r="AK10" s="4">
        <v>5.9692562438094399</v>
      </c>
      <c r="AL10" s="4">
        <v>42.1</v>
      </c>
      <c r="AM10" s="4">
        <v>3.5304297069530199</v>
      </c>
      <c r="AN10" s="4">
        <v>2.2400000000000002</v>
      </c>
      <c r="AO10" s="4">
        <v>0.37883498507369701</v>
      </c>
      <c r="AP10" s="4">
        <v>1.19</v>
      </c>
      <c r="AQ10" s="4">
        <v>0.17813655823584698</v>
      </c>
      <c r="AR10" s="4"/>
      <c r="AS10" s="4">
        <v>2.12743835140164E-2</v>
      </c>
      <c r="AT10" s="4"/>
      <c r="AU10" s="4">
        <v>0</v>
      </c>
      <c r="AV10" s="4"/>
      <c r="AW10" s="4">
        <v>0</v>
      </c>
      <c r="AX10" s="4">
        <v>0.753</v>
      </c>
      <c r="AY10" s="4">
        <v>2.7330063803399352E-2</v>
      </c>
      <c r="AZ10" s="4"/>
      <c r="BA10" s="4">
        <v>2.46629679871813E-3</v>
      </c>
      <c r="BB10" s="4"/>
      <c r="BC10" s="4">
        <v>0</v>
      </c>
      <c r="BD10" s="4"/>
      <c r="BE10" s="4">
        <v>1.1024792686562189E-2</v>
      </c>
      <c r="BF10" s="4"/>
      <c r="BG10" s="4">
        <v>4.4394956552049752E-2</v>
      </c>
      <c r="BH10" s="4"/>
      <c r="BI10" s="4">
        <v>3.0188292932294948E-2</v>
      </c>
      <c r="BJ10" s="4"/>
      <c r="BK10" s="4">
        <v>2.1826027513332701E-2</v>
      </c>
      <c r="BL10" s="4"/>
      <c r="BM10" s="4">
        <v>0</v>
      </c>
      <c r="BN10" s="4"/>
      <c r="BO10" s="4">
        <v>0</v>
      </c>
      <c r="BP10" s="4">
        <v>40.799999999999997</v>
      </c>
      <c r="BQ10" s="4">
        <v>1.5371696030902051</v>
      </c>
      <c r="BR10" s="4">
        <v>181</v>
      </c>
      <c r="BS10" s="4">
        <v>15.305735766819165</v>
      </c>
      <c r="BT10" s="4">
        <v>158</v>
      </c>
      <c r="BU10" s="4">
        <v>2.9501752224288449</v>
      </c>
      <c r="BV10" s="4">
        <v>43.9</v>
      </c>
      <c r="BW10" s="4">
        <v>1.8463504174720931</v>
      </c>
      <c r="BX10" s="4">
        <v>22.9</v>
      </c>
      <c r="BY10" s="4">
        <v>0.40866443218217702</v>
      </c>
      <c r="BZ10" s="4">
        <v>8.6300000000000008</v>
      </c>
      <c r="CA10" s="4">
        <v>0.18121911757366274</v>
      </c>
      <c r="CB10" s="4">
        <f t="shared" si="0"/>
        <v>29.398000000000003</v>
      </c>
      <c r="CC10" s="4">
        <f t="shared" si="1"/>
        <v>4.1182171078838516</v>
      </c>
      <c r="CD10" s="4">
        <f t="shared" si="2"/>
        <v>0.753</v>
      </c>
      <c r="CE10" s="4">
        <f t="shared" si="3"/>
        <v>0.13723043028635706</v>
      </c>
      <c r="CF10" s="4">
        <f t="shared" si="4"/>
        <v>228.33</v>
      </c>
      <c r="CG10" s="4">
        <f t="shared" si="5"/>
        <v>20.941638438624267</v>
      </c>
      <c r="CH10" s="4">
        <f t="shared" si="6"/>
        <v>455.22999999999996</v>
      </c>
      <c r="CI10" s="4">
        <f t="shared" si="7"/>
        <v>22.229314559566145</v>
      </c>
    </row>
    <row r="11" spans="1:87" x14ac:dyDescent="0.25">
      <c r="C11" t="s">
        <v>40</v>
      </c>
      <c r="D11" s="4">
        <v>12.9</v>
      </c>
      <c r="E11" s="4">
        <v>2.7551055604085501</v>
      </c>
      <c r="F11" s="4"/>
      <c r="G11" s="4">
        <v>3.9803457530830998E-2</v>
      </c>
      <c r="H11" s="4"/>
      <c r="I11" s="4">
        <v>0</v>
      </c>
      <c r="J11" s="4"/>
      <c r="K11" s="4">
        <v>0</v>
      </c>
      <c r="L11" s="4">
        <v>12.1</v>
      </c>
      <c r="M11" s="4">
        <v>0.17811158942407701</v>
      </c>
      <c r="N11" s="4"/>
      <c r="O11" s="4">
        <v>7.2258822105941492E-3</v>
      </c>
      <c r="P11" s="4">
        <v>0.76900000000000002</v>
      </c>
      <c r="Q11" s="4">
        <v>4.3196445494956201E-2</v>
      </c>
      <c r="R11" s="4"/>
      <c r="S11" s="4">
        <v>1.86194526223438E-2</v>
      </c>
      <c r="T11" s="4">
        <v>0.65</v>
      </c>
      <c r="U11" s="4">
        <v>1.69262717975509E-2</v>
      </c>
      <c r="V11" s="4">
        <v>0.67800000000000005</v>
      </c>
      <c r="W11" s="4">
        <v>5.0055865967406302E-3</v>
      </c>
      <c r="X11" s="4"/>
      <c r="Y11" s="4">
        <v>0</v>
      </c>
      <c r="Z11" s="4"/>
      <c r="AA11" s="4">
        <v>0</v>
      </c>
      <c r="AB11" s="4"/>
      <c r="AC11" s="4">
        <v>0</v>
      </c>
      <c r="AD11" s="4">
        <v>1.71</v>
      </c>
      <c r="AE11" s="4">
        <v>1.1395948625353799E-2</v>
      </c>
      <c r="AF11" s="4">
        <v>0.65300000000000002</v>
      </c>
      <c r="AG11" s="4">
        <v>6.0242160625142193E-3</v>
      </c>
      <c r="AH11" s="4">
        <v>63.3</v>
      </c>
      <c r="AI11" s="4">
        <v>4.5231807834538307</v>
      </c>
      <c r="AJ11" s="4">
        <v>22.7</v>
      </c>
      <c r="AK11" s="4">
        <v>2.8542492831941599</v>
      </c>
      <c r="AL11" s="4">
        <v>22.7</v>
      </c>
      <c r="AM11" s="4">
        <v>1.79539685407369</v>
      </c>
      <c r="AN11" s="4">
        <v>1.0900000000000001</v>
      </c>
      <c r="AO11" s="4">
        <v>0.17329305665351502</v>
      </c>
      <c r="AP11" s="4">
        <v>0.54700000000000004</v>
      </c>
      <c r="AQ11" s="4">
        <v>8.3583860428090101E-2</v>
      </c>
      <c r="AR11" s="4"/>
      <c r="AS11" s="4">
        <v>1.0792537855158199E-2</v>
      </c>
      <c r="AT11" s="4"/>
      <c r="AU11" s="4">
        <v>0</v>
      </c>
      <c r="AV11" s="4"/>
      <c r="AW11" s="4">
        <v>0</v>
      </c>
      <c r="AX11" s="4">
        <v>0.94799999999999995</v>
      </c>
      <c r="AY11" s="4">
        <v>2.1480765512347504E-2</v>
      </c>
      <c r="AZ11" s="4"/>
      <c r="BA11" s="4">
        <v>1.3376403419051231E-3</v>
      </c>
      <c r="BB11" s="4"/>
      <c r="BC11" s="4">
        <v>0</v>
      </c>
      <c r="BD11" s="4"/>
      <c r="BE11" s="4">
        <v>5.6344680479036759E-3</v>
      </c>
      <c r="BF11" s="4"/>
      <c r="BG11" s="4">
        <v>2.0486206072156985E-2</v>
      </c>
      <c r="BH11" s="4"/>
      <c r="BI11" s="4">
        <v>1.0451948290635031E-2</v>
      </c>
      <c r="BJ11" s="4"/>
      <c r="BK11" s="4">
        <v>8.9858358554183899E-3</v>
      </c>
      <c r="BL11" s="4"/>
      <c r="BM11" s="4">
        <v>0</v>
      </c>
      <c r="BN11" s="4"/>
      <c r="BO11" s="4">
        <v>0</v>
      </c>
      <c r="BP11" s="4">
        <v>16.7</v>
      </c>
      <c r="BQ11" s="4">
        <v>0.56839127645739351</v>
      </c>
      <c r="BR11" s="4">
        <v>88.5</v>
      </c>
      <c r="BS11" s="4">
        <v>5.5625440524280751</v>
      </c>
      <c r="BT11" s="4">
        <v>69.400000000000006</v>
      </c>
      <c r="BU11" s="4">
        <v>1.2518256102986691</v>
      </c>
      <c r="BV11" s="4">
        <v>20.2</v>
      </c>
      <c r="BW11" s="4">
        <v>0.73344088456303003</v>
      </c>
      <c r="BX11" s="4">
        <v>9.32</v>
      </c>
      <c r="BY11" s="4">
        <v>0.15659987917422924</v>
      </c>
      <c r="BZ11" s="4">
        <v>3.75</v>
      </c>
      <c r="CA11" s="4">
        <v>7.2378222425363542E-2</v>
      </c>
      <c r="CB11" s="4">
        <f t="shared" si="0"/>
        <v>27.096999999999998</v>
      </c>
      <c r="CC11" s="4">
        <f t="shared" si="1"/>
        <v>3.0639942460856435</v>
      </c>
      <c r="CD11" s="4">
        <f t="shared" si="2"/>
        <v>0.94799999999999995</v>
      </c>
      <c r="CE11" s="4">
        <f t="shared" si="3"/>
        <v>6.8376864120366712E-2</v>
      </c>
      <c r="CF11" s="4">
        <f t="shared" si="4"/>
        <v>112.7</v>
      </c>
      <c r="CG11" s="4">
        <f t="shared" si="5"/>
        <v>9.4579165403463126</v>
      </c>
      <c r="CH11" s="4">
        <f t="shared" si="6"/>
        <v>207.87</v>
      </c>
      <c r="CI11" s="4">
        <f t="shared" si="7"/>
        <v>8.3451799253467609</v>
      </c>
    </row>
    <row r="12" spans="1:87" x14ac:dyDescent="0.25">
      <c r="C12" t="s">
        <v>41</v>
      </c>
      <c r="D12" s="4">
        <v>10.1</v>
      </c>
      <c r="E12" s="4">
        <v>1.6091218272130901</v>
      </c>
      <c r="F12" s="4"/>
      <c r="G12" s="4">
        <v>3.48060411972336E-2</v>
      </c>
      <c r="H12" s="4"/>
      <c r="I12" s="4">
        <v>0</v>
      </c>
      <c r="J12" s="4"/>
      <c r="K12" s="4">
        <v>0</v>
      </c>
      <c r="L12" s="4">
        <v>7.6</v>
      </c>
      <c r="M12" s="4">
        <v>0.11524712207587601</v>
      </c>
      <c r="N12" s="4"/>
      <c r="O12" s="4">
        <v>1.20451467714188E-2</v>
      </c>
      <c r="P12" s="4">
        <v>1.1299999999999999</v>
      </c>
      <c r="Q12" s="4">
        <v>8.3871477172770201E-2</v>
      </c>
      <c r="R12" s="4">
        <v>0.69299999999999995</v>
      </c>
      <c r="S12" s="4">
        <v>4.1619764345093103E-2</v>
      </c>
      <c r="T12" s="4">
        <v>1.27</v>
      </c>
      <c r="U12" s="4">
        <v>3.4153800334022003E-2</v>
      </c>
      <c r="V12" s="4">
        <v>1.49</v>
      </c>
      <c r="W12" s="4">
        <v>1.2351631347168199E-2</v>
      </c>
      <c r="X12" s="4">
        <v>0.92100000000000004</v>
      </c>
      <c r="Y12" s="4">
        <v>4.0851702599383208E-3</v>
      </c>
      <c r="Z12" s="4"/>
      <c r="AA12" s="4">
        <v>0</v>
      </c>
      <c r="AB12" s="4"/>
      <c r="AC12" s="4">
        <v>0</v>
      </c>
      <c r="AD12" s="4">
        <v>2.4500000000000002</v>
      </c>
      <c r="AE12" s="4">
        <v>1.20643796393429E-2</v>
      </c>
      <c r="AF12" s="4">
        <v>1.1599999999999999</v>
      </c>
      <c r="AG12" s="4">
        <v>9.1155236529303005E-3</v>
      </c>
      <c r="AH12" s="4">
        <v>117</v>
      </c>
      <c r="AI12" s="4">
        <v>9.8357407093285687</v>
      </c>
      <c r="AJ12" s="4">
        <v>46.4</v>
      </c>
      <c r="AK12" s="4">
        <v>7.4230781195522706</v>
      </c>
      <c r="AL12" s="4">
        <v>36.9</v>
      </c>
      <c r="AM12" s="4">
        <v>3.6727777893274602</v>
      </c>
      <c r="AN12" s="4">
        <v>1.89</v>
      </c>
      <c r="AO12" s="4">
        <v>0.36623319428279599</v>
      </c>
      <c r="AP12" s="4">
        <v>0.98699999999999999</v>
      </c>
      <c r="AQ12" s="4">
        <v>0.17022264270950799</v>
      </c>
      <c r="AR12" s="4"/>
      <c r="AS12" s="4">
        <v>1.68274816537143E-2</v>
      </c>
      <c r="AT12" s="4"/>
      <c r="AU12" s="4">
        <v>0</v>
      </c>
      <c r="AV12" s="4"/>
      <c r="AW12" s="4">
        <v>0</v>
      </c>
      <c r="AX12" s="4">
        <v>0.50900000000000001</v>
      </c>
      <c r="AY12" s="4">
        <v>1.2645314073531651E-2</v>
      </c>
      <c r="AZ12" s="4"/>
      <c r="BA12" s="4">
        <v>1.3444266951945485E-3</v>
      </c>
      <c r="BB12" s="4"/>
      <c r="BC12" s="4">
        <v>0</v>
      </c>
      <c r="BD12" s="4"/>
      <c r="BE12" s="4">
        <v>1.3881859657493304E-2</v>
      </c>
      <c r="BF12" s="4"/>
      <c r="BG12" s="4">
        <v>5.62097632959392E-2</v>
      </c>
      <c r="BH12" s="4"/>
      <c r="BI12" s="4">
        <v>3.011836119085385E-2</v>
      </c>
      <c r="BJ12" s="4"/>
      <c r="BK12" s="4">
        <v>2.0624772184046E-2</v>
      </c>
      <c r="BL12" s="4"/>
      <c r="BM12" s="4">
        <v>0</v>
      </c>
      <c r="BN12" s="4"/>
      <c r="BO12" s="4">
        <v>0</v>
      </c>
      <c r="BP12" s="4">
        <v>33.5</v>
      </c>
      <c r="BQ12" s="4">
        <v>1.352204809328623</v>
      </c>
      <c r="BR12" s="4">
        <v>171</v>
      </c>
      <c r="BS12" s="4">
        <v>14.213042037467297</v>
      </c>
      <c r="BT12" s="4">
        <v>137</v>
      </c>
      <c r="BU12" s="4">
        <v>2.6810979497808405</v>
      </c>
      <c r="BV12" s="4">
        <v>37.5</v>
      </c>
      <c r="BW12" s="4">
        <v>1.608714992248379</v>
      </c>
      <c r="BX12" s="4">
        <v>20.3</v>
      </c>
      <c r="BY12" s="4">
        <v>0.34982015776777198</v>
      </c>
      <c r="BZ12" s="4">
        <v>7.82</v>
      </c>
      <c r="CA12" s="4">
        <v>0.1612771691561265</v>
      </c>
      <c r="CB12" s="4">
        <f t="shared" si="0"/>
        <v>23.203999999999997</v>
      </c>
      <c r="CC12" s="4">
        <f t="shared" si="1"/>
        <v>1.9473019807166101</v>
      </c>
      <c r="CD12" s="4">
        <f t="shared" si="2"/>
        <v>0.50900000000000001</v>
      </c>
      <c r="CE12" s="4">
        <f t="shared" si="3"/>
        <v>0.13482449709705857</v>
      </c>
      <c r="CF12" s="4">
        <f t="shared" si="4"/>
        <v>206.78699999999998</v>
      </c>
      <c r="CG12" s="4">
        <f t="shared" si="5"/>
        <v>21.506059840146591</v>
      </c>
      <c r="CH12" s="4">
        <f t="shared" si="6"/>
        <v>407.12</v>
      </c>
      <c r="CI12" s="4">
        <f t="shared" si="7"/>
        <v>20.36615711574904</v>
      </c>
    </row>
    <row r="13" spans="1:87" x14ac:dyDescent="0.25">
      <c r="A13">
        <v>38</v>
      </c>
      <c r="B13" s="2">
        <v>45105</v>
      </c>
      <c r="C13" t="s">
        <v>39</v>
      </c>
      <c r="D13" s="4">
        <v>1.65</v>
      </c>
      <c r="E13" s="4">
        <v>0.47456697291351996</v>
      </c>
      <c r="F13" s="4"/>
      <c r="G13" s="4">
        <v>1.0714507365478401E-2</v>
      </c>
      <c r="H13" s="4"/>
      <c r="I13" s="4">
        <v>0</v>
      </c>
      <c r="J13" s="4"/>
      <c r="K13" s="4">
        <v>0</v>
      </c>
      <c r="L13" s="4">
        <v>1.32</v>
      </c>
      <c r="M13" s="4">
        <v>2.6532308742198498E-2</v>
      </c>
      <c r="N13" s="4"/>
      <c r="O13" s="4">
        <v>7.3776302534387895E-3</v>
      </c>
      <c r="P13" s="4">
        <v>2.44</v>
      </c>
      <c r="Q13" s="4">
        <v>0.107156169024134</v>
      </c>
      <c r="R13" s="4">
        <v>1.66</v>
      </c>
      <c r="S13" s="4">
        <v>5.4210330547925699E-2</v>
      </c>
      <c r="T13" s="4">
        <v>2.27</v>
      </c>
      <c r="U13" s="4">
        <v>4.00500470331797E-2</v>
      </c>
      <c r="V13" s="4">
        <v>1.74</v>
      </c>
      <c r="W13" s="4">
        <v>1.5297612110506099E-2</v>
      </c>
      <c r="X13" s="4">
        <v>0.60699999999999998</v>
      </c>
      <c r="Y13" s="4">
        <v>3.8852212077120298E-3</v>
      </c>
      <c r="Z13" s="4"/>
      <c r="AA13" s="4">
        <v>0</v>
      </c>
      <c r="AB13" s="4"/>
      <c r="AC13" s="4">
        <v>0</v>
      </c>
      <c r="AD13" s="4">
        <v>5.88</v>
      </c>
      <c r="AE13" s="4">
        <v>2.9408653847937602E-2</v>
      </c>
      <c r="AF13" s="4">
        <v>5.04</v>
      </c>
      <c r="AG13" s="4">
        <v>2.2203826120604401E-2</v>
      </c>
      <c r="AH13" s="4">
        <v>285</v>
      </c>
      <c r="AI13" s="4">
        <v>17.950616136018301</v>
      </c>
      <c r="AJ13" s="4">
        <v>135</v>
      </c>
      <c r="AK13" s="4">
        <v>14.6440039623887</v>
      </c>
      <c r="AL13" s="4">
        <v>93.3</v>
      </c>
      <c r="AM13" s="4">
        <v>5.0016911305427003</v>
      </c>
      <c r="AN13" s="4">
        <v>2.96</v>
      </c>
      <c r="AO13" s="4">
        <v>0.45625967794779304</v>
      </c>
      <c r="AP13" s="4">
        <v>1.61</v>
      </c>
      <c r="AQ13" s="4">
        <v>0.19855296137720099</v>
      </c>
      <c r="AR13" s="4"/>
      <c r="AS13" s="4">
        <v>3.23563367144315E-2</v>
      </c>
      <c r="AT13" s="4"/>
      <c r="AU13" s="4">
        <v>0</v>
      </c>
      <c r="AV13" s="4"/>
      <c r="AW13" s="4">
        <v>0</v>
      </c>
      <c r="AX13" s="4"/>
      <c r="AY13" s="4">
        <v>3.4993840018234202E-3</v>
      </c>
      <c r="AZ13" s="4"/>
      <c r="BA13" s="4">
        <v>0</v>
      </c>
      <c r="BB13" s="4"/>
      <c r="BC13" s="4">
        <v>1.0119185709119639E-2</v>
      </c>
      <c r="BD13" s="4"/>
      <c r="BE13" s="4">
        <v>2.077109261870725E-2</v>
      </c>
      <c r="BF13" s="4"/>
      <c r="BG13" s="4">
        <v>7.8280441633385392E-2</v>
      </c>
      <c r="BH13" s="4"/>
      <c r="BI13" s="4">
        <v>2.2599241329179898E-2</v>
      </c>
      <c r="BJ13" s="4"/>
      <c r="BK13" s="4">
        <v>7.25674669640593E-3</v>
      </c>
      <c r="BL13" s="4"/>
      <c r="BM13" s="4">
        <v>0</v>
      </c>
      <c r="BN13" s="4">
        <v>0.64100000000000001</v>
      </c>
      <c r="BO13" s="4">
        <v>0</v>
      </c>
      <c r="BP13" s="4">
        <v>93</v>
      </c>
      <c r="BQ13" s="4">
        <v>3.6083164488543149</v>
      </c>
      <c r="BR13" s="4">
        <v>405</v>
      </c>
      <c r="BS13" s="4">
        <v>33.651710510482957</v>
      </c>
      <c r="BT13" s="4">
        <v>302</v>
      </c>
      <c r="BU13" s="4">
        <v>4.1098330811812147</v>
      </c>
      <c r="BV13" s="4">
        <v>37.299999999999997</v>
      </c>
      <c r="BW13" s="4">
        <v>1.0730215300607702</v>
      </c>
      <c r="BX13" s="4">
        <v>12.3</v>
      </c>
      <c r="BY13" s="4">
        <v>0.15222149177864505</v>
      </c>
      <c r="BZ13" s="4">
        <v>3.4</v>
      </c>
      <c r="CA13" s="4">
        <v>5.0528676136253253E-2</v>
      </c>
      <c r="CB13" s="4">
        <f t="shared" si="0"/>
        <v>11.686999999999999</v>
      </c>
      <c r="CC13" s="4">
        <f t="shared" si="1"/>
        <v>0.73979079919809321</v>
      </c>
      <c r="CD13" s="4">
        <f t="shared" si="2"/>
        <v>0</v>
      </c>
      <c r="CE13" s="4">
        <f t="shared" si="3"/>
        <v>0.14252609198862154</v>
      </c>
      <c r="CF13" s="4">
        <f t="shared" si="4"/>
        <v>528.79000000000008</v>
      </c>
      <c r="CG13" s="4">
        <f t="shared" si="5"/>
        <v>38.335092684957672</v>
      </c>
      <c r="CH13" s="4">
        <f t="shared" si="6"/>
        <v>853.64099999999996</v>
      </c>
      <c r="CI13" s="4">
        <f t="shared" si="7"/>
        <v>42.64563173849416</v>
      </c>
    </row>
    <row r="14" spans="1:87" x14ac:dyDescent="0.25">
      <c r="C14" t="s">
        <v>40</v>
      </c>
      <c r="D14" s="4">
        <v>6.15</v>
      </c>
      <c r="E14" s="4">
        <v>0.81752364008779099</v>
      </c>
      <c r="F14" s="4"/>
      <c r="G14" s="4">
        <v>1.8483968979916401E-2</v>
      </c>
      <c r="H14" s="4"/>
      <c r="I14" s="4">
        <v>0</v>
      </c>
      <c r="J14" s="4"/>
      <c r="K14" s="4">
        <v>0</v>
      </c>
      <c r="L14" s="4">
        <v>3.41</v>
      </c>
      <c r="M14" s="4">
        <v>3.3488525233316802E-2</v>
      </c>
      <c r="N14" s="4"/>
      <c r="O14" s="4">
        <v>3.7931325441260201E-3</v>
      </c>
      <c r="P14" s="4">
        <v>2.0299999999999998</v>
      </c>
      <c r="Q14" s="4">
        <v>4.6570570423550894E-2</v>
      </c>
      <c r="R14" s="4">
        <v>1.21</v>
      </c>
      <c r="S14" s="4">
        <v>2.2460409862691998E-2</v>
      </c>
      <c r="T14" s="4">
        <v>1.81</v>
      </c>
      <c r="U14" s="4">
        <v>1.7348980508508301E-2</v>
      </c>
      <c r="V14" s="4">
        <v>1.31</v>
      </c>
      <c r="W14" s="4">
        <v>5.7448802761218692E-3</v>
      </c>
      <c r="X14" s="4"/>
      <c r="Y14" s="4">
        <v>0</v>
      </c>
      <c r="Z14" s="4"/>
      <c r="AA14" s="4">
        <v>0</v>
      </c>
      <c r="AB14" s="4"/>
      <c r="AC14" s="4">
        <v>0</v>
      </c>
      <c r="AD14" s="4">
        <v>5</v>
      </c>
      <c r="AE14" s="4">
        <v>1.8867048921763198E-2</v>
      </c>
      <c r="AF14" s="4">
        <v>4.13</v>
      </c>
      <c r="AG14" s="4">
        <v>1.0689204284392399E-2</v>
      </c>
      <c r="AH14" s="4">
        <v>248</v>
      </c>
      <c r="AI14" s="4">
        <v>6.4683392317634496</v>
      </c>
      <c r="AJ14" s="4">
        <v>105</v>
      </c>
      <c r="AK14" s="4">
        <v>5.0072221111036095</v>
      </c>
      <c r="AL14" s="4">
        <v>89.1</v>
      </c>
      <c r="AM14" s="4">
        <v>2.2505623622516602</v>
      </c>
      <c r="AN14" s="4">
        <v>2.39</v>
      </c>
      <c r="AO14" s="4">
        <v>0.19442477662521901</v>
      </c>
      <c r="AP14" s="4">
        <v>0.89700000000000002</v>
      </c>
      <c r="AQ14" s="4">
        <v>8.2360791857298193E-2</v>
      </c>
      <c r="AR14" s="4"/>
      <c r="AS14" s="4">
        <v>1.5973331800111099E-2</v>
      </c>
      <c r="AT14" s="4"/>
      <c r="AU14" s="4">
        <v>0</v>
      </c>
      <c r="AV14" s="4"/>
      <c r="AW14" s="4">
        <v>0</v>
      </c>
      <c r="AX14" s="4"/>
      <c r="AY14" s="4">
        <v>4.9968066699074103E-3</v>
      </c>
      <c r="AZ14" s="4"/>
      <c r="BA14" s="4">
        <v>0</v>
      </c>
      <c r="BB14" s="4"/>
      <c r="BC14" s="4">
        <v>0</v>
      </c>
      <c r="BD14" s="4"/>
      <c r="BE14" s="4">
        <v>8.5650542022637846E-3</v>
      </c>
      <c r="BF14" s="4"/>
      <c r="BG14" s="4">
        <v>2.9762818022795796E-2</v>
      </c>
      <c r="BH14" s="4"/>
      <c r="BI14" s="4">
        <v>1.163996512011818E-2</v>
      </c>
      <c r="BJ14" s="4"/>
      <c r="BK14" s="4">
        <v>3.7563983423557854E-3</v>
      </c>
      <c r="BL14" s="4"/>
      <c r="BM14" s="4">
        <v>0</v>
      </c>
      <c r="BN14" s="4">
        <v>0.502</v>
      </c>
      <c r="BO14" s="4">
        <v>0</v>
      </c>
      <c r="BP14" s="4">
        <v>82.9</v>
      </c>
      <c r="BQ14" s="4">
        <v>1.1008016120363979</v>
      </c>
      <c r="BR14" s="4">
        <v>378</v>
      </c>
      <c r="BS14" s="4">
        <v>9.5342121756762701</v>
      </c>
      <c r="BT14" s="4">
        <v>267</v>
      </c>
      <c r="BU14" s="4">
        <v>1.5028775703246815</v>
      </c>
      <c r="BV14" s="4">
        <v>29.6</v>
      </c>
      <c r="BW14" s="4">
        <v>0.55580561642446102</v>
      </c>
      <c r="BX14" s="4">
        <v>9.2100000000000009</v>
      </c>
      <c r="BY14" s="4">
        <v>7.8153960323339808E-2</v>
      </c>
      <c r="BZ14" s="4">
        <v>2.52</v>
      </c>
      <c r="CA14" s="4">
        <v>2.7501892787467848E-2</v>
      </c>
      <c r="CB14" s="4">
        <f t="shared" si="0"/>
        <v>15.920000000000002</v>
      </c>
      <c r="CC14" s="4">
        <f t="shared" si="1"/>
        <v>0.96541410791602345</v>
      </c>
      <c r="CD14" s="4">
        <f t="shared" si="2"/>
        <v>0</v>
      </c>
      <c r="CE14" s="4">
        <f t="shared" si="3"/>
        <v>5.872104235744096E-2</v>
      </c>
      <c r="CF14" s="4">
        <f t="shared" si="4"/>
        <v>454.517</v>
      </c>
      <c r="CG14" s="4">
        <f t="shared" si="5"/>
        <v>14.048438858607504</v>
      </c>
      <c r="CH14" s="4">
        <f t="shared" si="6"/>
        <v>769.73200000000008</v>
      </c>
      <c r="CI14" s="4">
        <f t="shared" si="7"/>
        <v>12.799352827572617</v>
      </c>
    </row>
    <row r="15" spans="1:87" x14ac:dyDescent="0.25">
      <c r="C15" t="s">
        <v>41</v>
      </c>
      <c r="D15" s="4">
        <v>2.79</v>
      </c>
      <c r="E15" s="4">
        <v>0.56360375292007203</v>
      </c>
      <c r="F15" s="4"/>
      <c r="G15" s="4">
        <v>1.40968050056729E-2</v>
      </c>
      <c r="H15" s="4"/>
      <c r="I15" s="4">
        <v>0</v>
      </c>
      <c r="J15" s="4"/>
      <c r="K15" s="4">
        <v>0</v>
      </c>
      <c r="L15" s="4">
        <v>1.54</v>
      </c>
      <c r="M15" s="4">
        <v>2.2925038679851698E-2</v>
      </c>
      <c r="N15" s="4"/>
      <c r="O15" s="4">
        <v>4.7618705283005401E-3</v>
      </c>
      <c r="P15" s="4">
        <v>2.34</v>
      </c>
      <c r="Q15" s="4">
        <v>9.3911152115214197E-2</v>
      </c>
      <c r="R15" s="4">
        <v>1.5</v>
      </c>
      <c r="S15" s="4">
        <v>4.99200196084294E-2</v>
      </c>
      <c r="T15" s="4">
        <v>2.0099999999999998</v>
      </c>
      <c r="U15" s="4">
        <v>3.1663821973688298E-2</v>
      </c>
      <c r="V15" s="4">
        <v>1.39</v>
      </c>
      <c r="W15" s="4">
        <v>1.20682546284227E-2</v>
      </c>
      <c r="X15" s="4"/>
      <c r="Y15" s="4">
        <v>3.1217518201245098E-3</v>
      </c>
      <c r="Z15" s="4"/>
      <c r="AA15" s="4">
        <v>0</v>
      </c>
      <c r="AB15" s="4"/>
      <c r="AC15" s="4">
        <v>0</v>
      </c>
      <c r="AD15" s="4">
        <v>4.88</v>
      </c>
      <c r="AE15" s="4">
        <v>1.9187682386456299E-2</v>
      </c>
      <c r="AF15" s="4">
        <v>4.58</v>
      </c>
      <c r="AG15" s="4">
        <v>1.74804326784944E-2</v>
      </c>
      <c r="AH15" s="4">
        <v>287</v>
      </c>
      <c r="AI15" s="4">
        <v>14.209710185902601</v>
      </c>
      <c r="AJ15" s="4">
        <v>139</v>
      </c>
      <c r="AK15" s="4">
        <v>11.2446959444881</v>
      </c>
      <c r="AL15" s="4">
        <v>88.1</v>
      </c>
      <c r="AM15" s="4">
        <v>3.8405693601750701</v>
      </c>
      <c r="AN15" s="4">
        <v>2.69</v>
      </c>
      <c r="AO15" s="4">
        <v>0.37079378889122599</v>
      </c>
      <c r="AP15" s="4">
        <v>1.1000000000000001</v>
      </c>
      <c r="AQ15" s="4">
        <v>0.16554012338117</v>
      </c>
      <c r="AR15" s="4"/>
      <c r="AS15" s="4">
        <v>2.49589603238329E-2</v>
      </c>
      <c r="AT15" s="4"/>
      <c r="AU15" s="4">
        <v>0</v>
      </c>
      <c r="AV15" s="4"/>
      <c r="AW15" s="4">
        <v>0</v>
      </c>
      <c r="AX15" s="4"/>
      <c r="AY15" s="4">
        <v>3.1139371853736854E-3</v>
      </c>
      <c r="AZ15" s="4"/>
      <c r="BA15" s="4">
        <v>0</v>
      </c>
      <c r="BB15" s="4"/>
      <c r="BC15" s="4">
        <v>0</v>
      </c>
      <c r="BD15" s="4"/>
      <c r="BE15" s="4">
        <v>1.8398940793751897E-2</v>
      </c>
      <c r="BF15" s="4"/>
      <c r="BG15" s="4">
        <v>6.0657717322553907E-2</v>
      </c>
      <c r="BH15" s="4"/>
      <c r="BI15" s="4">
        <v>2.1205425999709652E-2</v>
      </c>
      <c r="BJ15" s="4"/>
      <c r="BK15" s="4">
        <v>4.1850793143174197E-3</v>
      </c>
      <c r="BL15" s="4"/>
      <c r="BM15" s="4">
        <v>0</v>
      </c>
      <c r="BN15" s="4">
        <v>0.60199999999999998</v>
      </c>
      <c r="BO15" s="4">
        <v>0</v>
      </c>
      <c r="BP15" s="4">
        <v>102</v>
      </c>
      <c r="BQ15" s="4">
        <v>2.5499455529131549</v>
      </c>
      <c r="BR15" s="4">
        <v>455</v>
      </c>
      <c r="BS15" s="4">
        <v>22.284176851409452</v>
      </c>
      <c r="BT15" s="4">
        <v>318</v>
      </c>
      <c r="BU15" s="4">
        <v>2.8042007651053149</v>
      </c>
      <c r="BV15" s="4">
        <v>29.5</v>
      </c>
      <c r="BW15" s="4">
        <v>0.85592688848670007</v>
      </c>
      <c r="BX15" s="4">
        <v>10.7</v>
      </c>
      <c r="BY15" s="4">
        <v>0.1080090741365741</v>
      </c>
      <c r="BZ15" s="4">
        <v>2.8</v>
      </c>
      <c r="CA15" s="4">
        <v>3.4098407660503802E-2</v>
      </c>
      <c r="CB15" s="4">
        <f t="shared" si="0"/>
        <v>11.57</v>
      </c>
      <c r="CC15" s="4">
        <f t="shared" si="1"/>
        <v>0.79607246727977632</v>
      </c>
      <c r="CD15" s="4">
        <f t="shared" si="2"/>
        <v>0</v>
      </c>
      <c r="CE15" s="4">
        <f t="shared" si="3"/>
        <v>0.10756110061570655</v>
      </c>
      <c r="CF15" s="4">
        <f t="shared" si="4"/>
        <v>527.35</v>
      </c>
      <c r="CG15" s="4">
        <f t="shared" si="5"/>
        <v>29.89293647822695</v>
      </c>
      <c r="CH15" s="4">
        <f t="shared" si="6"/>
        <v>918.60199999999998</v>
      </c>
      <c r="CI15" s="4">
        <f t="shared" si="7"/>
        <v>28.6363575397117</v>
      </c>
    </row>
    <row r="16" spans="1:87" x14ac:dyDescent="0.25">
      <c r="A16">
        <v>57</v>
      </c>
      <c r="B16" s="2">
        <v>45124</v>
      </c>
      <c r="C16" t="s">
        <v>39</v>
      </c>
      <c r="D16" s="4">
        <v>3.17</v>
      </c>
      <c r="E16" s="4">
        <v>0.68973237880904303</v>
      </c>
      <c r="F16" s="4"/>
      <c r="G16" s="4">
        <v>1.5414459421945199E-2</v>
      </c>
      <c r="H16" s="4"/>
      <c r="I16" s="4">
        <v>0</v>
      </c>
      <c r="J16" s="4"/>
      <c r="K16" s="4">
        <v>0</v>
      </c>
      <c r="L16" s="4">
        <v>2.36</v>
      </c>
      <c r="M16" s="4">
        <v>3.00340268400104E-2</v>
      </c>
      <c r="N16" s="4"/>
      <c r="O16" s="4">
        <v>4.9915542995211098E-3</v>
      </c>
      <c r="P16" s="4">
        <v>3.32</v>
      </c>
      <c r="Q16" s="4">
        <v>9.3097136993615395E-2</v>
      </c>
      <c r="R16" s="4">
        <v>2.06</v>
      </c>
      <c r="S16" s="4">
        <v>4.8083620149294799E-2</v>
      </c>
      <c r="T16" s="4">
        <v>2.62</v>
      </c>
      <c r="U16" s="4">
        <v>3.9158369226801597E-2</v>
      </c>
      <c r="V16" s="4">
        <v>2.02</v>
      </c>
      <c r="W16" s="4">
        <v>1.4108046349941599E-2</v>
      </c>
      <c r="X16" s="4">
        <v>0.82299999999999995</v>
      </c>
      <c r="Y16" s="4">
        <v>4.3675021552802996E-3</v>
      </c>
      <c r="Z16" s="4"/>
      <c r="AA16" s="4">
        <v>0</v>
      </c>
      <c r="AB16" s="4"/>
      <c r="AC16" s="4">
        <v>0</v>
      </c>
      <c r="AD16" s="4">
        <v>5.03</v>
      </c>
      <c r="AE16" s="4">
        <v>1.8373239981052902E-2</v>
      </c>
      <c r="AF16" s="4">
        <v>6.65</v>
      </c>
      <c r="AG16" s="4">
        <v>1.9789815939691303E-2</v>
      </c>
      <c r="AH16" s="4">
        <v>415</v>
      </c>
      <c r="AI16" s="4">
        <v>15.308263091115199</v>
      </c>
      <c r="AJ16" s="4">
        <v>202</v>
      </c>
      <c r="AK16" s="4">
        <v>12.715707396533901</v>
      </c>
      <c r="AL16" s="4">
        <v>150</v>
      </c>
      <c r="AM16" s="4">
        <v>5.5331546916020695</v>
      </c>
      <c r="AN16" s="4">
        <v>4.3099999999999996</v>
      </c>
      <c r="AO16" s="4">
        <v>0.55423502122565194</v>
      </c>
      <c r="AP16" s="4">
        <v>1.94</v>
      </c>
      <c r="AQ16" s="4">
        <v>0.24664696213113099</v>
      </c>
      <c r="AR16" s="4"/>
      <c r="AS16" s="4">
        <v>4.2757357829126E-2</v>
      </c>
      <c r="AT16" s="4"/>
      <c r="AU16" s="4">
        <v>0</v>
      </c>
      <c r="AV16" s="4"/>
      <c r="AW16" s="4">
        <v>0</v>
      </c>
      <c r="AX16" s="4"/>
      <c r="AY16" s="4">
        <v>3.72570804732199E-3</v>
      </c>
      <c r="AZ16" s="4"/>
      <c r="BA16" s="4">
        <v>0</v>
      </c>
      <c r="BB16" s="4"/>
      <c r="BC16" s="4">
        <v>0</v>
      </c>
      <c r="BD16" s="4"/>
      <c r="BE16" s="4">
        <v>1.85355360499827E-2</v>
      </c>
      <c r="BF16" s="4"/>
      <c r="BG16" s="4">
        <v>6.3965205536623992E-2</v>
      </c>
      <c r="BH16" s="4"/>
      <c r="BI16" s="4">
        <v>2.1858796372347448E-2</v>
      </c>
      <c r="BJ16" s="4"/>
      <c r="BK16" s="4">
        <v>9.1619929053933548E-3</v>
      </c>
      <c r="BL16" s="4"/>
      <c r="BM16" s="4">
        <v>0</v>
      </c>
      <c r="BN16" s="4">
        <v>0.753</v>
      </c>
      <c r="BO16" s="4">
        <v>0</v>
      </c>
      <c r="BP16" s="4">
        <v>129</v>
      </c>
      <c r="BQ16" s="4">
        <v>2.9442522834545</v>
      </c>
      <c r="BR16" s="4">
        <v>614</v>
      </c>
      <c r="BS16" s="4">
        <v>27.188591933462348</v>
      </c>
      <c r="BT16" s="4">
        <v>428</v>
      </c>
      <c r="BU16" s="4">
        <v>3.8886065348204348</v>
      </c>
      <c r="BV16" s="4">
        <v>40.4</v>
      </c>
      <c r="BW16" s="4">
        <v>1.2810854887995107</v>
      </c>
      <c r="BX16" s="4">
        <v>16.600000000000001</v>
      </c>
      <c r="BY16" s="4">
        <v>0.21644478226953898</v>
      </c>
      <c r="BZ16" s="4">
        <v>4.54</v>
      </c>
      <c r="CA16" s="4">
        <v>7.1160662144487546E-2</v>
      </c>
      <c r="CB16" s="4">
        <f t="shared" si="0"/>
        <v>16.373000000000001</v>
      </c>
      <c r="CC16" s="4">
        <f t="shared" si="1"/>
        <v>0.93898709424545346</v>
      </c>
      <c r="CD16" s="4">
        <f t="shared" si="2"/>
        <v>0</v>
      </c>
      <c r="CE16" s="4">
        <f t="shared" si="3"/>
        <v>0.11724723891166948</v>
      </c>
      <c r="CF16" s="4">
        <f t="shared" si="4"/>
        <v>784.93000000000006</v>
      </c>
      <c r="CG16" s="4">
        <f t="shared" si="5"/>
        <v>34.43892757635782</v>
      </c>
      <c r="CH16" s="4">
        <f t="shared" si="6"/>
        <v>1233.2929999999999</v>
      </c>
      <c r="CI16" s="4">
        <f t="shared" si="7"/>
        <v>35.590141684950822</v>
      </c>
    </row>
    <row r="17" spans="1:87" x14ac:dyDescent="0.25">
      <c r="C17" t="s">
        <v>40</v>
      </c>
      <c r="D17" s="4">
        <v>1.84</v>
      </c>
      <c r="E17" s="4">
        <v>0.42947039358863798</v>
      </c>
      <c r="F17" s="4"/>
      <c r="G17" s="4">
        <v>7.0542448656698599E-3</v>
      </c>
      <c r="H17" s="4"/>
      <c r="I17" s="4">
        <v>0</v>
      </c>
      <c r="J17" s="4"/>
      <c r="K17" s="4">
        <v>0</v>
      </c>
      <c r="L17" s="4">
        <v>1</v>
      </c>
      <c r="M17" s="4">
        <v>1.5007052692955799E-2</v>
      </c>
      <c r="N17" s="4"/>
      <c r="O17" s="4">
        <v>2.69775103344185E-3</v>
      </c>
      <c r="P17" s="4">
        <v>2.59</v>
      </c>
      <c r="Q17" s="4">
        <v>6.4711043081659897E-2</v>
      </c>
      <c r="R17" s="4">
        <v>1.55</v>
      </c>
      <c r="S17" s="4">
        <v>2.7504118597854302E-2</v>
      </c>
      <c r="T17" s="4">
        <v>1.82</v>
      </c>
      <c r="U17" s="4">
        <v>2.3506400259173499E-2</v>
      </c>
      <c r="V17" s="4">
        <v>1.27</v>
      </c>
      <c r="W17" s="4">
        <v>7.4245700138655703E-3</v>
      </c>
      <c r="X17" s="4">
        <v>0.51700000000000002</v>
      </c>
      <c r="Y17" s="4">
        <v>2.8705064614474199E-3</v>
      </c>
      <c r="Z17" s="4"/>
      <c r="AA17" s="4">
        <v>0</v>
      </c>
      <c r="AB17" s="4"/>
      <c r="AC17" s="4">
        <v>0</v>
      </c>
      <c r="AD17" s="4">
        <v>3.22</v>
      </c>
      <c r="AE17" s="4">
        <v>1.2895731141396799E-2</v>
      </c>
      <c r="AF17" s="4">
        <v>4.6500000000000004</v>
      </c>
      <c r="AG17" s="4">
        <v>1.1529417582512001E-2</v>
      </c>
      <c r="AH17" s="4">
        <v>323</v>
      </c>
      <c r="AI17" s="4">
        <v>10.1008984194719</v>
      </c>
      <c r="AJ17" s="4">
        <v>150</v>
      </c>
      <c r="AK17" s="4">
        <v>7.6726181491103196</v>
      </c>
      <c r="AL17" s="4">
        <v>107</v>
      </c>
      <c r="AM17" s="4">
        <v>3.7448282765504199</v>
      </c>
      <c r="AN17" s="4">
        <v>2.41</v>
      </c>
      <c r="AO17" s="4">
        <v>0.28694246162158205</v>
      </c>
      <c r="AP17" s="4">
        <v>1.1599999999999999</v>
      </c>
      <c r="AQ17" s="4">
        <v>0.126709780752263</v>
      </c>
      <c r="AR17" s="4"/>
      <c r="AS17" s="4">
        <v>2.1558482227100398E-2</v>
      </c>
      <c r="AT17" s="4"/>
      <c r="AU17" s="4">
        <v>0</v>
      </c>
      <c r="AV17" s="4"/>
      <c r="AW17" s="4">
        <v>0</v>
      </c>
      <c r="AX17" s="4"/>
      <c r="AY17" s="4">
        <v>0</v>
      </c>
      <c r="AZ17" s="4"/>
      <c r="BA17" s="4">
        <v>0</v>
      </c>
      <c r="BB17" s="4"/>
      <c r="BC17" s="4">
        <v>0</v>
      </c>
      <c r="BD17" s="4"/>
      <c r="BE17" s="4">
        <v>1.0970707498737393E-2</v>
      </c>
      <c r="BF17" s="4"/>
      <c r="BG17" s="4">
        <v>2.9470184345915845E-2</v>
      </c>
      <c r="BH17" s="4"/>
      <c r="BI17" s="4">
        <v>9.910801450857409E-3</v>
      </c>
      <c r="BJ17" s="4"/>
      <c r="BK17" s="4">
        <v>5.54031582668074E-3</v>
      </c>
      <c r="BL17" s="4"/>
      <c r="BM17" s="4">
        <v>0</v>
      </c>
      <c r="BN17" s="4"/>
      <c r="BO17" s="4">
        <v>0</v>
      </c>
      <c r="BP17" s="4">
        <v>100</v>
      </c>
      <c r="BQ17" s="4">
        <v>1.65836114027338</v>
      </c>
      <c r="BR17" s="4">
        <v>463</v>
      </c>
      <c r="BS17" s="4">
        <v>16.292055578649645</v>
      </c>
      <c r="BT17" s="4">
        <v>293</v>
      </c>
      <c r="BU17" s="4">
        <v>2.5323243029888456</v>
      </c>
      <c r="BV17" s="4">
        <v>26.5</v>
      </c>
      <c r="BW17" s="4">
        <v>0.73596285630648461</v>
      </c>
      <c r="BX17" s="4">
        <v>9.9</v>
      </c>
      <c r="BY17" s="4">
        <v>0.13653732913296135</v>
      </c>
      <c r="BZ17" s="4">
        <v>3</v>
      </c>
      <c r="CA17" s="4">
        <v>4.9065624402986653E-2</v>
      </c>
      <c r="CB17" s="4">
        <f t="shared" si="0"/>
        <v>10.586999999999998</v>
      </c>
      <c r="CC17" s="4">
        <f t="shared" si="1"/>
        <v>0.58024608059470606</v>
      </c>
      <c r="CD17" s="4">
        <f t="shared" si="2"/>
        <v>0</v>
      </c>
      <c r="CE17" s="4">
        <f t="shared" si="3"/>
        <v>5.5892009122191388E-2</v>
      </c>
      <c r="CF17" s="4">
        <f t="shared" si="4"/>
        <v>591.43999999999994</v>
      </c>
      <c r="CG17" s="4">
        <f t="shared" si="5"/>
        <v>21.977980718457491</v>
      </c>
      <c r="CH17" s="4">
        <f t="shared" si="6"/>
        <v>895.4</v>
      </c>
      <c r="CI17" s="4">
        <f t="shared" si="7"/>
        <v>21.404306831754301</v>
      </c>
    </row>
    <row r="18" spans="1:87" x14ac:dyDescent="0.25">
      <c r="C18" t="s">
        <v>41</v>
      </c>
      <c r="D18" s="4">
        <v>1.56</v>
      </c>
      <c r="E18" s="4">
        <v>0.32210511069560199</v>
      </c>
      <c r="F18" s="4"/>
      <c r="G18" s="4">
        <v>6.6743501273200502E-3</v>
      </c>
      <c r="H18" s="4"/>
      <c r="I18" s="4">
        <v>0</v>
      </c>
      <c r="J18" s="4"/>
      <c r="K18" s="4">
        <v>0</v>
      </c>
      <c r="L18" s="4"/>
      <c r="M18" s="4">
        <v>1.12463808041988E-2</v>
      </c>
      <c r="N18" s="4"/>
      <c r="O18" s="4">
        <v>3.0336585547517296E-3</v>
      </c>
      <c r="P18" s="4">
        <v>3</v>
      </c>
      <c r="Q18" s="4">
        <v>0.122337683612202</v>
      </c>
      <c r="R18" s="4">
        <v>1.86</v>
      </c>
      <c r="S18" s="4">
        <v>5.5610732630760704E-2</v>
      </c>
      <c r="T18" s="4">
        <v>2.0699999999999998</v>
      </c>
      <c r="U18" s="4">
        <v>3.5579949787219102E-2</v>
      </c>
      <c r="V18" s="4">
        <v>1.21</v>
      </c>
      <c r="W18" s="4">
        <v>1.1383355976669301E-2</v>
      </c>
      <c r="X18" s="4"/>
      <c r="Y18" s="4">
        <v>3.1216667510384601E-3</v>
      </c>
      <c r="Z18" s="4"/>
      <c r="AA18" s="4">
        <v>0</v>
      </c>
      <c r="AB18" s="4"/>
      <c r="AC18" s="4">
        <v>0</v>
      </c>
      <c r="AD18" s="4">
        <v>3.13</v>
      </c>
      <c r="AE18" s="4">
        <v>1.2333846591473E-2</v>
      </c>
      <c r="AF18" s="4">
        <v>5.76</v>
      </c>
      <c r="AG18" s="4">
        <v>1.7616738110509601E-2</v>
      </c>
      <c r="AH18" s="4">
        <v>398</v>
      </c>
      <c r="AI18" s="4">
        <v>17.773688354314501</v>
      </c>
      <c r="AJ18" s="4">
        <v>174</v>
      </c>
      <c r="AK18" s="4">
        <v>13.6145809669993</v>
      </c>
      <c r="AL18" s="4">
        <v>98.7</v>
      </c>
      <c r="AM18" s="4">
        <v>3.98937850733267</v>
      </c>
      <c r="AN18" s="4">
        <v>2.4</v>
      </c>
      <c r="AO18" s="4">
        <v>0.36028469449916201</v>
      </c>
      <c r="AP18" s="4">
        <v>1.02</v>
      </c>
      <c r="AQ18" s="4">
        <v>0.164807409900561</v>
      </c>
      <c r="AR18" s="4"/>
      <c r="AS18" s="4">
        <v>2.4908600108026799E-2</v>
      </c>
      <c r="AT18" s="4"/>
      <c r="AU18" s="4">
        <v>0</v>
      </c>
      <c r="AV18" s="4"/>
      <c r="AW18" s="4">
        <v>0</v>
      </c>
      <c r="AX18" s="4"/>
      <c r="AY18" s="4">
        <v>0</v>
      </c>
      <c r="AZ18" s="4"/>
      <c r="BA18" s="4">
        <v>0</v>
      </c>
      <c r="BB18" s="4"/>
      <c r="BC18" s="4">
        <v>0</v>
      </c>
      <c r="BD18" s="4"/>
      <c r="BE18" s="4">
        <v>2.3872895740790802E-2</v>
      </c>
      <c r="BF18" s="4"/>
      <c r="BG18" s="4">
        <v>6.0963392010367747E-2</v>
      </c>
      <c r="BH18" s="4"/>
      <c r="BI18" s="4">
        <v>2.0305624975952001E-2</v>
      </c>
      <c r="BJ18" s="4"/>
      <c r="BK18" s="4">
        <v>5.1691841125675354E-3</v>
      </c>
      <c r="BL18" s="4"/>
      <c r="BM18" s="4">
        <v>0</v>
      </c>
      <c r="BN18" s="4">
        <v>0.55600000000000005</v>
      </c>
      <c r="BO18" s="4">
        <v>0</v>
      </c>
      <c r="BP18" s="4">
        <v>126</v>
      </c>
      <c r="BQ18" s="4">
        <v>3.1979796473763047</v>
      </c>
      <c r="BR18" s="4">
        <v>549</v>
      </c>
      <c r="BS18" s="4">
        <v>29.309853383363198</v>
      </c>
      <c r="BT18" s="4">
        <v>333</v>
      </c>
      <c r="BU18" s="4">
        <v>2.7438752843255245</v>
      </c>
      <c r="BV18" s="4">
        <v>24.4</v>
      </c>
      <c r="BW18" s="4">
        <v>0.84985241895705244</v>
      </c>
      <c r="BX18" s="4">
        <v>9.09</v>
      </c>
      <c r="BY18" s="4">
        <v>0.13821241956749036</v>
      </c>
      <c r="BZ18" s="4">
        <v>2.59</v>
      </c>
      <c r="CA18" s="4">
        <v>4.6111374534836103E-2</v>
      </c>
      <c r="CB18" s="4">
        <f t="shared" si="0"/>
        <v>9.6999999999999993</v>
      </c>
      <c r="CC18" s="4">
        <f t="shared" si="1"/>
        <v>0.57109288893976207</v>
      </c>
      <c r="CD18" s="4">
        <f t="shared" si="2"/>
        <v>0</v>
      </c>
      <c r="CE18" s="4">
        <f t="shared" si="3"/>
        <v>0.11031109683967807</v>
      </c>
      <c r="CF18" s="4">
        <f t="shared" si="4"/>
        <v>683.01</v>
      </c>
      <c r="CG18" s="4">
        <f t="shared" si="5"/>
        <v>35.957599117856205</v>
      </c>
      <c r="CH18" s="4">
        <f t="shared" si="6"/>
        <v>1044.636</v>
      </c>
      <c r="CI18" s="4">
        <f t="shared" si="7"/>
        <v>36.285884528124413</v>
      </c>
    </row>
    <row r="19" spans="1:87" x14ac:dyDescent="0.25">
      <c r="A19">
        <v>61</v>
      </c>
      <c r="B19" s="2">
        <v>45128</v>
      </c>
      <c r="C19" t="s">
        <v>39</v>
      </c>
      <c r="D19" s="4"/>
      <c r="E19" s="4">
        <v>1.0859730285776401E-2</v>
      </c>
      <c r="F19" s="4"/>
      <c r="G19" s="4">
        <v>0</v>
      </c>
      <c r="H19" s="4"/>
      <c r="I19" s="4">
        <v>0</v>
      </c>
      <c r="J19" s="4"/>
      <c r="K19" s="4">
        <v>0</v>
      </c>
      <c r="L19" s="4"/>
      <c r="M19" s="4">
        <v>2.6515195355113802E-3</v>
      </c>
      <c r="N19" s="4"/>
      <c r="O19" s="4">
        <v>3.6211183527189899E-3</v>
      </c>
      <c r="P19" s="4">
        <v>2.88</v>
      </c>
      <c r="Q19" s="4">
        <v>6.9676128653275896E-2</v>
      </c>
      <c r="R19" s="4">
        <v>1.78</v>
      </c>
      <c r="S19" s="4">
        <v>3.82098923606249E-2</v>
      </c>
      <c r="T19" s="4">
        <v>2.2000000000000002</v>
      </c>
      <c r="U19" s="4">
        <v>2.6949181076347601E-2</v>
      </c>
      <c r="V19" s="4">
        <v>1.27</v>
      </c>
      <c r="W19" s="4">
        <v>1.01318094645198E-2</v>
      </c>
      <c r="X19" s="4"/>
      <c r="Y19" s="4">
        <v>3.29461466420089E-3</v>
      </c>
      <c r="Z19" s="4"/>
      <c r="AA19" s="4">
        <v>0</v>
      </c>
      <c r="AB19" s="4"/>
      <c r="AC19" s="4">
        <v>0</v>
      </c>
      <c r="AD19" s="4">
        <v>3.69</v>
      </c>
      <c r="AE19" s="4">
        <v>1.1028218196287201E-2</v>
      </c>
      <c r="AF19" s="4">
        <v>5.71</v>
      </c>
      <c r="AG19" s="4">
        <v>1.37345436145476E-2</v>
      </c>
      <c r="AH19" s="4">
        <v>365</v>
      </c>
      <c r="AI19" s="4">
        <v>11.191836639536399</v>
      </c>
      <c r="AJ19" s="4">
        <v>184</v>
      </c>
      <c r="AK19" s="4">
        <v>9.0647681064767198</v>
      </c>
      <c r="AL19" s="4">
        <v>120</v>
      </c>
      <c r="AM19" s="4">
        <v>3.6040390556858801</v>
      </c>
      <c r="AN19" s="4">
        <v>2.69</v>
      </c>
      <c r="AO19" s="4">
        <v>0.29737755128882704</v>
      </c>
      <c r="AP19" s="4">
        <v>1.35</v>
      </c>
      <c r="AQ19" s="4">
        <v>0.161957310661902</v>
      </c>
      <c r="AR19" s="4"/>
      <c r="AS19" s="4">
        <v>2.48710807927062E-2</v>
      </c>
      <c r="AT19" s="4"/>
      <c r="AU19" s="4">
        <v>0</v>
      </c>
      <c r="AV19" s="4"/>
      <c r="AW19" s="4">
        <v>0</v>
      </c>
      <c r="AX19" s="4"/>
      <c r="AY19" s="4">
        <v>0</v>
      </c>
      <c r="AZ19" s="4"/>
      <c r="BA19" s="4">
        <v>0</v>
      </c>
      <c r="BB19" s="4"/>
      <c r="BC19" s="4">
        <v>0</v>
      </c>
      <c r="BD19" s="4"/>
      <c r="BE19" s="4">
        <v>1.3714112240122801E-2</v>
      </c>
      <c r="BF19" s="4"/>
      <c r="BG19" s="4">
        <v>4.2309672619393703E-2</v>
      </c>
      <c r="BH19" s="4"/>
      <c r="BI19" s="4">
        <v>1.170114715736352E-2</v>
      </c>
      <c r="BJ19" s="4"/>
      <c r="BK19" s="4">
        <v>0</v>
      </c>
      <c r="BL19" s="4"/>
      <c r="BM19" s="4">
        <v>0</v>
      </c>
      <c r="BN19" s="4">
        <v>0.58899999999999997</v>
      </c>
      <c r="BO19" s="4">
        <v>0</v>
      </c>
      <c r="BP19" s="4">
        <v>117</v>
      </c>
      <c r="BQ19" s="4">
        <v>1.7231841699515049</v>
      </c>
      <c r="BR19" s="4">
        <v>526</v>
      </c>
      <c r="BS19" s="4">
        <v>15.281134002037867</v>
      </c>
      <c r="BT19" s="4">
        <v>357</v>
      </c>
      <c r="BU19" s="4">
        <v>1.889375948214445</v>
      </c>
      <c r="BV19" s="4">
        <v>25.7</v>
      </c>
      <c r="BW19" s="4">
        <v>0.4565276526168805</v>
      </c>
      <c r="BX19" s="4">
        <v>6.76</v>
      </c>
      <c r="BY19" s="4">
        <v>5.7540755837430298E-2</v>
      </c>
      <c r="BZ19" s="4">
        <v>1.26</v>
      </c>
      <c r="CA19" s="4">
        <v>1.2979008341621046E-2</v>
      </c>
      <c r="CB19" s="4">
        <f t="shared" si="0"/>
        <v>8.1300000000000008</v>
      </c>
      <c r="CC19" s="4">
        <f t="shared" si="1"/>
        <v>0.16539399439297589</v>
      </c>
      <c r="CD19" s="4">
        <f t="shared" si="2"/>
        <v>0</v>
      </c>
      <c r="CE19" s="4">
        <f t="shared" si="3"/>
        <v>6.7724932016880027E-2</v>
      </c>
      <c r="CF19" s="4">
        <f t="shared" si="4"/>
        <v>682.44</v>
      </c>
      <c r="CG19" s="4">
        <f t="shared" si="5"/>
        <v>24.369612506253265</v>
      </c>
      <c r="CH19" s="4">
        <f t="shared" si="6"/>
        <v>1034.309</v>
      </c>
      <c r="CI19" s="4">
        <f t="shared" si="7"/>
        <v>19.420741536999749</v>
      </c>
    </row>
    <row r="20" spans="1:87" x14ac:dyDescent="0.25">
      <c r="C20" t="s">
        <v>40</v>
      </c>
      <c r="D20" s="4"/>
      <c r="E20" s="4">
        <v>9.5133677631140598E-3</v>
      </c>
      <c r="F20" s="4"/>
      <c r="G20" s="4">
        <v>0</v>
      </c>
      <c r="H20" s="4"/>
      <c r="I20" s="4">
        <v>0</v>
      </c>
      <c r="J20" s="4"/>
      <c r="K20" s="4">
        <v>0</v>
      </c>
      <c r="L20" s="4"/>
      <c r="M20" s="4">
        <v>1.9355260240149E-3</v>
      </c>
      <c r="N20" s="4"/>
      <c r="O20" s="4">
        <v>2.52474404611672E-3</v>
      </c>
      <c r="P20" s="4">
        <v>2.2000000000000002</v>
      </c>
      <c r="Q20" s="4">
        <v>4.7105444929390602E-2</v>
      </c>
      <c r="R20" s="4">
        <v>1.23</v>
      </c>
      <c r="S20" s="4">
        <v>2.17988163822024E-2</v>
      </c>
      <c r="T20" s="4">
        <v>1.52</v>
      </c>
      <c r="U20" s="4">
        <v>1.62668779880514E-2</v>
      </c>
      <c r="V20" s="4">
        <v>0.75</v>
      </c>
      <c r="W20" s="4">
        <v>5.67138636541585E-3</v>
      </c>
      <c r="X20" s="4"/>
      <c r="Y20" s="4">
        <v>0</v>
      </c>
      <c r="Z20" s="4"/>
      <c r="AA20" s="4">
        <v>0</v>
      </c>
      <c r="AB20" s="4"/>
      <c r="AC20" s="4">
        <v>0</v>
      </c>
      <c r="AD20" s="4">
        <v>2.2400000000000002</v>
      </c>
      <c r="AE20" s="4">
        <v>5.9754643161275397E-3</v>
      </c>
      <c r="AF20" s="4">
        <v>3.6</v>
      </c>
      <c r="AG20" s="4">
        <v>8.002606638203319E-3</v>
      </c>
      <c r="AH20" s="4">
        <v>290</v>
      </c>
      <c r="AI20" s="4">
        <v>7.34638398120312</v>
      </c>
      <c r="AJ20" s="4">
        <v>118</v>
      </c>
      <c r="AK20" s="4">
        <v>4.83857959887633</v>
      </c>
      <c r="AL20" s="4">
        <v>85.7</v>
      </c>
      <c r="AM20" s="4">
        <v>1.9112769767770998</v>
      </c>
      <c r="AN20" s="4">
        <v>1.52</v>
      </c>
      <c r="AO20" s="4">
        <v>0.154295329528676</v>
      </c>
      <c r="AP20" s="4">
        <v>0.58199999999999996</v>
      </c>
      <c r="AQ20" s="4">
        <v>7.0184972204941506E-2</v>
      </c>
      <c r="AR20" s="4"/>
      <c r="AS20" s="4">
        <v>1.3484687541245799E-2</v>
      </c>
      <c r="AT20" s="4"/>
      <c r="AU20" s="4">
        <v>0</v>
      </c>
      <c r="AV20" s="4"/>
      <c r="AW20" s="4">
        <v>0</v>
      </c>
      <c r="AX20" s="4"/>
      <c r="AY20" s="4">
        <v>0</v>
      </c>
      <c r="AZ20" s="4"/>
      <c r="BA20" s="4">
        <v>0</v>
      </c>
      <c r="BB20" s="4"/>
      <c r="BC20" s="4">
        <v>0</v>
      </c>
      <c r="BD20" s="4"/>
      <c r="BE20" s="4">
        <v>8.7620541005839214E-3</v>
      </c>
      <c r="BF20" s="4"/>
      <c r="BG20" s="4">
        <v>2.2574046419860216E-2</v>
      </c>
      <c r="BH20" s="4"/>
      <c r="BI20" s="4">
        <v>6.4122437866597406E-3</v>
      </c>
      <c r="BJ20" s="4"/>
      <c r="BK20" s="4">
        <v>0</v>
      </c>
      <c r="BL20" s="4"/>
      <c r="BM20" s="4">
        <v>0</v>
      </c>
      <c r="BN20" s="4"/>
      <c r="BO20" s="4">
        <v>0</v>
      </c>
      <c r="BP20" s="4">
        <v>81.7</v>
      </c>
      <c r="BQ20" s="4">
        <v>0.95341610203079863</v>
      </c>
      <c r="BR20" s="4">
        <v>372</v>
      </c>
      <c r="BS20" s="4">
        <v>7.9153806574561951</v>
      </c>
      <c r="BT20" s="4">
        <v>218</v>
      </c>
      <c r="BU20" s="4">
        <v>1.0196944359322275</v>
      </c>
      <c r="BV20" s="4">
        <v>14.1</v>
      </c>
      <c r="BW20" s="4">
        <v>0.23165116512665584</v>
      </c>
      <c r="BX20" s="4">
        <v>3.08</v>
      </c>
      <c r="BY20" s="4">
        <v>2.7184566126550052E-2</v>
      </c>
      <c r="BZ20" s="4">
        <v>0.55400000000000005</v>
      </c>
      <c r="CA20" s="4">
        <v>0</v>
      </c>
      <c r="CB20" s="4">
        <f t="shared" si="0"/>
        <v>5.7</v>
      </c>
      <c r="CC20" s="4">
        <f t="shared" si="1"/>
        <v>0.10481616349830593</v>
      </c>
      <c r="CD20" s="4">
        <f t="shared" si="2"/>
        <v>0</v>
      </c>
      <c r="CE20" s="4">
        <f t="shared" si="3"/>
        <v>3.774834430710388E-2</v>
      </c>
      <c r="CF20" s="4">
        <f t="shared" si="4"/>
        <v>501.64199999999994</v>
      </c>
      <c r="CG20" s="4">
        <f t="shared" si="5"/>
        <v>14.348183617085743</v>
      </c>
      <c r="CH20" s="4">
        <f t="shared" si="6"/>
        <v>689.43400000000008</v>
      </c>
      <c r="CI20" s="4">
        <f t="shared" si="7"/>
        <v>10.147326926672427</v>
      </c>
    </row>
    <row r="21" spans="1:87" x14ac:dyDescent="0.25">
      <c r="C21" t="s">
        <v>41</v>
      </c>
      <c r="D21" s="4"/>
      <c r="E21" s="4">
        <v>8.9569253511838989E-3</v>
      </c>
      <c r="F21" s="4"/>
      <c r="G21" s="4">
        <v>0</v>
      </c>
      <c r="H21" s="4"/>
      <c r="I21" s="4">
        <v>0</v>
      </c>
      <c r="J21" s="4"/>
      <c r="K21" s="4">
        <v>0</v>
      </c>
      <c r="L21" s="4"/>
      <c r="M21" s="4">
        <v>1.6774457027934301E-3</v>
      </c>
      <c r="N21" s="4"/>
      <c r="O21" s="4">
        <v>1.7035833449573501E-3</v>
      </c>
      <c r="P21" s="4">
        <v>2.35</v>
      </c>
      <c r="Q21" s="4">
        <v>9.1003090713101198E-2</v>
      </c>
      <c r="R21" s="4">
        <v>1.42</v>
      </c>
      <c r="S21" s="4">
        <v>4.0541575175703302E-2</v>
      </c>
      <c r="T21" s="4">
        <v>1.55</v>
      </c>
      <c r="U21" s="4">
        <v>2.5023743811544399E-2</v>
      </c>
      <c r="V21" s="4">
        <v>0.65900000000000003</v>
      </c>
      <c r="W21" s="4">
        <v>7.2839433494401098E-3</v>
      </c>
      <c r="X21" s="4"/>
      <c r="Y21" s="4">
        <v>0</v>
      </c>
      <c r="Z21" s="4"/>
      <c r="AA21" s="4">
        <v>0</v>
      </c>
      <c r="AB21" s="4"/>
      <c r="AC21" s="4">
        <v>0</v>
      </c>
      <c r="AD21" s="4">
        <v>1.58</v>
      </c>
      <c r="AE21" s="4">
        <v>5.5429119425641606E-3</v>
      </c>
      <c r="AF21" s="4">
        <v>4.21</v>
      </c>
      <c r="AG21" s="4">
        <v>1.2414674305087499E-2</v>
      </c>
      <c r="AH21" s="4">
        <v>324</v>
      </c>
      <c r="AI21" s="4">
        <v>13.704638869157399</v>
      </c>
      <c r="AJ21" s="4">
        <v>142</v>
      </c>
      <c r="AK21" s="4">
        <v>10.0734839679328</v>
      </c>
      <c r="AL21" s="4">
        <v>76.2</v>
      </c>
      <c r="AM21" s="4">
        <v>2.3803849538049597</v>
      </c>
      <c r="AN21" s="4">
        <v>1.42</v>
      </c>
      <c r="AO21" s="4">
        <v>0.15802487161550802</v>
      </c>
      <c r="AP21" s="4">
        <v>0.68200000000000005</v>
      </c>
      <c r="AQ21" s="4">
        <v>7.1795904193045504E-2</v>
      </c>
      <c r="AR21" s="4"/>
      <c r="AS21" s="4">
        <v>1.3432876879483101E-2</v>
      </c>
      <c r="AT21" s="4"/>
      <c r="AU21" s="4">
        <v>0</v>
      </c>
      <c r="AV21" s="4"/>
      <c r="AW21" s="4">
        <v>0</v>
      </c>
      <c r="AX21" s="4"/>
      <c r="AY21" s="4">
        <v>0</v>
      </c>
      <c r="AZ21" s="4"/>
      <c r="BA21" s="4">
        <v>0</v>
      </c>
      <c r="BB21" s="4"/>
      <c r="BC21" s="4">
        <v>0</v>
      </c>
      <c r="BD21" s="4"/>
      <c r="BE21" s="4">
        <v>1.80116830014228E-2</v>
      </c>
      <c r="BF21" s="4"/>
      <c r="BG21" s="4">
        <v>4.0926052900627494E-2</v>
      </c>
      <c r="BH21" s="4"/>
      <c r="BI21" s="4">
        <v>7.6042614953733953E-3</v>
      </c>
      <c r="BJ21" s="4"/>
      <c r="BK21" s="4">
        <v>0</v>
      </c>
      <c r="BL21" s="4"/>
      <c r="BM21" s="4">
        <v>0</v>
      </c>
      <c r="BN21" s="4"/>
      <c r="BO21" s="4">
        <v>0</v>
      </c>
      <c r="BP21" s="4">
        <v>108</v>
      </c>
      <c r="BQ21" s="4">
        <v>2.2680279850904399</v>
      </c>
      <c r="BR21" s="4">
        <v>472</v>
      </c>
      <c r="BS21" s="4">
        <v>19.572238609274848</v>
      </c>
      <c r="BT21" s="4">
        <v>256</v>
      </c>
      <c r="BU21" s="4">
        <v>1.3708262337325601</v>
      </c>
      <c r="BV21" s="4">
        <v>12.7</v>
      </c>
      <c r="BW21" s="4">
        <v>0.23967456300601991</v>
      </c>
      <c r="BX21" s="4">
        <v>2.78</v>
      </c>
      <c r="BY21" s="4">
        <v>2.421763243523305E-2</v>
      </c>
      <c r="BZ21" s="4">
        <v>0.51900000000000002</v>
      </c>
      <c r="CA21" s="4">
        <v>0</v>
      </c>
      <c r="CB21" s="4">
        <f t="shared" si="0"/>
        <v>5.9790000000000001</v>
      </c>
      <c r="CC21" s="4">
        <f t="shared" si="1"/>
        <v>0.17619030744872369</v>
      </c>
      <c r="CD21" s="4">
        <f t="shared" si="2"/>
        <v>0</v>
      </c>
      <c r="CE21" s="4">
        <f t="shared" si="3"/>
        <v>6.6541997397423683E-2</v>
      </c>
      <c r="CF21" s="4">
        <f t="shared" si="4"/>
        <v>550.09199999999998</v>
      </c>
      <c r="CG21" s="4">
        <f t="shared" si="5"/>
        <v>26.419719029830851</v>
      </c>
      <c r="CH21" s="4">
        <f t="shared" si="6"/>
        <v>851.99900000000002</v>
      </c>
      <c r="CI21" s="4">
        <f t="shared" si="7"/>
        <v>23.474985023539102</v>
      </c>
    </row>
    <row r="22" spans="1:87" x14ac:dyDescent="0.25">
      <c r="A22">
        <v>73</v>
      </c>
      <c r="B22" s="2">
        <v>45140</v>
      </c>
      <c r="C22" t="s">
        <v>39</v>
      </c>
      <c r="D22" s="4"/>
      <c r="E22" s="4">
        <v>8.4959389958965195E-3</v>
      </c>
      <c r="F22" s="4"/>
      <c r="G22" s="4">
        <v>0</v>
      </c>
      <c r="H22" s="4"/>
      <c r="I22" s="4">
        <v>0</v>
      </c>
      <c r="J22" s="4"/>
      <c r="K22" s="4">
        <v>0</v>
      </c>
      <c r="L22" s="4"/>
      <c r="M22" s="4">
        <v>1.3266456982193699E-3</v>
      </c>
      <c r="N22" s="4"/>
      <c r="O22" s="4">
        <v>1.0786988359892799E-3</v>
      </c>
      <c r="P22" s="4">
        <v>1.86</v>
      </c>
      <c r="Q22" s="4">
        <v>8.8128211407214496E-2</v>
      </c>
      <c r="R22" s="4">
        <v>1.17</v>
      </c>
      <c r="S22" s="4">
        <v>3.9919350703616095E-2</v>
      </c>
      <c r="T22" s="4">
        <v>1.2</v>
      </c>
      <c r="U22" s="4">
        <v>2.25663423294197E-2</v>
      </c>
      <c r="V22" s="4"/>
      <c r="W22" s="4">
        <v>5.2747902711915394E-3</v>
      </c>
      <c r="X22" s="4"/>
      <c r="Y22" s="4">
        <v>0</v>
      </c>
      <c r="Z22" s="4"/>
      <c r="AA22" s="4">
        <v>0</v>
      </c>
      <c r="AB22" s="4"/>
      <c r="AC22" s="4">
        <v>0</v>
      </c>
      <c r="AD22" s="4">
        <v>0.995</v>
      </c>
      <c r="AE22" s="4">
        <v>0</v>
      </c>
      <c r="AF22" s="4">
        <v>3.08</v>
      </c>
      <c r="AG22" s="4">
        <v>1.5520974681841701E-2</v>
      </c>
      <c r="AH22" s="4">
        <v>245</v>
      </c>
      <c r="AI22" s="4">
        <v>13.078703887668301</v>
      </c>
      <c r="AJ22" s="4">
        <v>97.9</v>
      </c>
      <c r="AK22" s="4">
        <v>9.4602189412475806</v>
      </c>
      <c r="AL22" s="4">
        <v>68.8</v>
      </c>
      <c r="AM22" s="4">
        <v>2.6411137584645599</v>
      </c>
      <c r="AN22" s="4">
        <v>1.0900000000000001</v>
      </c>
      <c r="AO22" s="4">
        <v>0.17838748742716998</v>
      </c>
      <c r="AP22" s="4">
        <v>0.51</v>
      </c>
      <c r="AQ22" s="4">
        <v>5.4575426166608799E-2</v>
      </c>
      <c r="AR22" s="4"/>
      <c r="AS22" s="4">
        <v>8.6578799598658693E-3</v>
      </c>
      <c r="AT22" s="4"/>
      <c r="AU22" s="4">
        <v>0</v>
      </c>
      <c r="AV22" s="4"/>
      <c r="AW22" s="4">
        <v>0</v>
      </c>
      <c r="AX22" s="4"/>
      <c r="AY22" s="4">
        <v>0</v>
      </c>
      <c r="AZ22" s="4"/>
      <c r="BA22" s="4">
        <v>0</v>
      </c>
      <c r="BB22" s="4"/>
      <c r="BC22" s="4">
        <v>0</v>
      </c>
      <c r="BD22" s="4"/>
      <c r="BE22" s="4">
        <v>1.8980020406677827E-2</v>
      </c>
      <c r="BF22" s="4"/>
      <c r="BG22" s="4">
        <v>3.4168803401325831E-2</v>
      </c>
      <c r="BH22" s="4"/>
      <c r="BI22" s="4">
        <v>4.9140024029005348E-3</v>
      </c>
      <c r="BJ22" s="4"/>
      <c r="BK22" s="4">
        <v>0</v>
      </c>
      <c r="BL22" s="4"/>
      <c r="BM22" s="4">
        <v>0</v>
      </c>
      <c r="BN22" s="4"/>
      <c r="BO22" s="4">
        <v>0</v>
      </c>
      <c r="BP22" s="4">
        <v>75.7</v>
      </c>
      <c r="BQ22" s="4">
        <v>2.3881332068912449</v>
      </c>
      <c r="BR22" s="4">
        <v>348</v>
      </c>
      <c r="BS22" s="4">
        <v>20.158448759353902</v>
      </c>
      <c r="BT22" s="4">
        <v>176</v>
      </c>
      <c r="BU22" s="4">
        <v>1.2771242351418706</v>
      </c>
      <c r="BV22" s="4">
        <v>6.9</v>
      </c>
      <c r="BW22" s="4">
        <v>8.1125351492378997E-2</v>
      </c>
      <c r="BX22" s="4">
        <v>1.1200000000000001</v>
      </c>
      <c r="BY22" s="4">
        <v>0</v>
      </c>
      <c r="BZ22" s="4"/>
      <c r="CA22" s="4">
        <v>0</v>
      </c>
      <c r="CB22" s="4">
        <f t="shared" si="0"/>
        <v>4.2300000000000004</v>
      </c>
      <c r="CC22" s="4">
        <f t="shared" si="1"/>
        <v>0.16678997824154701</v>
      </c>
      <c r="CD22" s="4">
        <f t="shared" si="2"/>
        <v>0</v>
      </c>
      <c r="CE22" s="4">
        <f t="shared" si="3"/>
        <v>5.8062826210904195E-2</v>
      </c>
      <c r="CF22" s="4">
        <f t="shared" si="4"/>
        <v>417.375</v>
      </c>
      <c r="CG22" s="4">
        <f t="shared" si="5"/>
        <v>25.437178355615924</v>
      </c>
      <c r="CH22" s="4">
        <f t="shared" si="6"/>
        <v>607.72</v>
      </c>
      <c r="CI22" s="4">
        <f t="shared" si="7"/>
        <v>23.904831552879394</v>
      </c>
    </row>
    <row r="23" spans="1:87" x14ac:dyDescent="0.25">
      <c r="C23" t="s">
        <v>40</v>
      </c>
      <c r="D23" s="4"/>
      <c r="E23" s="4">
        <v>7.7130612072629397E-3</v>
      </c>
      <c r="F23" s="4"/>
      <c r="G23" s="4">
        <v>0</v>
      </c>
      <c r="H23" s="4"/>
      <c r="I23" s="4">
        <v>0</v>
      </c>
      <c r="J23" s="4"/>
      <c r="K23" s="4">
        <v>0</v>
      </c>
      <c r="L23" s="4"/>
      <c r="M23" s="4">
        <v>2.41932109422932E-3</v>
      </c>
      <c r="N23" s="4"/>
      <c r="O23" s="4">
        <v>2.1002750519565597E-3</v>
      </c>
      <c r="P23" s="4">
        <v>1.4</v>
      </c>
      <c r="Q23" s="4">
        <v>6.8830983718829994E-2</v>
      </c>
      <c r="R23" s="4">
        <v>0.74299999999999999</v>
      </c>
      <c r="S23" s="4">
        <v>3.1451860435167796E-2</v>
      </c>
      <c r="T23" s="4">
        <v>0.8</v>
      </c>
      <c r="U23" s="4">
        <v>1.6122531047794299E-2</v>
      </c>
      <c r="V23" s="4"/>
      <c r="W23" s="4">
        <v>4.2434378520402501E-3</v>
      </c>
      <c r="X23" s="4"/>
      <c r="Y23" s="4">
        <v>0</v>
      </c>
      <c r="Z23" s="4"/>
      <c r="AA23" s="4">
        <v>0</v>
      </c>
      <c r="AB23" s="4"/>
      <c r="AC23" s="4">
        <v>0</v>
      </c>
      <c r="AD23" s="4"/>
      <c r="AE23" s="4">
        <v>0</v>
      </c>
      <c r="AF23" s="4">
        <v>1.8</v>
      </c>
      <c r="AG23" s="4">
        <v>8.3993123611177702E-3</v>
      </c>
      <c r="AH23" s="4">
        <v>181</v>
      </c>
      <c r="AI23" s="4">
        <v>10.4668798676493</v>
      </c>
      <c r="AJ23" s="4">
        <v>65.599999999999994</v>
      </c>
      <c r="AK23" s="4">
        <v>6.8724561851474997</v>
      </c>
      <c r="AL23" s="4">
        <v>33.5</v>
      </c>
      <c r="AM23" s="4">
        <v>1.78168998932584</v>
      </c>
      <c r="AN23" s="4">
        <v>0.58699999999999997</v>
      </c>
      <c r="AO23" s="4">
        <v>8.78135577577141E-2</v>
      </c>
      <c r="AP23" s="4"/>
      <c r="AQ23" s="4">
        <v>2.90435153304805E-2</v>
      </c>
      <c r="AR23" s="4"/>
      <c r="AS23" s="4">
        <v>5.9349920310782199E-3</v>
      </c>
      <c r="AT23" s="4"/>
      <c r="AU23" s="4">
        <v>0</v>
      </c>
      <c r="AV23" s="4"/>
      <c r="AW23" s="4">
        <v>0</v>
      </c>
      <c r="AX23" s="4"/>
      <c r="AY23" s="4">
        <v>0</v>
      </c>
      <c r="AZ23" s="4"/>
      <c r="BA23" s="4">
        <v>0</v>
      </c>
      <c r="BB23" s="4"/>
      <c r="BC23" s="4">
        <v>0</v>
      </c>
      <c r="BD23" s="4"/>
      <c r="BE23" s="4">
        <v>1.3336568755428897E-2</v>
      </c>
      <c r="BF23" s="4"/>
      <c r="BG23" s="4">
        <v>2.3100763824638954E-2</v>
      </c>
      <c r="BH23" s="4"/>
      <c r="BI23" s="4">
        <v>3.6553588331824801E-3</v>
      </c>
      <c r="BJ23" s="4"/>
      <c r="BK23" s="4">
        <v>0</v>
      </c>
      <c r="BL23" s="4"/>
      <c r="BM23" s="4">
        <v>0</v>
      </c>
      <c r="BN23" s="4"/>
      <c r="BO23" s="4">
        <v>0</v>
      </c>
      <c r="BP23" s="4">
        <v>51.4</v>
      </c>
      <c r="BQ23" s="4">
        <v>1.4073035400056957</v>
      </c>
      <c r="BR23" s="4">
        <v>229</v>
      </c>
      <c r="BS23" s="4">
        <v>12.586343440270456</v>
      </c>
      <c r="BT23" s="4">
        <v>94.8</v>
      </c>
      <c r="BU23" s="4">
        <v>0.81935146542081749</v>
      </c>
      <c r="BV23" s="4">
        <v>4.12</v>
      </c>
      <c r="BW23" s="4">
        <v>4.3289365852070952E-2</v>
      </c>
      <c r="BX23" s="4">
        <v>0.63700000000000001</v>
      </c>
      <c r="BY23" s="4">
        <v>0</v>
      </c>
      <c r="BZ23" s="4"/>
      <c r="CA23" s="4">
        <v>0</v>
      </c>
      <c r="CB23" s="4">
        <f t="shared" si="0"/>
        <v>2.9429999999999996</v>
      </c>
      <c r="CC23" s="4">
        <f t="shared" si="1"/>
        <v>0.13288147040728115</v>
      </c>
      <c r="CD23" s="4">
        <f t="shared" si="2"/>
        <v>0</v>
      </c>
      <c r="CE23" s="4">
        <f t="shared" si="3"/>
        <v>4.009269141325033E-2</v>
      </c>
      <c r="CF23" s="4">
        <f t="shared" si="4"/>
        <v>282.48699999999997</v>
      </c>
      <c r="CG23" s="4">
        <f t="shared" si="5"/>
        <v>19.252217419603031</v>
      </c>
      <c r="CH23" s="4">
        <f t="shared" si="6"/>
        <v>379.95699999999999</v>
      </c>
      <c r="CI23" s="4">
        <f t="shared" si="7"/>
        <v>14.85628781154904</v>
      </c>
    </row>
    <row r="24" spans="1:87" x14ac:dyDescent="0.25">
      <c r="C24" t="s">
        <v>41</v>
      </c>
      <c r="D24" s="4"/>
      <c r="E24" s="4">
        <v>8.4833231638802194E-3</v>
      </c>
      <c r="F24" s="4"/>
      <c r="G24" s="4">
        <v>0</v>
      </c>
      <c r="H24" s="4"/>
      <c r="I24" s="4">
        <v>0</v>
      </c>
      <c r="J24" s="4"/>
      <c r="K24" s="4">
        <v>0</v>
      </c>
      <c r="L24" s="4"/>
      <c r="M24" s="4">
        <v>2.4672001328686697E-3</v>
      </c>
      <c r="N24" s="4"/>
      <c r="O24" s="4">
        <v>1.83269009958066E-3</v>
      </c>
      <c r="P24" s="4">
        <v>1.56</v>
      </c>
      <c r="Q24" s="4">
        <v>9.8386977554906913E-2</v>
      </c>
      <c r="R24" s="4">
        <v>0.90500000000000003</v>
      </c>
      <c r="S24" s="4">
        <v>3.4805153877288497E-2</v>
      </c>
      <c r="T24" s="4">
        <v>0.75900000000000001</v>
      </c>
      <c r="U24" s="4">
        <v>1.6264082775781501E-2</v>
      </c>
      <c r="V24" s="4"/>
      <c r="W24" s="4">
        <v>3.97840578786764E-3</v>
      </c>
      <c r="X24" s="4"/>
      <c r="Y24" s="4">
        <v>0</v>
      </c>
      <c r="Z24" s="4"/>
      <c r="AA24" s="4">
        <v>0</v>
      </c>
      <c r="AB24" s="4"/>
      <c r="AC24" s="4">
        <v>0</v>
      </c>
      <c r="AD24" s="4"/>
      <c r="AE24" s="4">
        <v>0</v>
      </c>
      <c r="AF24" s="4">
        <v>1.97</v>
      </c>
      <c r="AG24" s="4">
        <v>9.31232988685924E-3</v>
      </c>
      <c r="AH24" s="4">
        <v>216</v>
      </c>
      <c r="AI24" s="4">
        <v>12.7958967618153</v>
      </c>
      <c r="AJ24" s="4">
        <v>79.099999999999994</v>
      </c>
      <c r="AK24" s="4">
        <v>8.3803533705248299</v>
      </c>
      <c r="AL24" s="4">
        <v>33.299999999999997</v>
      </c>
      <c r="AM24" s="4">
        <v>1.4093297474734099</v>
      </c>
      <c r="AN24" s="4"/>
      <c r="AO24" s="4">
        <v>8.2461268240187291E-2</v>
      </c>
      <c r="AP24" s="4"/>
      <c r="AQ24" s="4">
        <v>3.0392222700314497E-2</v>
      </c>
      <c r="AR24" s="4"/>
      <c r="AS24" s="4">
        <v>7.2117459713292795E-3</v>
      </c>
      <c r="AT24" s="4"/>
      <c r="AU24" s="4">
        <v>0</v>
      </c>
      <c r="AV24" s="4"/>
      <c r="AW24" s="4">
        <v>0</v>
      </c>
      <c r="AX24" s="4"/>
      <c r="AY24" s="4">
        <v>0</v>
      </c>
      <c r="AZ24" s="4"/>
      <c r="BA24" s="4">
        <v>0</v>
      </c>
      <c r="BB24" s="4"/>
      <c r="BC24" s="4">
        <v>0</v>
      </c>
      <c r="BD24" s="4"/>
      <c r="BE24" s="4">
        <v>1.9690297518087256E-2</v>
      </c>
      <c r="BF24" s="4"/>
      <c r="BG24" s="4">
        <v>2.8171901006845943E-2</v>
      </c>
      <c r="BH24" s="4"/>
      <c r="BI24" s="4">
        <v>0</v>
      </c>
      <c r="BJ24" s="4"/>
      <c r="BK24" s="4">
        <v>0</v>
      </c>
      <c r="BL24" s="4"/>
      <c r="BM24" s="4">
        <v>0</v>
      </c>
      <c r="BN24" s="4"/>
      <c r="BO24" s="4">
        <v>0</v>
      </c>
      <c r="BP24" s="4">
        <v>66.7</v>
      </c>
      <c r="BQ24" s="4">
        <v>2.0896429665309353</v>
      </c>
      <c r="BR24" s="4">
        <v>290</v>
      </c>
      <c r="BS24" s="4">
        <v>16.322715929944025</v>
      </c>
      <c r="BT24" s="4">
        <v>118</v>
      </c>
      <c r="BU24" s="4">
        <v>0.69898739872279247</v>
      </c>
      <c r="BV24" s="4">
        <v>3.6</v>
      </c>
      <c r="BW24" s="4">
        <v>0</v>
      </c>
      <c r="BX24" s="4">
        <v>0.58299999999999996</v>
      </c>
      <c r="BY24" s="4">
        <v>0</v>
      </c>
      <c r="BZ24" s="4"/>
      <c r="CA24" s="4">
        <v>0</v>
      </c>
      <c r="CB24" s="4">
        <f t="shared" si="0"/>
        <v>3.2239999999999998</v>
      </c>
      <c r="CC24" s="4">
        <f t="shared" si="1"/>
        <v>0.16621783339217414</v>
      </c>
      <c r="CD24" s="4">
        <f t="shared" si="2"/>
        <v>0</v>
      </c>
      <c r="CE24" s="4">
        <f t="shared" si="3"/>
        <v>4.7862198524933203E-2</v>
      </c>
      <c r="CF24" s="4">
        <f t="shared" si="4"/>
        <v>330.37</v>
      </c>
      <c r="CG24" s="4">
        <f t="shared" si="5"/>
        <v>22.714957446612232</v>
      </c>
      <c r="CH24" s="4">
        <f t="shared" si="6"/>
        <v>478.88300000000004</v>
      </c>
      <c r="CI24" s="4">
        <f t="shared" si="7"/>
        <v>19.111346295197752</v>
      </c>
    </row>
    <row r="25" spans="1:87" x14ac:dyDescent="0.25">
      <c r="A25">
        <v>101</v>
      </c>
      <c r="B25" s="2">
        <v>45168</v>
      </c>
      <c r="C25" t="s">
        <v>39</v>
      </c>
      <c r="D25" s="4"/>
      <c r="E25" s="4">
        <v>8.6581842585173492E-3</v>
      </c>
      <c r="F25" s="4"/>
      <c r="G25" s="4">
        <v>0</v>
      </c>
      <c r="H25" s="4"/>
      <c r="I25" s="4">
        <v>0</v>
      </c>
      <c r="J25" s="4"/>
      <c r="K25" s="4">
        <v>0</v>
      </c>
      <c r="L25" s="4"/>
      <c r="M25" s="4">
        <v>2.4476944836482103E-3</v>
      </c>
      <c r="N25" s="4"/>
      <c r="O25" s="4">
        <v>2.0831486387979502E-3</v>
      </c>
      <c r="P25" s="4">
        <v>0.85099999999999998</v>
      </c>
      <c r="Q25" s="4">
        <v>5.9942483766367502E-2</v>
      </c>
      <c r="R25" s="4"/>
      <c r="S25" s="4">
        <v>2.3069878619327602E-2</v>
      </c>
      <c r="T25" s="4"/>
      <c r="U25" s="4">
        <v>9.9867257502593912E-3</v>
      </c>
      <c r="V25" s="4"/>
      <c r="W25" s="4">
        <v>0</v>
      </c>
      <c r="X25" s="4"/>
      <c r="Y25" s="4">
        <v>0</v>
      </c>
      <c r="Z25" s="4"/>
      <c r="AA25" s="4">
        <v>0</v>
      </c>
      <c r="AB25" s="4"/>
      <c r="AC25" s="4">
        <v>0</v>
      </c>
      <c r="AD25" s="4"/>
      <c r="AE25" s="4">
        <v>0</v>
      </c>
      <c r="AF25" s="4">
        <v>0.85499999999999998</v>
      </c>
      <c r="AG25" s="4">
        <v>7.0807903770288205E-3</v>
      </c>
      <c r="AH25" s="4">
        <v>99.1</v>
      </c>
      <c r="AI25" s="4">
        <v>8.57577453323408</v>
      </c>
      <c r="AJ25" s="4">
        <v>27.6</v>
      </c>
      <c r="AK25" s="4">
        <v>4.0069058140357203</v>
      </c>
      <c r="AL25" s="4">
        <v>12.5</v>
      </c>
      <c r="AM25" s="4">
        <v>0.82715314312230104</v>
      </c>
      <c r="AN25" s="4"/>
      <c r="AO25" s="4">
        <v>3.1546308857857697E-2</v>
      </c>
      <c r="AP25" s="4"/>
      <c r="AQ25" s="4">
        <v>7.2663555228737299E-3</v>
      </c>
      <c r="AR25" s="4"/>
      <c r="AS25" s="4">
        <v>0</v>
      </c>
      <c r="AT25" s="4"/>
      <c r="AU25" s="4">
        <v>0</v>
      </c>
      <c r="AV25" s="4"/>
      <c r="AW25" s="4">
        <v>0</v>
      </c>
      <c r="AX25" s="4"/>
      <c r="AY25" s="4">
        <v>0</v>
      </c>
      <c r="AZ25" s="4"/>
      <c r="BA25" s="4">
        <v>0</v>
      </c>
      <c r="BB25" s="4"/>
      <c r="BC25" s="4">
        <v>0</v>
      </c>
      <c r="BD25" s="4"/>
      <c r="BE25" s="4">
        <v>1.2989334278621995E-2</v>
      </c>
      <c r="BF25" s="4"/>
      <c r="BG25" s="4">
        <v>1.5671652595739435E-2</v>
      </c>
      <c r="BH25" s="4"/>
      <c r="BI25" s="4">
        <v>0</v>
      </c>
      <c r="BJ25" s="4"/>
      <c r="BK25" s="4">
        <v>0</v>
      </c>
      <c r="BL25" s="4"/>
      <c r="BM25" s="4">
        <v>0</v>
      </c>
      <c r="BN25" s="4"/>
      <c r="BO25" s="4">
        <v>0</v>
      </c>
      <c r="BP25" s="4">
        <v>33.799999999999997</v>
      </c>
      <c r="BQ25" s="4">
        <v>1.2976625875356427</v>
      </c>
      <c r="BR25" s="4">
        <v>122</v>
      </c>
      <c r="BS25" s="4">
        <v>8.8558332393421288</v>
      </c>
      <c r="BT25" s="4">
        <v>33.1</v>
      </c>
      <c r="BU25" s="4">
        <v>0.27746634518883601</v>
      </c>
      <c r="BV25" s="4">
        <v>1.63</v>
      </c>
      <c r="BW25" s="4">
        <v>0</v>
      </c>
      <c r="BX25" s="4"/>
      <c r="BY25" s="4">
        <v>0</v>
      </c>
      <c r="BZ25" s="4"/>
      <c r="CA25" s="4">
        <v>0</v>
      </c>
      <c r="CB25" s="4">
        <f t="shared" si="0"/>
        <v>0.85099999999999998</v>
      </c>
      <c r="CC25" s="4">
        <f t="shared" si="1"/>
        <v>0.10618811551691801</v>
      </c>
      <c r="CD25" s="4">
        <f t="shared" si="2"/>
        <v>0</v>
      </c>
      <c r="CE25" s="4">
        <f t="shared" si="3"/>
        <v>2.866098687436143E-2</v>
      </c>
      <c r="CF25" s="4">
        <f t="shared" si="4"/>
        <v>140.05500000000001</v>
      </c>
      <c r="CG25" s="4">
        <f t="shared" si="5"/>
        <v>13.455726945149859</v>
      </c>
      <c r="CH25" s="4">
        <f t="shared" si="6"/>
        <v>190.53</v>
      </c>
      <c r="CI25" s="4">
        <f t="shared" si="7"/>
        <v>10.430962172066607</v>
      </c>
    </row>
    <row r="26" spans="1:87" x14ac:dyDescent="0.25">
      <c r="C26" t="s">
        <v>40</v>
      </c>
      <c r="D26" s="4"/>
      <c r="E26" s="4">
        <v>1.39176285723316E-2</v>
      </c>
      <c r="F26" s="4"/>
      <c r="G26" s="4">
        <v>0</v>
      </c>
      <c r="H26" s="4"/>
      <c r="I26" s="4">
        <v>0</v>
      </c>
      <c r="J26" s="4"/>
      <c r="K26" s="4">
        <v>0</v>
      </c>
      <c r="L26" s="4"/>
      <c r="M26" s="4">
        <v>0</v>
      </c>
      <c r="N26" s="4"/>
      <c r="O26" s="4">
        <v>0</v>
      </c>
      <c r="P26" s="4">
        <v>0.66100000000000003</v>
      </c>
      <c r="Q26" s="4">
        <v>3.8687961798265696E-2</v>
      </c>
      <c r="R26" s="4"/>
      <c r="S26" s="4">
        <v>1.2226508611969701E-2</v>
      </c>
      <c r="T26" s="4"/>
      <c r="U26" s="4">
        <v>5.1444886890135997E-3</v>
      </c>
      <c r="V26" s="4"/>
      <c r="W26" s="4">
        <v>0</v>
      </c>
      <c r="X26" s="4"/>
      <c r="Y26" s="4">
        <v>0</v>
      </c>
      <c r="Z26" s="4"/>
      <c r="AA26" s="4">
        <v>0</v>
      </c>
      <c r="AB26" s="4"/>
      <c r="AC26" s="4">
        <v>0</v>
      </c>
      <c r="AD26" s="4"/>
      <c r="AE26" s="4">
        <v>0</v>
      </c>
      <c r="AF26" s="4"/>
      <c r="AG26" s="4">
        <v>0</v>
      </c>
      <c r="AH26" s="4">
        <v>89.2</v>
      </c>
      <c r="AI26" s="4">
        <v>5.7910253994052301</v>
      </c>
      <c r="AJ26" s="4">
        <v>23.3</v>
      </c>
      <c r="AK26" s="4">
        <v>2.29174272301971</v>
      </c>
      <c r="AL26" s="4">
        <v>7.11</v>
      </c>
      <c r="AM26" s="4">
        <v>0.39123072095407702</v>
      </c>
      <c r="AN26" s="4"/>
      <c r="AO26" s="4">
        <v>1.7736173946911401E-2</v>
      </c>
      <c r="AP26" s="4"/>
      <c r="AQ26" s="4">
        <v>5.3325294544205697E-3</v>
      </c>
      <c r="AR26" s="4"/>
      <c r="AS26" s="4">
        <v>0</v>
      </c>
      <c r="AT26" s="4"/>
      <c r="AU26" s="4">
        <v>0</v>
      </c>
      <c r="AV26" s="4"/>
      <c r="AW26" s="4">
        <v>0</v>
      </c>
      <c r="AX26" s="4"/>
      <c r="AY26" s="4">
        <v>0</v>
      </c>
      <c r="AZ26" s="4"/>
      <c r="BA26" s="4">
        <v>0</v>
      </c>
      <c r="BB26" s="4"/>
      <c r="BC26" s="4">
        <v>0</v>
      </c>
      <c r="BD26" s="4"/>
      <c r="BE26" s="4">
        <v>7.7135765407100902E-3</v>
      </c>
      <c r="BF26" s="4"/>
      <c r="BG26" s="4">
        <v>7.3490415822283148E-3</v>
      </c>
      <c r="BH26" s="4"/>
      <c r="BI26" s="4">
        <v>0</v>
      </c>
      <c r="BJ26" s="4"/>
      <c r="BK26" s="4">
        <v>0</v>
      </c>
      <c r="BL26" s="4"/>
      <c r="BM26" s="4">
        <v>0</v>
      </c>
      <c r="BN26" s="4"/>
      <c r="BO26" s="4">
        <v>0</v>
      </c>
      <c r="BP26" s="4">
        <v>26.6</v>
      </c>
      <c r="BQ26" s="4">
        <v>0.78769269937306508</v>
      </c>
      <c r="BR26" s="4">
        <v>113</v>
      </c>
      <c r="BS26" s="4">
        <v>5.4782715646642597</v>
      </c>
      <c r="BT26" s="4">
        <v>26.1</v>
      </c>
      <c r="BU26" s="4">
        <v>0.17095847370559239</v>
      </c>
      <c r="BV26" s="4">
        <v>1.04</v>
      </c>
      <c r="BW26" s="4">
        <v>0</v>
      </c>
      <c r="BX26" s="4"/>
      <c r="BY26" s="4">
        <v>0</v>
      </c>
      <c r="BZ26" s="4"/>
      <c r="CA26" s="4">
        <v>0</v>
      </c>
      <c r="CB26" s="4">
        <f t="shared" si="0"/>
        <v>0.66100000000000003</v>
      </c>
      <c r="CC26" s="4">
        <f t="shared" si="1"/>
        <v>6.9976587671580603E-2</v>
      </c>
      <c r="CD26" s="4">
        <f t="shared" si="2"/>
        <v>0</v>
      </c>
      <c r="CE26" s="4">
        <f t="shared" si="3"/>
        <v>1.5062618122938406E-2</v>
      </c>
      <c r="CF26" s="4">
        <f t="shared" si="4"/>
        <v>119.61</v>
      </c>
      <c r="CG26" s="4">
        <f t="shared" si="5"/>
        <v>8.4970675467803503</v>
      </c>
      <c r="CH26" s="4">
        <f t="shared" si="6"/>
        <v>166.73999999999998</v>
      </c>
      <c r="CI26" s="4">
        <f t="shared" si="7"/>
        <v>6.4369227377429175</v>
      </c>
    </row>
    <row r="27" spans="1:87" x14ac:dyDescent="0.25">
      <c r="C27" t="s">
        <v>41</v>
      </c>
      <c r="D27" s="4"/>
      <c r="E27" s="4">
        <v>1.25389106650843E-2</v>
      </c>
      <c r="F27" s="4"/>
      <c r="G27" s="4">
        <v>0</v>
      </c>
      <c r="H27" s="4"/>
      <c r="I27" s="4">
        <v>0</v>
      </c>
      <c r="J27" s="4"/>
      <c r="K27" s="4">
        <v>0</v>
      </c>
      <c r="L27" s="4"/>
      <c r="M27" s="4">
        <v>0</v>
      </c>
      <c r="N27" s="4"/>
      <c r="O27" s="4">
        <v>0</v>
      </c>
      <c r="P27" s="4">
        <v>0.64700000000000002</v>
      </c>
      <c r="Q27" s="4">
        <v>4.07674500930005E-2</v>
      </c>
      <c r="R27" s="4"/>
      <c r="S27" s="4">
        <v>1.2976656648201301E-2</v>
      </c>
      <c r="T27" s="4"/>
      <c r="U27" s="4">
        <v>0</v>
      </c>
      <c r="V27" s="4"/>
      <c r="W27" s="4">
        <v>0</v>
      </c>
      <c r="X27" s="4"/>
      <c r="Y27" s="4">
        <v>0</v>
      </c>
      <c r="Z27" s="4"/>
      <c r="AA27" s="4">
        <v>0</v>
      </c>
      <c r="AB27" s="4"/>
      <c r="AC27" s="4">
        <v>0</v>
      </c>
      <c r="AD27" s="4"/>
      <c r="AE27" s="4">
        <v>0</v>
      </c>
      <c r="AF27" s="4"/>
      <c r="AG27" s="4">
        <v>2.9274581458242997E-3</v>
      </c>
      <c r="AH27" s="4">
        <v>99.9</v>
      </c>
      <c r="AI27" s="4">
        <v>6.28796748858485</v>
      </c>
      <c r="AJ27" s="4">
        <v>22.2</v>
      </c>
      <c r="AK27" s="4">
        <v>2.1993931033742</v>
      </c>
      <c r="AL27" s="4">
        <v>5.09</v>
      </c>
      <c r="AM27" s="4">
        <v>0.28647618435879701</v>
      </c>
      <c r="AN27" s="4"/>
      <c r="AO27" s="4">
        <v>0</v>
      </c>
      <c r="AP27" s="4"/>
      <c r="AQ27" s="4">
        <v>4.0316654603942898E-3</v>
      </c>
      <c r="AR27" s="4"/>
      <c r="AS27" s="4">
        <v>0</v>
      </c>
      <c r="AT27" s="4"/>
      <c r="AU27" s="4">
        <v>0</v>
      </c>
      <c r="AV27" s="4"/>
      <c r="AW27" s="4">
        <v>0</v>
      </c>
      <c r="AX27" s="4"/>
      <c r="AY27" s="4">
        <v>0</v>
      </c>
      <c r="AZ27" s="4"/>
      <c r="BA27" s="4">
        <v>0</v>
      </c>
      <c r="BB27" s="4"/>
      <c r="BC27" s="4">
        <v>0</v>
      </c>
      <c r="BD27" s="4"/>
      <c r="BE27" s="4">
        <v>1.111819438717355E-2</v>
      </c>
      <c r="BF27" s="4"/>
      <c r="BG27" s="4">
        <v>1.1214216416007951E-2</v>
      </c>
      <c r="BH27" s="4"/>
      <c r="BI27" s="4">
        <v>0</v>
      </c>
      <c r="BJ27" s="4"/>
      <c r="BK27" s="4">
        <v>0</v>
      </c>
      <c r="BL27" s="4"/>
      <c r="BM27" s="4">
        <v>0</v>
      </c>
      <c r="BN27" s="4"/>
      <c r="BO27" s="4">
        <v>0</v>
      </c>
      <c r="BP27" s="4">
        <v>31.7</v>
      </c>
      <c r="BQ27" s="4">
        <v>0.88592468420688097</v>
      </c>
      <c r="BR27" s="4">
        <v>119</v>
      </c>
      <c r="BS27" s="4">
        <v>5.6124561946575851</v>
      </c>
      <c r="BT27" s="4">
        <v>25.4</v>
      </c>
      <c r="BU27" s="4">
        <v>0.15203778024515363</v>
      </c>
      <c r="BV27" s="4">
        <v>1.1399999999999999</v>
      </c>
      <c r="BW27" s="4">
        <v>0</v>
      </c>
      <c r="BX27" s="4"/>
      <c r="BY27" s="4">
        <v>0</v>
      </c>
      <c r="BZ27" s="4"/>
      <c r="CA27" s="4">
        <v>0</v>
      </c>
      <c r="CB27" s="4">
        <f t="shared" si="0"/>
        <v>0.64700000000000002</v>
      </c>
      <c r="CC27" s="4">
        <f t="shared" si="1"/>
        <v>6.6283017406286102E-2</v>
      </c>
      <c r="CD27" s="4">
        <f t="shared" si="2"/>
        <v>0</v>
      </c>
      <c r="CE27" s="4">
        <f t="shared" si="3"/>
        <v>2.2332410803181501E-2</v>
      </c>
      <c r="CF27" s="4">
        <f t="shared" si="4"/>
        <v>127.19000000000001</v>
      </c>
      <c r="CG27" s="4">
        <f t="shared" si="5"/>
        <v>8.7807958999240654</v>
      </c>
      <c r="CH27" s="4">
        <f t="shared" si="6"/>
        <v>177.23999999999998</v>
      </c>
      <c r="CI27" s="4">
        <f t="shared" si="7"/>
        <v>6.6504186591096195</v>
      </c>
    </row>
    <row r="28" spans="1:87" x14ac:dyDescent="0.25">
      <c r="A28">
        <v>136</v>
      </c>
      <c r="B28" s="2">
        <v>45203</v>
      </c>
      <c r="C28" t="s">
        <v>39</v>
      </c>
      <c r="D28" s="4"/>
      <c r="E28" s="4">
        <v>1.2974791377297701E-2</v>
      </c>
      <c r="F28" s="4"/>
      <c r="G28" s="4">
        <v>0</v>
      </c>
      <c r="H28" s="4"/>
      <c r="I28" s="4">
        <v>0</v>
      </c>
      <c r="J28" s="4"/>
      <c r="K28" s="4">
        <v>0</v>
      </c>
      <c r="L28" s="4"/>
      <c r="M28" s="4">
        <v>0</v>
      </c>
      <c r="N28" s="4"/>
      <c r="O28" s="4">
        <v>0</v>
      </c>
      <c r="P28" s="4"/>
      <c r="Q28" s="4">
        <v>1.21215463322545E-2</v>
      </c>
      <c r="R28" s="4"/>
      <c r="S28" s="4">
        <v>2.9100209041917099E-3</v>
      </c>
      <c r="T28" s="4"/>
      <c r="U28" s="4">
        <v>0</v>
      </c>
      <c r="V28" s="4"/>
      <c r="W28" s="4">
        <v>0</v>
      </c>
      <c r="X28" s="4"/>
      <c r="Y28" s="4">
        <v>0</v>
      </c>
      <c r="Z28" s="4"/>
      <c r="AA28" s="4">
        <v>0</v>
      </c>
      <c r="AB28" s="4"/>
      <c r="AC28" s="4">
        <v>0</v>
      </c>
      <c r="AD28" s="4"/>
      <c r="AE28" s="4">
        <v>0</v>
      </c>
      <c r="AF28" s="4"/>
      <c r="AG28" s="4">
        <v>0</v>
      </c>
      <c r="AH28" s="4">
        <v>45.6</v>
      </c>
      <c r="AI28" s="4">
        <v>1.8633306904098399</v>
      </c>
      <c r="AJ28" s="4">
        <v>7.15</v>
      </c>
      <c r="AK28" s="4">
        <v>0.374547706886044</v>
      </c>
      <c r="AL28" s="4">
        <v>1.5</v>
      </c>
      <c r="AM28" s="4">
        <v>6.642771508437291E-2</v>
      </c>
      <c r="AN28" s="4"/>
      <c r="AO28" s="4">
        <v>0</v>
      </c>
      <c r="AP28" s="4"/>
      <c r="AQ28" s="4">
        <v>0</v>
      </c>
      <c r="AR28" s="4"/>
      <c r="AS28" s="4">
        <v>0</v>
      </c>
      <c r="AT28" s="4"/>
      <c r="AU28" s="4">
        <v>0</v>
      </c>
      <c r="AV28" s="4"/>
      <c r="AW28" s="4">
        <v>0</v>
      </c>
      <c r="AX28" s="4"/>
      <c r="AY28" s="4">
        <v>0</v>
      </c>
      <c r="AZ28" s="4"/>
      <c r="BA28" s="4">
        <v>0</v>
      </c>
      <c r="BB28" s="4"/>
      <c r="BC28" s="4">
        <v>0</v>
      </c>
      <c r="BD28" s="4"/>
      <c r="BE28" s="4">
        <v>0</v>
      </c>
      <c r="BF28" s="4"/>
      <c r="BG28" s="4">
        <v>0</v>
      </c>
      <c r="BH28" s="4"/>
      <c r="BI28" s="4">
        <v>0</v>
      </c>
      <c r="BJ28" s="4"/>
      <c r="BK28" s="4">
        <v>0</v>
      </c>
      <c r="BL28" s="4"/>
      <c r="BM28" s="4">
        <v>0</v>
      </c>
      <c r="BN28" s="4"/>
      <c r="BO28" s="4">
        <v>0</v>
      </c>
      <c r="BP28" s="4">
        <v>16.7</v>
      </c>
      <c r="BQ28" s="4">
        <v>0.32932262975871651</v>
      </c>
      <c r="BR28" s="4">
        <v>54.5</v>
      </c>
      <c r="BS28" s="4">
        <v>1.1892258082976046</v>
      </c>
      <c r="BT28" s="4">
        <v>8.68</v>
      </c>
      <c r="BU28" s="4">
        <v>3.1462617962832902E-2</v>
      </c>
      <c r="BV28" s="4">
        <v>0.81899999999999995</v>
      </c>
      <c r="BW28" s="4">
        <v>0</v>
      </c>
      <c r="BX28" s="4"/>
      <c r="BY28" s="4">
        <v>0</v>
      </c>
      <c r="BZ28" s="4"/>
      <c r="CA28" s="4">
        <v>0</v>
      </c>
      <c r="CB28" s="4">
        <f t="shared" si="0"/>
        <v>0</v>
      </c>
      <c r="CC28" s="4">
        <f t="shared" si="1"/>
        <v>2.8006358613743912E-2</v>
      </c>
      <c r="CD28" s="4">
        <f t="shared" si="2"/>
        <v>0</v>
      </c>
      <c r="CE28" s="4">
        <f t="shared" si="3"/>
        <v>0</v>
      </c>
      <c r="CF28" s="4">
        <f t="shared" si="4"/>
        <v>54.25</v>
      </c>
      <c r="CG28" s="4">
        <f t="shared" si="5"/>
        <v>2.3043061123802571</v>
      </c>
      <c r="CH28" s="4">
        <f t="shared" si="6"/>
        <v>80.698999999999998</v>
      </c>
      <c r="CI28" s="4">
        <f t="shared" si="7"/>
        <v>1.550011056019154</v>
      </c>
    </row>
    <row r="29" spans="1:87" x14ac:dyDescent="0.25">
      <c r="C29" t="s">
        <v>40</v>
      </c>
      <c r="D29" s="4"/>
      <c r="E29" s="4">
        <v>5.3161443800222603E-3</v>
      </c>
      <c r="F29" s="4"/>
      <c r="G29" s="4">
        <v>0</v>
      </c>
      <c r="H29" s="4"/>
      <c r="I29" s="4">
        <v>0</v>
      </c>
      <c r="J29" s="4"/>
      <c r="K29" s="4">
        <v>0</v>
      </c>
      <c r="L29" s="4"/>
      <c r="M29" s="4">
        <v>0</v>
      </c>
      <c r="N29" s="4"/>
      <c r="O29" s="4">
        <v>0</v>
      </c>
      <c r="P29" s="4"/>
      <c r="Q29" s="4">
        <v>0</v>
      </c>
      <c r="R29" s="4"/>
      <c r="S29" s="4">
        <v>0</v>
      </c>
      <c r="T29" s="4"/>
      <c r="U29" s="4">
        <v>0</v>
      </c>
      <c r="V29" s="4"/>
      <c r="W29" s="4">
        <v>0</v>
      </c>
      <c r="X29" s="4"/>
      <c r="Y29" s="4">
        <v>0</v>
      </c>
      <c r="Z29" s="4"/>
      <c r="AA29" s="4">
        <v>0</v>
      </c>
      <c r="AB29" s="4"/>
      <c r="AC29" s="4">
        <v>0</v>
      </c>
      <c r="AD29" s="4"/>
      <c r="AE29" s="4">
        <v>0</v>
      </c>
      <c r="AF29" s="4"/>
      <c r="AG29" s="4">
        <v>0</v>
      </c>
      <c r="AH29" s="4">
        <v>35.6</v>
      </c>
      <c r="AI29" s="4">
        <v>1.26381722648068</v>
      </c>
      <c r="AJ29" s="4">
        <v>4.28</v>
      </c>
      <c r="AK29" s="4">
        <v>0.186186137485228</v>
      </c>
      <c r="AL29" s="4"/>
      <c r="AM29" s="4">
        <v>1.8461482946058899E-2</v>
      </c>
      <c r="AN29" s="4"/>
      <c r="AO29" s="4">
        <v>0</v>
      </c>
      <c r="AP29" s="4"/>
      <c r="AQ29" s="4">
        <v>0</v>
      </c>
      <c r="AR29" s="4"/>
      <c r="AS29" s="4">
        <v>0</v>
      </c>
      <c r="AT29" s="4"/>
      <c r="AU29" s="4">
        <v>0</v>
      </c>
      <c r="AV29" s="4"/>
      <c r="AW29" s="4">
        <v>0</v>
      </c>
      <c r="AX29" s="4"/>
      <c r="AY29" s="4">
        <v>0</v>
      </c>
      <c r="AZ29" s="4"/>
      <c r="BA29" s="4">
        <v>0</v>
      </c>
      <c r="BB29" s="4"/>
      <c r="BC29" s="4">
        <v>0</v>
      </c>
      <c r="BD29" s="4"/>
      <c r="BE29" s="4">
        <v>0</v>
      </c>
      <c r="BF29" s="4"/>
      <c r="BG29" s="4">
        <v>0</v>
      </c>
      <c r="BH29" s="4"/>
      <c r="BI29" s="4">
        <v>0</v>
      </c>
      <c r="BJ29" s="4"/>
      <c r="BK29" s="4">
        <v>0</v>
      </c>
      <c r="BL29" s="4"/>
      <c r="BM29" s="4">
        <v>0</v>
      </c>
      <c r="BN29" s="4"/>
      <c r="BO29" s="4">
        <v>0</v>
      </c>
      <c r="BP29" s="4">
        <v>10.6</v>
      </c>
      <c r="BQ29" s="4">
        <v>0.19610509704915949</v>
      </c>
      <c r="BR29" s="4">
        <v>38.299999999999997</v>
      </c>
      <c r="BS29" s="4">
        <v>0.69050413101985186</v>
      </c>
      <c r="BT29" s="4">
        <v>4.76</v>
      </c>
      <c r="BU29" s="4">
        <v>2.2356650950075399E-2</v>
      </c>
      <c r="BV29" s="4"/>
      <c r="BW29" s="4">
        <v>0</v>
      </c>
      <c r="BX29" s="4"/>
      <c r="BY29" s="4">
        <v>0</v>
      </c>
      <c r="BZ29" s="4"/>
      <c r="CA29" s="4">
        <v>0</v>
      </c>
      <c r="CB29" s="4">
        <f t="shared" si="0"/>
        <v>0</v>
      </c>
      <c r="CC29" s="4">
        <f t="shared" si="1"/>
        <v>5.3161443800222603E-3</v>
      </c>
      <c r="CD29" s="4">
        <f t="shared" si="2"/>
        <v>0</v>
      </c>
      <c r="CE29" s="4">
        <f t="shared" si="3"/>
        <v>0</v>
      </c>
      <c r="CF29" s="4">
        <f t="shared" si="4"/>
        <v>39.880000000000003</v>
      </c>
      <c r="CG29" s="4">
        <f t="shared" si="5"/>
        <v>1.468464846911967</v>
      </c>
      <c r="CH29" s="4">
        <f t="shared" si="6"/>
        <v>53.66</v>
      </c>
      <c r="CI29" s="4">
        <f t="shared" si="7"/>
        <v>0.90896587901908676</v>
      </c>
    </row>
    <row r="30" spans="1:87" x14ac:dyDescent="0.25">
      <c r="C30" t="s">
        <v>41</v>
      </c>
      <c r="D30" s="4"/>
      <c r="E30" s="4">
        <v>9.4373253328608898E-3</v>
      </c>
      <c r="F30" s="4"/>
      <c r="G30" s="4">
        <v>0</v>
      </c>
      <c r="H30" s="4"/>
      <c r="I30" s="4">
        <v>0</v>
      </c>
      <c r="J30" s="4"/>
      <c r="K30" s="4">
        <v>0</v>
      </c>
      <c r="L30" s="4"/>
      <c r="M30" s="4">
        <v>0</v>
      </c>
      <c r="N30" s="4"/>
      <c r="O30" s="4">
        <v>0</v>
      </c>
      <c r="P30" s="4"/>
      <c r="Q30" s="4">
        <v>1.10560498443018E-2</v>
      </c>
      <c r="R30" s="4"/>
      <c r="S30" s="4">
        <v>0</v>
      </c>
      <c r="T30" s="4"/>
      <c r="U30" s="4">
        <v>0</v>
      </c>
      <c r="V30" s="4"/>
      <c r="W30" s="4">
        <v>0</v>
      </c>
      <c r="X30" s="4"/>
      <c r="Y30" s="4">
        <v>0</v>
      </c>
      <c r="Z30" s="4"/>
      <c r="AA30" s="4">
        <v>0</v>
      </c>
      <c r="AB30" s="4"/>
      <c r="AC30" s="4">
        <v>0</v>
      </c>
      <c r="AD30" s="4"/>
      <c r="AE30" s="4">
        <v>0</v>
      </c>
      <c r="AF30" s="4"/>
      <c r="AG30" s="4">
        <v>0</v>
      </c>
      <c r="AH30" s="4">
        <v>54.4</v>
      </c>
      <c r="AI30" s="4">
        <v>1.9897611904925401</v>
      </c>
      <c r="AJ30" s="4">
        <v>5.21</v>
      </c>
      <c r="AK30" s="4">
        <v>0.26151063318067602</v>
      </c>
      <c r="AL30" s="4">
        <v>0.64900000000000002</v>
      </c>
      <c r="AM30" s="4">
        <v>1.8640647028759498E-2</v>
      </c>
      <c r="AN30" s="4"/>
      <c r="AO30" s="4">
        <v>0</v>
      </c>
      <c r="AP30" s="4"/>
      <c r="AQ30" s="4">
        <v>0</v>
      </c>
      <c r="AR30" s="4"/>
      <c r="AS30" s="4">
        <v>0</v>
      </c>
      <c r="AT30" s="4"/>
      <c r="AU30" s="4">
        <v>0</v>
      </c>
      <c r="AV30" s="4"/>
      <c r="AW30" s="4">
        <v>0</v>
      </c>
      <c r="AX30" s="4"/>
      <c r="AY30" s="4">
        <v>0</v>
      </c>
      <c r="AZ30" s="4"/>
      <c r="BA30" s="4">
        <v>0</v>
      </c>
      <c r="BB30" s="4"/>
      <c r="BC30" s="4">
        <v>0</v>
      </c>
      <c r="BD30" s="4"/>
      <c r="BE30" s="4">
        <v>0</v>
      </c>
      <c r="BF30" s="4"/>
      <c r="BG30" s="4">
        <v>0</v>
      </c>
      <c r="BH30" s="4"/>
      <c r="BI30" s="4">
        <v>0</v>
      </c>
      <c r="BJ30" s="4"/>
      <c r="BK30" s="4">
        <v>0</v>
      </c>
      <c r="BL30" s="4"/>
      <c r="BM30" s="4">
        <v>0</v>
      </c>
      <c r="BN30" s="4"/>
      <c r="BO30" s="4">
        <v>0</v>
      </c>
      <c r="BP30" s="4">
        <v>15.9</v>
      </c>
      <c r="BQ30" s="4">
        <v>0.28952015306655648</v>
      </c>
      <c r="BR30" s="4">
        <v>66.099999999999994</v>
      </c>
      <c r="BS30" s="4">
        <v>1.2477246235215405</v>
      </c>
      <c r="BT30" s="4">
        <v>7.78</v>
      </c>
      <c r="BU30" s="4">
        <v>2.5558129126068353E-2</v>
      </c>
      <c r="BV30" s="4"/>
      <c r="BW30" s="4">
        <v>0</v>
      </c>
      <c r="BX30" s="4"/>
      <c r="BY30" s="4">
        <v>0</v>
      </c>
      <c r="BZ30" s="4"/>
      <c r="CA30" s="4">
        <v>0</v>
      </c>
      <c r="CB30" s="4">
        <f t="shared" si="0"/>
        <v>0</v>
      </c>
      <c r="CC30" s="4">
        <f t="shared" si="1"/>
        <v>2.0493375177162688E-2</v>
      </c>
      <c r="CD30" s="4">
        <f t="shared" si="2"/>
        <v>0</v>
      </c>
      <c r="CE30" s="4">
        <f t="shared" si="3"/>
        <v>0</v>
      </c>
      <c r="CF30" s="4">
        <f t="shared" si="4"/>
        <v>60.259</v>
      </c>
      <c r="CG30" s="4">
        <f t="shared" si="5"/>
        <v>2.2699124707019753</v>
      </c>
      <c r="CH30" s="4">
        <f t="shared" si="6"/>
        <v>89.78</v>
      </c>
      <c r="CI30" s="4">
        <f t="shared" si="7"/>
        <v>1.5628029057141652</v>
      </c>
    </row>
    <row r="31" spans="1:87" x14ac:dyDescent="0.25">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f>_xlfn.STDEV.P(AH16:AH18)</f>
        <v>39.969432764996249</v>
      </c>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4"/>
      <c r="BK31" s="4"/>
      <c r="BL31" s="4"/>
      <c r="BM31" s="4"/>
      <c r="BN31" s="4"/>
      <c r="BO31" s="4"/>
      <c r="BP31" s="4">
        <f>_xlfn.STDEV.P(BP16:BP18)</f>
        <v>13.021349989749739</v>
      </c>
      <c r="BQ31" s="4"/>
      <c r="BR31" s="4"/>
      <c r="BS31" s="4"/>
      <c r="BT31" s="4"/>
      <c r="BU31" s="4"/>
      <c r="BV31" s="4"/>
      <c r="BW31" s="4"/>
      <c r="BX31" s="4"/>
      <c r="BY31" s="4"/>
      <c r="BZ31" s="4"/>
      <c r="CA31" s="4"/>
      <c r="CB31" s="4"/>
      <c r="CC31" s="4"/>
      <c r="CD31" s="4"/>
      <c r="CE31" s="4"/>
      <c r="CF31" s="4"/>
      <c r="CG31" s="4"/>
      <c r="CH31" s="4"/>
      <c r="CI31" s="4"/>
    </row>
    <row r="32" spans="1:87" x14ac:dyDescent="0.25">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4"/>
      <c r="BK32" s="4"/>
      <c r="BL32" s="4"/>
      <c r="BM32" s="4"/>
      <c r="BN32" s="4"/>
      <c r="BO32" s="4"/>
      <c r="BP32" s="4"/>
      <c r="BQ32" s="4"/>
      <c r="BR32" s="4"/>
      <c r="BS32" s="4"/>
      <c r="BT32" s="4"/>
      <c r="BU32" s="4"/>
      <c r="BV32" s="4"/>
      <c r="BW32" s="4"/>
      <c r="BX32" s="4"/>
      <c r="BY32" s="4"/>
      <c r="BZ32" s="4"/>
      <c r="CA32" s="4"/>
      <c r="CB32" s="4"/>
      <c r="CC32" s="4"/>
      <c r="CD32" s="4"/>
      <c r="CE32" s="4"/>
      <c r="CF32" s="4"/>
      <c r="CG32" s="4"/>
      <c r="CH32" s="4"/>
      <c r="CI32" s="4"/>
    </row>
    <row r="33" spans="2:90" x14ac:dyDescent="0.25">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4"/>
      <c r="BK33" s="4"/>
      <c r="BL33" s="4"/>
      <c r="BM33" s="4"/>
      <c r="BN33" s="4"/>
      <c r="BO33" s="4"/>
      <c r="BP33" s="4"/>
      <c r="BQ33" s="4"/>
      <c r="BR33" s="4"/>
      <c r="BS33" s="4"/>
      <c r="BT33" s="4"/>
      <c r="BU33" s="4"/>
      <c r="BV33" s="4"/>
      <c r="BW33" s="4"/>
      <c r="BX33" s="4"/>
      <c r="BY33" s="4"/>
      <c r="BZ33" s="4"/>
      <c r="CA33" s="4"/>
      <c r="CB33" s="4"/>
      <c r="CC33" s="4"/>
      <c r="CD33" s="4"/>
      <c r="CE33" s="4"/>
      <c r="CF33" s="4"/>
      <c r="CG33" s="4"/>
      <c r="CH33" s="4"/>
      <c r="CI33" s="4"/>
    </row>
    <row r="34" spans="2:90" x14ac:dyDescent="0.25">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4"/>
      <c r="BK34" s="4"/>
      <c r="BL34" s="4"/>
      <c r="BM34" s="4"/>
      <c r="BN34" s="4"/>
      <c r="BO34" s="4"/>
      <c r="BP34" s="4"/>
      <c r="BQ34" s="4"/>
      <c r="BR34" s="4"/>
      <c r="BS34" s="4"/>
      <c r="BT34" s="4"/>
      <c r="BU34" s="4"/>
      <c r="BV34" s="4"/>
      <c r="BW34" s="4"/>
      <c r="BX34" s="4"/>
      <c r="BY34" s="4"/>
      <c r="BZ34" s="4"/>
      <c r="CA34" s="4"/>
      <c r="CB34" s="4"/>
      <c r="CC34" s="4"/>
      <c r="CD34" s="4"/>
      <c r="CE34" s="4"/>
      <c r="CF34" s="4"/>
      <c r="CG34" s="4"/>
      <c r="CH34" s="4"/>
      <c r="CI34" s="4"/>
    </row>
    <row r="35" spans="2:90" x14ac:dyDescent="0.25">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4"/>
      <c r="BK35" s="4"/>
      <c r="BL35" s="4"/>
      <c r="BM35" s="4"/>
      <c r="BN35" s="4"/>
      <c r="BO35" s="4"/>
      <c r="BP35" s="4"/>
      <c r="BQ35" s="4"/>
      <c r="BR35" s="4"/>
      <c r="BS35" s="4"/>
      <c r="BT35" s="4"/>
      <c r="BU35" s="4"/>
      <c r="BV35" s="4"/>
      <c r="BW35" s="4"/>
      <c r="BX35" s="4"/>
      <c r="BY35" s="4"/>
      <c r="BZ35" s="4"/>
      <c r="CA35" s="4"/>
      <c r="CB35" s="4"/>
      <c r="CC35" s="4"/>
      <c r="CD35" s="4"/>
      <c r="CE35" s="4"/>
      <c r="CF35" s="4"/>
      <c r="CG35" s="4"/>
      <c r="CH35" s="4"/>
      <c r="CI35" s="4"/>
    </row>
    <row r="36" spans="2:90" x14ac:dyDescent="0.25">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4"/>
      <c r="BK36" s="4"/>
      <c r="BL36" s="4"/>
      <c r="BM36" s="4"/>
      <c r="BN36" s="4"/>
      <c r="BO36" s="4"/>
      <c r="BP36" s="4"/>
      <c r="BQ36" s="4"/>
      <c r="BR36" s="4"/>
      <c r="BS36" s="4"/>
      <c r="BT36" s="4"/>
      <c r="BU36" s="4"/>
      <c r="BV36" s="4"/>
      <c r="BW36" s="4"/>
      <c r="BX36" s="4"/>
      <c r="BY36" s="4"/>
      <c r="BZ36" s="4"/>
      <c r="CA36" s="4"/>
      <c r="CB36" s="4"/>
      <c r="CC36" s="4"/>
      <c r="CD36" s="4"/>
      <c r="CE36" s="4"/>
      <c r="CF36" s="4"/>
      <c r="CG36" s="4"/>
      <c r="CH36" s="4"/>
      <c r="CI36" s="4"/>
    </row>
    <row r="37" spans="2:90" x14ac:dyDescent="0.25">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4"/>
      <c r="BK37" s="4"/>
      <c r="BL37" s="4"/>
      <c r="BM37" s="4"/>
      <c r="BN37" s="4"/>
      <c r="BO37" s="4"/>
      <c r="BP37" s="4"/>
      <c r="BQ37" s="4"/>
      <c r="BR37" s="4"/>
      <c r="BS37" s="4"/>
      <c r="BT37" s="4"/>
      <c r="BU37" s="4"/>
      <c r="BV37" s="4"/>
      <c r="BW37" s="4"/>
      <c r="BX37" s="4"/>
      <c r="BY37" s="4"/>
      <c r="BZ37" s="4"/>
      <c r="CA37" s="4"/>
      <c r="CB37" s="4"/>
      <c r="CC37" s="4"/>
      <c r="CD37" s="4"/>
      <c r="CE37" s="4"/>
      <c r="CF37" s="4"/>
      <c r="CG37" s="4"/>
      <c r="CH37" s="4"/>
      <c r="CI37" s="4"/>
    </row>
    <row r="38" spans="2:90" x14ac:dyDescent="0.25">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4"/>
      <c r="BK38" s="4"/>
      <c r="BL38" s="4"/>
      <c r="BM38" s="4"/>
      <c r="BN38" s="4"/>
      <c r="BO38" s="4"/>
      <c r="BP38" s="4"/>
      <c r="BQ38" s="4"/>
      <c r="BR38" s="4"/>
      <c r="BS38" s="4"/>
      <c r="BT38" s="4"/>
      <c r="BU38" s="4"/>
      <c r="BV38" s="4"/>
      <c r="BW38" s="4"/>
      <c r="BX38" s="4"/>
      <c r="BY38" s="4"/>
      <c r="BZ38" s="4"/>
      <c r="CA38" s="4"/>
      <c r="CB38" s="4"/>
      <c r="CC38" s="4"/>
      <c r="CD38" s="4"/>
      <c r="CE38" s="4"/>
      <c r="CF38" s="4"/>
      <c r="CG38" s="4"/>
      <c r="CH38" s="4"/>
      <c r="CI38" s="4"/>
    </row>
    <row r="39" spans="2:90" x14ac:dyDescent="0.25">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4"/>
      <c r="BK39" s="4"/>
      <c r="BL39" s="4"/>
      <c r="BM39" s="4"/>
      <c r="BN39" s="4"/>
      <c r="BO39" s="4"/>
      <c r="BP39" s="4"/>
      <c r="BQ39" s="4"/>
      <c r="BR39" s="4"/>
      <c r="BS39" s="4"/>
      <c r="BT39" s="4"/>
      <c r="BU39" s="4"/>
      <c r="BV39" s="4"/>
      <c r="BW39" s="4"/>
      <c r="BX39" s="4"/>
      <c r="BY39" s="4"/>
      <c r="BZ39" s="4"/>
      <c r="CA39" s="4"/>
      <c r="CB39" s="4"/>
      <c r="CC39" s="4"/>
      <c r="CD39" s="4"/>
      <c r="CE39" s="4"/>
      <c r="CF39" s="4"/>
      <c r="CG39" s="4"/>
      <c r="CH39" s="4"/>
      <c r="CI39" s="4"/>
    </row>
    <row r="40" spans="2:90" x14ac:dyDescent="0.25">
      <c r="B40" t="s">
        <v>352</v>
      </c>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4"/>
      <c r="BK40" s="4"/>
      <c r="BL40" s="4"/>
      <c r="BM40" s="4"/>
      <c r="BN40" s="4"/>
      <c r="BO40" s="4"/>
      <c r="BP40" s="4"/>
      <c r="BQ40" s="4"/>
      <c r="BR40" s="4"/>
      <c r="BS40" s="4"/>
      <c r="BT40" s="4"/>
      <c r="BU40" s="4"/>
      <c r="BV40" s="4"/>
      <c r="BW40" s="4"/>
      <c r="BX40" s="4"/>
      <c r="BY40" s="4"/>
      <c r="BZ40" s="4"/>
      <c r="CA40" s="4"/>
      <c r="CB40" s="4"/>
      <c r="CC40" s="4"/>
      <c r="CD40" s="4"/>
      <c r="CE40" s="4"/>
      <c r="CF40" s="4"/>
      <c r="CG40" s="4"/>
      <c r="CH40" s="4"/>
      <c r="CI40" s="4"/>
    </row>
    <row r="41" spans="2:90" x14ac:dyDescent="0.25">
      <c r="B41" t="s">
        <v>89</v>
      </c>
      <c r="C41">
        <v>1</v>
      </c>
      <c r="D41" s="4"/>
      <c r="E41" s="4">
        <f>AVERAGE(E4:E6)</f>
        <v>6.8965251813298727E-3</v>
      </c>
      <c r="F41" s="4"/>
      <c r="G41" s="4">
        <f>AVERAGE(G4:G6)</f>
        <v>0</v>
      </c>
      <c r="H41" s="4"/>
      <c r="I41" s="4">
        <f>AVERAGE(I4:I6)</f>
        <v>0</v>
      </c>
      <c r="J41" s="4"/>
      <c r="K41" s="4">
        <f>AVERAGE(K4:K6)</f>
        <v>0</v>
      </c>
      <c r="L41" s="4"/>
      <c r="M41" s="4">
        <f>AVERAGE(M4:M6)</f>
        <v>3.377858279346733E-4</v>
      </c>
      <c r="N41" s="4"/>
      <c r="O41" s="4">
        <f>AVERAGE(O4:O6)</f>
        <v>1.3386813635656899E-3</v>
      </c>
      <c r="P41" s="4"/>
      <c r="Q41" s="4">
        <f>AVERAGE(Q4:Q6)</f>
        <v>1.27022692235039E-2</v>
      </c>
      <c r="R41" s="4"/>
      <c r="S41" s="4">
        <f>AVERAGE(S4:S6)</f>
        <v>8.6304943036608669E-4</v>
      </c>
      <c r="T41" s="4"/>
      <c r="U41" s="4">
        <f>AVERAGE(U4:U6)</f>
        <v>0</v>
      </c>
      <c r="V41" s="4"/>
      <c r="W41" s="4">
        <f>AVERAGE(W4:W6)</f>
        <v>0</v>
      </c>
      <c r="X41" s="4"/>
      <c r="Y41" s="4">
        <f>AVERAGE(Y4:Y6)</f>
        <v>0</v>
      </c>
      <c r="Z41" s="4"/>
      <c r="AA41" s="4">
        <f>AVERAGE(AA4:AA6)</f>
        <v>0</v>
      </c>
      <c r="AB41" s="4"/>
      <c r="AC41" s="4">
        <f>AVERAGE(AC4:AC6)</f>
        <v>0</v>
      </c>
      <c r="AD41" s="4"/>
      <c r="AE41" s="4">
        <f>AVERAGE(AE4:AE6)</f>
        <v>0</v>
      </c>
      <c r="AF41" s="4"/>
      <c r="AG41" s="4">
        <f>AVERAGE(AG4:AG6)</f>
        <v>0</v>
      </c>
      <c r="AH41" s="4"/>
      <c r="AI41" s="4">
        <f>AVERAGE(AI4:AI6)</f>
        <v>0</v>
      </c>
      <c r="AJ41" s="4"/>
      <c r="AK41" s="4">
        <f>AVERAGE(AK4:AK6)</f>
        <v>0</v>
      </c>
      <c r="AL41" s="4"/>
      <c r="AM41" s="4">
        <f>AVERAGE(AM4:AM6)</f>
        <v>0</v>
      </c>
      <c r="AN41" s="4"/>
      <c r="AO41" s="4">
        <f>AVERAGE(AO4:AO6)</f>
        <v>0</v>
      </c>
      <c r="AP41" s="4"/>
      <c r="AQ41" s="4">
        <f>AVERAGE(AQ4:AQ6)</f>
        <v>0</v>
      </c>
      <c r="AR41" s="4"/>
      <c r="AS41" s="4">
        <f>AVERAGE(AS4:AS6)</f>
        <v>0</v>
      </c>
      <c r="AT41" s="4"/>
      <c r="AU41" s="4">
        <f>AVERAGE(AU4:AU6)</f>
        <v>0</v>
      </c>
      <c r="AV41" s="4"/>
      <c r="AW41" s="4">
        <f>AVERAGE(AW4:AW6)</f>
        <v>0</v>
      </c>
      <c r="AX41" s="4"/>
      <c r="AY41" s="4">
        <f>AVERAGE(AY4:AY6)</f>
        <v>0</v>
      </c>
      <c r="AZ41" s="4"/>
      <c r="BA41" s="4">
        <f>AVERAGE(BA4:BA6)</f>
        <v>0</v>
      </c>
      <c r="BB41" s="4"/>
      <c r="BC41" s="4">
        <f>AVERAGE(BC4:BC6)</f>
        <v>0</v>
      </c>
      <c r="BD41" s="4"/>
      <c r="BE41" s="4">
        <f>AVERAGE(BE4:BE6)</f>
        <v>0</v>
      </c>
      <c r="BF41" s="4"/>
      <c r="BG41" s="4">
        <f>AVERAGE(BG4:BG6)</f>
        <v>0</v>
      </c>
      <c r="BH41" s="4"/>
      <c r="BI41" s="4">
        <f>AVERAGE(BI4:BI6)</f>
        <v>0</v>
      </c>
      <c r="BJ41" s="4"/>
      <c r="BK41" s="4">
        <f>AVERAGE(BK4:BK6)</f>
        <v>0</v>
      </c>
      <c r="BL41" s="4"/>
      <c r="BM41" s="4">
        <f>AVERAGE(BM4:BM6)</f>
        <v>0</v>
      </c>
      <c r="BN41" s="4"/>
      <c r="BO41" s="4">
        <f>AVERAGE(BO4:BO6)</f>
        <v>0</v>
      </c>
      <c r="BP41" s="4"/>
      <c r="BQ41" s="4">
        <f>AVERAGE(BQ4:BQ6)</f>
        <v>0</v>
      </c>
      <c r="BR41" s="4"/>
      <c r="BS41" s="4">
        <f>AVERAGE(BS4:BS6)</f>
        <v>0</v>
      </c>
      <c r="BT41" s="4"/>
      <c r="BU41" s="4">
        <f>AVERAGE(BU4:BU6)</f>
        <v>0</v>
      </c>
      <c r="BV41" s="4"/>
      <c r="BW41" s="4">
        <f>AVERAGE(BW4:BW6)</f>
        <v>0</v>
      </c>
      <c r="BX41" s="4"/>
      <c r="BY41" s="4">
        <f>AVERAGE(BY4:BY6)</f>
        <v>0</v>
      </c>
      <c r="BZ41" s="4"/>
      <c r="CA41" s="4">
        <f t="shared" ref="CA41:CI41" si="8">AVERAGE(CA4:CA6)</f>
        <v>0</v>
      </c>
      <c r="CB41" s="4">
        <f t="shared" si="8"/>
        <v>0</v>
      </c>
      <c r="CC41" s="4">
        <f t="shared" si="8"/>
        <v>2.2138311026700223E-2</v>
      </c>
      <c r="CD41" s="4">
        <f t="shared" si="8"/>
        <v>0</v>
      </c>
      <c r="CE41" s="4">
        <f t="shared" si="8"/>
        <v>0</v>
      </c>
      <c r="CF41" s="4">
        <f t="shared" si="8"/>
        <v>0</v>
      </c>
      <c r="CG41" s="4">
        <f t="shared" si="8"/>
        <v>0</v>
      </c>
      <c r="CH41" s="4">
        <f t="shared" si="8"/>
        <v>0</v>
      </c>
      <c r="CI41" s="4">
        <f t="shared" si="8"/>
        <v>0</v>
      </c>
    </row>
    <row r="42" spans="2:90" x14ac:dyDescent="0.25">
      <c r="C42">
        <v>5</v>
      </c>
      <c r="D42" s="4">
        <f>AVERAGE(D7:D9)</f>
        <v>2.9333333333333336</v>
      </c>
      <c r="E42" s="4">
        <f>AVERAGE(E7:E9)</f>
        <v>1.1048947513531842</v>
      </c>
      <c r="F42" s="4"/>
      <c r="G42" s="4">
        <f>AVERAGE(G7:G9)</f>
        <v>1.7890542071510102E-2</v>
      </c>
      <c r="H42" s="4"/>
      <c r="I42" s="4">
        <f>AVERAGE(I7:I9)</f>
        <v>0</v>
      </c>
      <c r="J42" s="4"/>
      <c r="K42" s="4">
        <f>AVERAGE(K7:K9)</f>
        <v>0</v>
      </c>
      <c r="L42" s="4">
        <f>AVERAGE(L7:L9)</f>
        <v>2.82</v>
      </c>
      <c r="M42" s="4">
        <f>AVERAGE(M7:M9)</f>
        <v>9.3415768438433064E-2</v>
      </c>
      <c r="N42" s="4"/>
      <c r="O42" s="4">
        <f>AVERAGE(O7:O9)</f>
        <v>4.6357468308346897E-3</v>
      </c>
      <c r="P42" s="4"/>
      <c r="Q42" s="4">
        <f>AVERAGE(Q7:Q9)</f>
        <v>2.6951652822816433E-2</v>
      </c>
      <c r="R42" s="4"/>
      <c r="S42" s="4">
        <f>AVERAGE(S7:S9)</f>
        <v>7.45561048867784E-3</v>
      </c>
      <c r="T42" s="4"/>
      <c r="U42" s="4">
        <f>AVERAGE(U7:U9)</f>
        <v>2.6321616844036401E-3</v>
      </c>
      <c r="V42" s="4"/>
      <c r="W42" s="4">
        <f>AVERAGE(W7:W9)</f>
        <v>0</v>
      </c>
      <c r="X42" s="4"/>
      <c r="Y42" s="4">
        <f>AVERAGE(Y7:Y9)</f>
        <v>0</v>
      </c>
      <c r="Z42" s="4"/>
      <c r="AA42" s="4">
        <f>AVERAGE(AA7:AA9)</f>
        <v>0</v>
      </c>
      <c r="AB42" s="4"/>
      <c r="AC42" s="4">
        <f>AVERAGE(AC7:AC9)</f>
        <v>0</v>
      </c>
      <c r="AD42" s="4">
        <f>AVERAGE(AD7:AD9)</f>
        <v>0.54200000000000004</v>
      </c>
      <c r="AE42" s="4">
        <f>AVERAGE(AE7:AE9)</f>
        <v>0</v>
      </c>
      <c r="AF42" s="4"/>
      <c r="AG42" s="4">
        <f t="shared" ref="AG42:AM42" si="9">AVERAGE(AG7:AG9)</f>
        <v>0</v>
      </c>
      <c r="AH42" s="4">
        <f t="shared" si="9"/>
        <v>5.3533333333333344</v>
      </c>
      <c r="AI42" s="4">
        <f t="shared" si="9"/>
        <v>1.0070324673249311</v>
      </c>
      <c r="AJ42" s="4">
        <f t="shared" si="9"/>
        <v>2.1700000000000004</v>
      </c>
      <c r="AK42" s="4">
        <f t="shared" si="9"/>
        <v>0.61916092363568631</v>
      </c>
      <c r="AL42" s="4">
        <f t="shared" si="9"/>
        <v>2.1233333333333335</v>
      </c>
      <c r="AM42" s="4">
        <f t="shared" si="9"/>
        <v>0.42857197803583502</v>
      </c>
      <c r="AN42" s="4"/>
      <c r="AO42" s="4">
        <f>AVERAGE(AO7:AO9)</f>
        <v>4.2301109345248999E-2</v>
      </c>
      <c r="AP42" s="4"/>
      <c r="AQ42" s="4">
        <f>AVERAGE(AQ7:AQ9)</f>
        <v>1.5043699336264265E-2</v>
      </c>
      <c r="AR42" s="4"/>
      <c r="AS42" s="4">
        <f>AVERAGE(AS7:AS9)</f>
        <v>0</v>
      </c>
      <c r="AT42" s="4"/>
      <c r="AU42" s="4">
        <f>AVERAGE(AU7:AU9)</f>
        <v>0</v>
      </c>
      <c r="AV42" s="4"/>
      <c r="AW42" s="4">
        <f>AVERAGE(AW7:AW9)</f>
        <v>0</v>
      </c>
      <c r="AX42" s="4"/>
      <c r="AY42" s="4">
        <f>AVERAGE(AY7:AY9)</f>
        <v>8.741945211514392E-3</v>
      </c>
      <c r="AZ42" s="4"/>
      <c r="BA42" s="4">
        <f>AVERAGE(BA7:BA9)</f>
        <v>5.4896466334889002E-4</v>
      </c>
      <c r="BB42" s="4"/>
      <c r="BC42" s="4">
        <f>AVERAGE(BC7:BC9)</f>
        <v>0</v>
      </c>
      <c r="BD42" s="4"/>
      <c r="BE42" s="4">
        <f>AVERAGE(BE7:BE9)</f>
        <v>0</v>
      </c>
      <c r="BF42" s="4"/>
      <c r="BG42" s="4">
        <f>AVERAGE(BG7:BG9)</f>
        <v>0</v>
      </c>
      <c r="BH42" s="4"/>
      <c r="BI42" s="4">
        <f>AVERAGE(BI7:BI9)</f>
        <v>3.2663452980165701E-3</v>
      </c>
      <c r="BJ42" s="4"/>
      <c r="BK42" s="4">
        <f>AVERAGE(BK7:BK9)</f>
        <v>3.5709800027962264E-3</v>
      </c>
      <c r="BL42" s="4"/>
      <c r="BM42" s="4">
        <f>AVERAGE(BM7:BM9)</f>
        <v>0</v>
      </c>
      <c r="BN42" s="4"/>
      <c r="BO42" s="4">
        <f t="shared" ref="BO42:CI42" si="10">AVERAGE(BO7:BO9)</f>
        <v>0</v>
      </c>
      <c r="BP42" s="4">
        <f t="shared" si="10"/>
        <v>1.4733333333333334</v>
      </c>
      <c r="BQ42" s="4">
        <f t="shared" si="10"/>
        <v>0.16375270281261542</v>
      </c>
      <c r="BR42" s="4">
        <f t="shared" si="10"/>
        <v>8.0299999999999994</v>
      </c>
      <c r="BS42" s="4">
        <f t="shared" si="10"/>
        <v>1.0568989153157973</v>
      </c>
      <c r="BT42" s="4">
        <f t="shared" si="10"/>
        <v>5.9866666666666672</v>
      </c>
      <c r="BU42" s="4">
        <f t="shared" si="10"/>
        <v>0.27265770473259177</v>
      </c>
      <c r="BV42" s="4">
        <f t="shared" si="10"/>
        <v>3.0500000000000003</v>
      </c>
      <c r="BW42" s="4">
        <f t="shared" si="10"/>
        <v>0.24887386923329691</v>
      </c>
      <c r="BX42" s="4">
        <f t="shared" si="10"/>
        <v>2.0099999999999998</v>
      </c>
      <c r="BY42" s="4">
        <f t="shared" si="10"/>
        <v>7.1931197082925613E-2</v>
      </c>
      <c r="BZ42" s="4">
        <f t="shared" si="10"/>
        <v>0.90049999999999997</v>
      </c>
      <c r="CA42" s="4">
        <f t="shared" si="10"/>
        <v>3.3952478711668475E-2</v>
      </c>
      <c r="CB42" s="4">
        <f t="shared" si="10"/>
        <v>5.753333333333333</v>
      </c>
      <c r="CC42" s="4">
        <f t="shared" si="10"/>
        <v>1.2578762336898597</v>
      </c>
      <c r="CD42" s="4">
        <f t="shared" si="10"/>
        <v>0</v>
      </c>
      <c r="CE42" s="4">
        <f t="shared" si="10"/>
        <v>1.6128235175676079E-2</v>
      </c>
      <c r="CF42" s="4">
        <f t="shared" si="10"/>
        <v>9.8273333333333337</v>
      </c>
      <c r="CG42" s="4">
        <f t="shared" si="10"/>
        <v>2.1121101776779656</v>
      </c>
      <c r="CH42" s="4">
        <f t="shared" si="10"/>
        <v>21.150333333333332</v>
      </c>
      <c r="CI42" s="4">
        <f t="shared" si="10"/>
        <v>1.8480668678888954</v>
      </c>
    </row>
    <row r="43" spans="2:90" x14ac:dyDescent="0.25">
      <c r="C43">
        <v>17</v>
      </c>
      <c r="D43" s="4">
        <f>AVERAGE(D10:D12)</f>
        <v>11.366666666666667</v>
      </c>
      <c r="E43" s="4">
        <f>AVERAGE(E10:E12)</f>
        <v>2.6797502410957939</v>
      </c>
      <c r="F43" s="4"/>
      <c r="G43" s="4">
        <f>AVERAGE(G10:G12)</f>
        <v>4.2439863106328059E-2</v>
      </c>
      <c r="H43" s="4"/>
      <c r="I43" s="4">
        <f>AVERAGE(I10:I12)</f>
        <v>0</v>
      </c>
      <c r="J43" s="4"/>
      <c r="K43" s="4">
        <f>AVERAGE(K10:K12)</f>
        <v>0</v>
      </c>
      <c r="L43" s="4">
        <f>AVERAGE(L10:L12)</f>
        <v>10.766666666666666</v>
      </c>
      <c r="M43" s="4">
        <f>AVERAGE(M10:M12)</f>
        <v>0.17174612310202533</v>
      </c>
      <c r="N43" s="4"/>
      <c r="O43" s="4">
        <f t="shared" ref="O43:Y43" si="11">AVERAGE(O10:O12)</f>
        <v>1.143368384304585E-2</v>
      </c>
      <c r="P43" s="4">
        <f t="shared" si="11"/>
        <v>1.0296666666666667</v>
      </c>
      <c r="Q43" s="4">
        <f t="shared" si="11"/>
        <v>6.6954568193800065E-2</v>
      </c>
      <c r="R43" s="4">
        <f t="shared" si="11"/>
        <v>0.72649999999999992</v>
      </c>
      <c r="S43" s="4">
        <f t="shared" si="11"/>
        <v>3.1717999775514871E-2</v>
      </c>
      <c r="T43" s="4">
        <f t="shared" si="11"/>
        <v>1.0633333333333332</v>
      </c>
      <c r="U43" s="4">
        <f t="shared" si="11"/>
        <v>2.6815742637972168E-2</v>
      </c>
      <c r="V43" s="4">
        <f t="shared" si="11"/>
        <v>1.216</v>
      </c>
      <c r="W43" s="4">
        <f t="shared" si="11"/>
        <v>9.711497657132943E-3</v>
      </c>
      <c r="X43" s="4">
        <f t="shared" si="11"/>
        <v>0.95950000000000002</v>
      </c>
      <c r="Y43" s="4">
        <f t="shared" si="11"/>
        <v>2.6013921504227737E-3</v>
      </c>
      <c r="Z43" s="4"/>
      <c r="AA43" s="4">
        <f>AVERAGE(AA10:AA12)</f>
        <v>0</v>
      </c>
      <c r="AB43" s="4"/>
      <c r="AC43" s="4">
        <f t="shared" ref="AC43:AQ43" si="12">AVERAGE(AC10:AC12)</f>
        <v>0</v>
      </c>
      <c r="AD43" s="4">
        <f t="shared" si="12"/>
        <v>2.4933333333333332</v>
      </c>
      <c r="AE43" s="4">
        <f t="shared" si="12"/>
        <v>1.3373479992940201E-2</v>
      </c>
      <c r="AF43" s="4">
        <f t="shared" si="12"/>
        <v>1.0976666666666668</v>
      </c>
      <c r="AG43" s="4">
        <f t="shared" si="12"/>
        <v>8.8858146885234732E-3</v>
      </c>
      <c r="AH43" s="4">
        <f t="shared" si="12"/>
        <v>101.43333333333334</v>
      </c>
      <c r="AI43" s="4">
        <f t="shared" si="12"/>
        <v>8.3981500792521331</v>
      </c>
      <c r="AJ43" s="4">
        <f t="shared" si="12"/>
        <v>41.033333333333331</v>
      </c>
      <c r="AK43" s="4">
        <f t="shared" si="12"/>
        <v>5.4155278821852901</v>
      </c>
      <c r="AL43" s="4">
        <f t="shared" si="12"/>
        <v>33.9</v>
      </c>
      <c r="AM43" s="4">
        <f t="shared" si="12"/>
        <v>2.9995347834513901</v>
      </c>
      <c r="AN43" s="4">
        <f t="shared" si="12"/>
        <v>1.74</v>
      </c>
      <c r="AO43" s="4">
        <f t="shared" si="12"/>
        <v>0.30612041200333601</v>
      </c>
      <c r="AP43" s="4">
        <f t="shared" si="12"/>
        <v>0.90800000000000003</v>
      </c>
      <c r="AQ43" s="4">
        <f t="shared" si="12"/>
        <v>0.14398102045781502</v>
      </c>
      <c r="AR43" s="4"/>
      <c r="AS43" s="4">
        <f>AVERAGE(AS10:AS12)</f>
        <v>1.6298134340962969E-2</v>
      </c>
      <c r="AT43" s="4"/>
      <c r="AU43" s="4">
        <f>AVERAGE(AU10:AU12)</f>
        <v>0</v>
      </c>
      <c r="AV43" s="4"/>
      <c r="AW43" s="4">
        <f>AVERAGE(AW10:AW12)</f>
        <v>0</v>
      </c>
      <c r="AX43" s="4">
        <f>AVERAGE(AX10:AX12)</f>
        <v>0.73666666666666669</v>
      </c>
      <c r="AY43" s="4">
        <f>AVERAGE(AY10:AY12)</f>
        <v>2.0485381129759502E-2</v>
      </c>
      <c r="AZ43" s="4"/>
      <c r="BA43" s="4">
        <f>AVERAGE(BA10:BA12)</f>
        <v>1.7161212786059338E-3</v>
      </c>
      <c r="BB43" s="4"/>
      <c r="BC43" s="4">
        <f>AVERAGE(BC10:BC12)</f>
        <v>0</v>
      </c>
      <c r="BD43" s="4"/>
      <c r="BE43" s="4">
        <f>AVERAGE(BE10:BE12)</f>
        <v>1.018037346398639E-2</v>
      </c>
      <c r="BF43" s="4"/>
      <c r="BG43" s="4">
        <f>AVERAGE(BG10:BG12)</f>
        <v>4.0363641973381978E-2</v>
      </c>
      <c r="BH43" s="4"/>
      <c r="BI43" s="4">
        <f>AVERAGE(BI10:BI12)</f>
        <v>2.3586200804594611E-2</v>
      </c>
      <c r="BJ43" s="4"/>
      <c r="BK43" s="4">
        <f>AVERAGE(BK10:BK12)</f>
        <v>1.7145545184265698E-2</v>
      </c>
      <c r="BL43" s="4"/>
      <c r="BM43" s="4">
        <f>AVERAGE(BM10:BM12)</f>
        <v>0</v>
      </c>
      <c r="BN43" s="4"/>
      <c r="BO43" s="4">
        <f t="shared" ref="BO43:CI43" si="13">AVERAGE(BO10:BO12)</f>
        <v>0</v>
      </c>
      <c r="BP43" s="4">
        <f t="shared" si="13"/>
        <v>30.333333333333332</v>
      </c>
      <c r="BQ43" s="4">
        <f t="shared" si="13"/>
        <v>1.1525885629587407</v>
      </c>
      <c r="BR43" s="4">
        <f t="shared" si="13"/>
        <v>146.83333333333334</v>
      </c>
      <c r="BS43" s="4">
        <f t="shared" si="13"/>
        <v>11.69377395223818</v>
      </c>
      <c r="BT43" s="4">
        <f t="shared" si="13"/>
        <v>121.46666666666665</v>
      </c>
      <c r="BU43" s="4">
        <f t="shared" si="13"/>
        <v>2.2943662608361177</v>
      </c>
      <c r="BV43" s="4">
        <f t="shared" si="13"/>
        <v>33.866666666666667</v>
      </c>
      <c r="BW43" s="4">
        <f t="shared" si="13"/>
        <v>1.3961687647611676</v>
      </c>
      <c r="BX43" s="4">
        <f t="shared" si="13"/>
        <v>17.506666666666664</v>
      </c>
      <c r="BY43" s="4">
        <f t="shared" si="13"/>
        <v>0.30502815637472608</v>
      </c>
      <c r="BZ43" s="4">
        <f t="shared" si="13"/>
        <v>6.7333333333333343</v>
      </c>
      <c r="CA43" s="4">
        <f t="shared" si="13"/>
        <v>0.13829150305171758</v>
      </c>
      <c r="CB43" s="4">
        <f t="shared" si="13"/>
        <v>26.566333333333333</v>
      </c>
      <c r="CC43" s="4">
        <f t="shared" si="13"/>
        <v>3.0431711115620352</v>
      </c>
      <c r="CD43" s="4">
        <f t="shared" si="13"/>
        <v>0.73666666666666669</v>
      </c>
      <c r="CE43" s="4">
        <f t="shared" si="13"/>
        <v>0.11347726383459411</v>
      </c>
      <c r="CF43" s="4">
        <f t="shared" si="13"/>
        <v>182.60566666666668</v>
      </c>
      <c r="CG43" s="4">
        <f t="shared" si="13"/>
        <v>17.301871606372391</v>
      </c>
      <c r="CH43" s="4">
        <f t="shared" si="13"/>
        <v>356.73999999999995</v>
      </c>
      <c r="CI43" s="4">
        <f t="shared" si="13"/>
        <v>16.980217200220647</v>
      </c>
      <c r="CK43" t="s">
        <v>197</v>
      </c>
      <c r="CL43">
        <v>0.5</v>
      </c>
    </row>
    <row r="44" spans="2:90" x14ac:dyDescent="0.25">
      <c r="C44">
        <v>38</v>
      </c>
      <c r="D44" s="4">
        <f>AVERAGE(D13:D15)</f>
        <v>3.53</v>
      </c>
      <c r="E44" s="4">
        <f>AVERAGE(E13:E15)</f>
        <v>0.61856478864046105</v>
      </c>
      <c r="F44" s="4"/>
      <c r="G44" s="4">
        <f>AVERAGE(G13:G15)</f>
        <v>1.4431760450355902E-2</v>
      </c>
      <c r="H44" s="4"/>
      <c r="I44" s="4">
        <f>AVERAGE(I13:I15)</f>
        <v>0</v>
      </c>
      <c r="J44" s="4"/>
      <c r="K44" s="4">
        <f>AVERAGE(K13:K15)</f>
        <v>0</v>
      </c>
      <c r="L44" s="4">
        <f>AVERAGE(L13:L15)</f>
        <v>2.0900000000000003</v>
      </c>
      <c r="M44" s="4">
        <f>AVERAGE(M13:M15)</f>
        <v>2.7648624218455667E-2</v>
      </c>
      <c r="N44" s="4"/>
      <c r="O44" s="4">
        <f t="shared" ref="O44:Y44" si="14">AVERAGE(O13:O15)</f>
        <v>5.3108777752884501E-3</v>
      </c>
      <c r="P44" s="4">
        <f t="shared" si="14"/>
        <v>2.27</v>
      </c>
      <c r="Q44" s="4">
        <f t="shared" si="14"/>
        <v>8.25459638542997E-2</v>
      </c>
      <c r="R44" s="4">
        <f t="shared" si="14"/>
        <v>1.4566666666666668</v>
      </c>
      <c r="S44" s="4">
        <f t="shared" si="14"/>
        <v>4.2196920006349031E-2</v>
      </c>
      <c r="T44" s="4">
        <f t="shared" si="14"/>
        <v>2.0299999999999998</v>
      </c>
      <c r="U44" s="4">
        <f t="shared" si="14"/>
        <v>2.9687616505125431E-2</v>
      </c>
      <c r="V44" s="4">
        <f t="shared" si="14"/>
        <v>1.4799999999999998</v>
      </c>
      <c r="W44" s="4">
        <f t="shared" si="14"/>
        <v>1.1036915671683556E-2</v>
      </c>
      <c r="X44" s="4">
        <f t="shared" si="14"/>
        <v>0.60699999999999998</v>
      </c>
      <c r="Y44" s="4">
        <f t="shared" si="14"/>
        <v>2.3356576759455132E-3</v>
      </c>
      <c r="Z44" s="4"/>
      <c r="AA44" s="4">
        <f>AVERAGE(AA13:AA15)</f>
        <v>0</v>
      </c>
      <c r="AB44" s="4"/>
      <c r="AC44" s="4">
        <f t="shared" ref="AC44:AQ44" si="15">AVERAGE(AC13:AC15)</f>
        <v>0</v>
      </c>
      <c r="AD44" s="4">
        <f t="shared" si="15"/>
        <v>5.253333333333333</v>
      </c>
      <c r="AE44" s="4">
        <f t="shared" si="15"/>
        <v>2.2487795052052367E-2</v>
      </c>
      <c r="AF44" s="4">
        <f t="shared" si="15"/>
        <v>4.583333333333333</v>
      </c>
      <c r="AG44" s="4">
        <f t="shared" si="15"/>
        <v>1.6791154361163737E-2</v>
      </c>
      <c r="AH44" s="4">
        <f t="shared" si="15"/>
        <v>273.33333333333331</v>
      </c>
      <c r="AI44" s="4">
        <f t="shared" si="15"/>
        <v>12.876221851228117</v>
      </c>
      <c r="AJ44" s="4">
        <f t="shared" si="15"/>
        <v>126.33333333333333</v>
      </c>
      <c r="AK44" s="4">
        <f t="shared" si="15"/>
        <v>10.298640672660136</v>
      </c>
      <c r="AL44" s="4">
        <f t="shared" si="15"/>
        <v>90.166666666666671</v>
      </c>
      <c r="AM44" s="4">
        <f t="shared" si="15"/>
        <v>3.6976076176564767</v>
      </c>
      <c r="AN44" s="4">
        <f t="shared" si="15"/>
        <v>2.6799999999999997</v>
      </c>
      <c r="AO44" s="4">
        <f t="shared" si="15"/>
        <v>0.34049274782141264</v>
      </c>
      <c r="AP44" s="4">
        <f t="shared" si="15"/>
        <v>1.2023333333333335</v>
      </c>
      <c r="AQ44" s="4">
        <f t="shared" si="15"/>
        <v>0.14881795887188973</v>
      </c>
      <c r="AR44" s="4"/>
      <c r="AS44" s="4">
        <f>AVERAGE(AS13:AS15)</f>
        <v>2.4429542946125166E-2</v>
      </c>
      <c r="AT44" s="4"/>
      <c r="AU44" s="4">
        <f>AVERAGE(AU13:AU15)</f>
        <v>0</v>
      </c>
      <c r="AV44" s="4"/>
      <c r="AW44" s="4">
        <f>AVERAGE(AW13:AW15)</f>
        <v>0</v>
      </c>
      <c r="AX44" s="4"/>
      <c r="AY44" s="4">
        <f>AVERAGE(AY13:AY15)</f>
        <v>3.8700426190348392E-3</v>
      </c>
      <c r="AZ44" s="4"/>
      <c r="BA44" s="4">
        <f>AVERAGE(BA13:BA15)</f>
        <v>0</v>
      </c>
      <c r="BB44" s="4"/>
      <c r="BC44" s="4">
        <f>AVERAGE(BC13:BC15)</f>
        <v>3.3730619030398795E-3</v>
      </c>
      <c r="BD44" s="4"/>
      <c r="BE44" s="4">
        <f>AVERAGE(BE13:BE15)</f>
        <v>1.5911695871574313E-2</v>
      </c>
      <c r="BF44" s="4"/>
      <c r="BG44" s="4">
        <f>AVERAGE(BG13:BG15)</f>
        <v>5.6233658992911696E-2</v>
      </c>
      <c r="BH44" s="4"/>
      <c r="BI44" s="4">
        <f>AVERAGE(BI13:BI15)</f>
        <v>1.8481544149669241E-2</v>
      </c>
      <c r="BJ44" s="4"/>
      <c r="BK44" s="4">
        <f>AVERAGE(BK13:BK15)</f>
        <v>5.066074784359712E-3</v>
      </c>
      <c r="BL44" s="4"/>
      <c r="BM44" s="4">
        <f t="shared" ref="BM44:CI44" si="16">AVERAGE(BM13:BM15)</f>
        <v>0</v>
      </c>
      <c r="BN44" s="4">
        <f t="shared" si="16"/>
        <v>0.58166666666666667</v>
      </c>
      <c r="BO44" s="4">
        <f t="shared" si="16"/>
        <v>0</v>
      </c>
      <c r="BP44" s="4">
        <f t="shared" si="16"/>
        <v>92.633333333333326</v>
      </c>
      <c r="BQ44" s="4">
        <f t="shared" si="16"/>
        <v>2.4196878712679557</v>
      </c>
      <c r="BR44" s="4">
        <f t="shared" si="16"/>
        <v>412.66666666666669</v>
      </c>
      <c r="BS44" s="4">
        <f t="shared" si="16"/>
        <v>21.823366512522895</v>
      </c>
      <c r="BT44" s="4">
        <f t="shared" si="16"/>
        <v>295.66666666666669</v>
      </c>
      <c r="BU44" s="4">
        <f t="shared" si="16"/>
        <v>2.8056371388704036</v>
      </c>
      <c r="BV44" s="4">
        <f t="shared" si="16"/>
        <v>32.133333333333333</v>
      </c>
      <c r="BW44" s="4">
        <f t="shared" si="16"/>
        <v>0.82825134499064379</v>
      </c>
      <c r="BX44" s="4">
        <f t="shared" si="16"/>
        <v>10.736666666666666</v>
      </c>
      <c r="BY44" s="4">
        <f t="shared" si="16"/>
        <v>0.11279484207951966</v>
      </c>
      <c r="BZ44" s="4">
        <f t="shared" si="16"/>
        <v>2.9066666666666663</v>
      </c>
      <c r="CA44" s="4">
        <f t="shared" si="16"/>
        <v>3.7376325528074968E-2</v>
      </c>
      <c r="CB44" s="4">
        <f t="shared" si="16"/>
        <v>13.058999999999999</v>
      </c>
      <c r="CC44" s="4">
        <f t="shared" si="16"/>
        <v>0.83375912479796421</v>
      </c>
      <c r="CD44" s="4">
        <f t="shared" si="16"/>
        <v>0</v>
      </c>
      <c r="CE44" s="4">
        <f t="shared" si="16"/>
        <v>0.10293607832058969</v>
      </c>
      <c r="CF44" s="4">
        <f t="shared" si="16"/>
        <v>503.55233333333337</v>
      </c>
      <c r="CG44" s="4">
        <f t="shared" si="16"/>
        <v>27.425489340597377</v>
      </c>
      <c r="CH44" s="4">
        <f t="shared" si="16"/>
        <v>847.32499999999993</v>
      </c>
      <c r="CI44" s="4">
        <f t="shared" si="16"/>
        <v>28.027114035259491</v>
      </c>
      <c r="CK44" t="s">
        <v>198</v>
      </c>
      <c r="CL44">
        <v>1E-3</v>
      </c>
    </row>
    <row r="45" spans="2:90" x14ac:dyDescent="0.25">
      <c r="C45">
        <v>57</v>
      </c>
      <c r="D45">
        <f>AVERAGE(D16:D18)</f>
        <v>2.19</v>
      </c>
      <c r="E45">
        <f>AVERAGE(E16:E18)</f>
        <v>0.48043596103109437</v>
      </c>
      <c r="G45">
        <f>AVERAGE(G16:G18)</f>
        <v>9.7143514716450368E-3</v>
      </c>
      <c r="I45">
        <f>AVERAGE(I16:I18)</f>
        <v>0</v>
      </c>
      <c r="K45">
        <f>AVERAGE(K16:K18)</f>
        <v>0</v>
      </c>
      <c r="L45">
        <f>AVERAGE(L16:L18)</f>
        <v>1.68</v>
      </c>
      <c r="M45">
        <f>AVERAGE(M16:M18)</f>
        <v>1.8762486779054999E-2</v>
      </c>
      <c r="O45">
        <f t="shared" ref="O45:Y45" si="17">AVERAGE(O16:O18)</f>
        <v>3.5743212959048962E-3</v>
      </c>
      <c r="P45">
        <f t="shared" si="17"/>
        <v>2.97</v>
      </c>
      <c r="Q45">
        <f t="shared" si="17"/>
        <v>9.3381954562492431E-2</v>
      </c>
      <c r="R45">
        <f t="shared" si="17"/>
        <v>1.8233333333333335</v>
      </c>
      <c r="S45">
        <f t="shared" si="17"/>
        <v>4.3732823792636599E-2</v>
      </c>
      <c r="T45">
        <f t="shared" si="17"/>
        <v>2.17</v>
      </c>
      <c r="U45">
        <f t="shared" si="17"/>
        <v>3.2748239757731397E-2</v>
      </c>
      <c r="V45">
        <f t="shared" si="17"/>
        <v>1.5</v>
      </c>
      <c r="W45">
        <f t="shared" si="17"/>
        <v>1.0971990780158822E-2</v>
      </c>
      <c r="X45">
        <f t="shared" si="17"/>
        <v>0.66999999999999993</v>
      </c>
      <c r="Y45">
        <f t="shared" si="17"/>
        <v>3.4532251225887268E-3</v>
      </c>
      <c r="AA45">
        <f>AVERAGE(AA16:AA18)</f>
        <v>0</v>
      </c>
      <c r="AC45">
        <f t="shared" ref="AC45:AQ45" si="18">AVERAGE(AC16:AC18)</f>
        <v>0</v>
      </c>
      <c r="AD45">
        <f t="shared" si="18"/>
        <v>3.793333333333333</v>
      </c>
      <c r="AE45">
        <f t="shared" si="18"/>
        <v>1.4534272571307566E-2</v>
      </c>
      <c r="AF45">
        <f t="shared" si="18"/>
        <v>5.6866666666666674</v>
      </c>
      <c r="AG45">
        <f t="shared" si="18"/>
        <v>1.6311990544237636E-2</v>
      </c>
      <c r="AH45">
        <f t="shared" si="18"/>
        <v>378.66666666666669</v>
      </c>
      <c r="AI45">
        <f t="shared" si="18"/>
        <v>14.394283288300533</v>
      </c>
      <c r="AJ45">
        <f t="shared" si="18"/>
        <v>175.33333333333334</v>
      </c>
      <c r="AK45">
        <f t="shared" si="18"/>
        <v>11.334302170881173</v>
      </c>
      <c r="AL45">
        <f t="shared" si="18"/>
        <v>118.56666666666666</v>
      </c>
      <c r="AM45">
        <f t="shared" si="18"/>
        <v>4.4224538251617203</v>
      </c>
      <c r="AN45">
        <f t="shared" si="18"/>
        <v>3.0399999999999996</v>
      </c>
      <c r="AO45">
        <f t="shared" si="18"/>
        <v>0.40048739244879866</v>
      </c>
      <c r="AP45">
        <f t="shared" si="18"/>
        <v>1.3733333333333331</v>
      </c>
      <c r="AQ45">
        <f t="shared" si="18"/>
        <v>0.17938805092798502</v>
      </c>
      <c r="AS45">
        <f>AVERAGE(AS16:AS18)</f>
        <v>2.9741480054751065E-2</v>
      </c>
      <c r="AU45">
        <f>AVERAGE(AU16:AU18)</f>
        <v>0</v>
      </c>
      <c r="AW45">
        <f>AVERAGE(AW16:AW18)</f>
        <v>0</v>
      </c>
      <c r="AY45">
        <f>AVERAGE(AY16:AY18)</f>
        <v>1.2419026824406632E-3</v>
      </c>
      <c r="BA45">
        <f>AVERAGE(BA16:BA18)</f>
        <v>0</v>
      </c>
      <c r="BC45">
        <f>AVERAGE(BC16:BC18)</f>
        <v>0</v>
      </c>
      <c r="BE45">
        <f>AVERAGE(BE16:BE18)</f>
        <v>1.7793046429836964E-2</v>
      </c>
      <c r="BG45">
        <f>AVERAGE(BG16:BG18)</f>
        <v>5.14662606309692E-2</v>
      </c>
      <c r="BI45">
        <f>AVERAGE(BI16:BI18)</f>
        <v>1.7358407599718951E-2</v>
      </c>
      <c r="BK45">
        <f>AVERAGE(BK16:BK18)</f>
        <v>6.623830948213877E-3</v>
      </c>
      <c r="BM45">
        <f t="shared" ref="BM45:CI45" si="19">AVERAGE(BM16:BM18)</f>
        <v>0</v>
      </c>
      <c r="BN45">
        <f t="shared" si="19"/>
        <v>0.65450000000000008</v>
      </c>
      <c r="BO45">
        <f t="shared" si="19"/>
        <v>0</v>
      </c>
      <c r="BP45">
        <f t="shared" si="19"/>
        <v>118.33333333333333</v>
      </c>
      <c r="BQ45">
        <f t="shared" si="19"/>
        <v>2.6001976903680615</v>
      </c>
      <c r="BR45">
        <f t="shared" si="19"/>
        <v>542</v>
      </c>
      <c r="BS45">
        <f t="shared" si="19"/>
        <v>24.263500298491731</v>
      </c>
      <c r="BT45">
        <f t="shared" si="19"/>
        <v>351.33333333333331</v>
      </c>
      <c r="BU45">
        <f t="shared" si="19"/>
        <v>3.0549353740449345</v>
      </c>
      <c r="BV45">
        <f t="shared" si="19"/>
        <v>30.433333333333337</v>
      </c>
      <c r="BW45">
        <f t="shared" si="19"/>
        <v>0.95563358802101595</v>
      </c>
      <c r="BX45">
        <f t="shared" si="19"/>
        <v>11.863333333333335</v>
      </c>
      <c r="BY45">
        <f t="shared" si="19"/>
        <v>0.16373151032333025</v>
      </c>
      <c r="BZ45">
        <f t="shared" si="19"/>
        <v>3.3766666666666665</v>
      </c>
      <c r="CA45">
        <f t="shared" si="19"/>
        <v>5.5445887027436767E-2</v>
      </c>
      <c r="CB45">
        <f t="shared" si="19"/>
        <v>12.219999999999999</v>
      </c>
      <c r="CC45">
        <f t="shared" si="19"/>
        <v>0.69677535459330719</v>
      </c>
      <c r="CD45">
        <f t="shared" si="19"/>
        <v>0</v>
      </c>
      <c r="CE45">
        <f t="shared" si="19"/>
        <v>9.4483448291179647E-2</v>
      </c>
      <c r="CF45">
        <f t="shared" si="19"/>
        <v>686.46</v>
      </c>
      <c r="CG45">
        <f t="shared" si="19"/>
        <v>30.791502470890507</v>
      </c>
      <c r="CH45">
        <f t="shared" si="19"/>
        <v>1057.7763333333332</v>
      </c>
      <c r="CI45">
        <f t="shared" si="19"/>
        <v>31.09344434827651</v>
      </c>
    </row>
    <row r="46" spans="2:90" x14ac:dyDescent="0.25">
      <c r="C46">
        <v>61</v>
      </c>
      <c r="E46">
        <f>AVERAGE(E19:E21)</f>
        <v>9.7766744666914537E-3</v>
      </c>
      <c r="G46">
        <f>AVERAGE(G19:G21)</f>
        <v>0</v>
      </c>
      <c r="I46">
        <f>AVERAGE(I19:I21)</f>
        <v>0</v>
      </c>
      <c r="K46">
        <f>AVERAGE(K19:K21)</f>
        <v>0</v>
      </c>
      <c r="M46">
        <f>AVERAGE(M19:M21)</f>
        <v>2.0881637541065698E-3</v>
      </c>
      <c r="O46">
        <f t="shared" ref="O46:W46" si="20">AVERAGE(O19:O21)</f>
        <v>2.6164819145976866E-3</v>
      </c>
      <c r="P46">
        <f t="shared" si="20"/>
        <v>2.4766666666666666</v>
      </c>
      <c r="Q46">
        <f t="shared" si="20"/>
        <v>6.9261554765255903E-2</v>
      </c>
      <c r="R46">
        <f t="shared" si="20"/>
        <v>1.4766666666666666</v>
      </c>
      <c r="S46">
        <f t="shared" si="20"/>
        <v>3.3516761306176868E-2</v>
      </c>
      <c r="T46">
        <f t="shared" si="20"/>
        <v>1.7566666666666668</v>
      </c>
      <c r="U46">
        <f t="shared" si="20"/>
        <v>2.2746600958647802E-2</v>
      </c>
      <c r="V46">
        <f t="shared" si="20"/>
        <v>0.89300000000000013</v>
      </c>
      <c r="W46">
        <f t="shared" si="20"/>
        <v>7.6957130597919204E-3</v>
      </c>
      <c r="Y46">
        <f>AVERAGE(Y19:Y21)</f>
        <v>1.0982048880669633E-3</v>
      </c>
      <c r="AA46">
        <f>AVERAGE(AA19:AA21)</f>
        <v>0</v>
      </c>
      <c r="AC46">
        <f t="shared" ref="AC46:AQ46" si="21">AVERAGE(AC19:AC21)</f>
        <v>0</v>
      </c>
      <c r="AD46">
        <f t="shared" si="21"/>
        <v>2.5033333333333334</v>
      </c>
      <c r="AE46">
        <f t="shared" si="21"/>
        <v>7.5155314849929674E-3</v>
      </c>
      <c r="AF46">
        <f t="shared" si="21"/>
        <v>4.5066666666666668</v>
      </c>
      <c r="AG46">
        <f t="shared" si="21"/>
        <v>1.1383941519279473E-2</v>
      </c>
      <c r="AH46">
        <f t="shared" si="21"/>
        <v>326.33333333333331</v>
      </c>
      <c r="AI46">
        <f t="shared" si="21"/>
        <v>10.747619829965638</v>
      </c>
      <c r="AJ46">
        <f t="shared" si="21"/>
        <v>148</v>
      </c>
      <c r="AK46">
        <f t="shared" si="21"/>
        <v>7.9922772244286167</v>
      </c>
      <c r="AL46">
        <f t="shared" si="21"/>
        <v>93.966666666666654</v>
      </c>
      <c r="AM46">
        <f t="shared" si="21"/>
        <v>2.6319003287559801</v>
      </c>
      <c r="AN46">
        <f t="shared" si="21"/>
        <v>1.8766666666666667</v>
      </c>
      <c r="AO46">
        <f t="shared" si="21"/>
        <v>0.20323258414433701</v>
      </c>
      <c r="AP46">
        <f t="shared" si="21"/>
        <v>0.87133333333333329</v>
      </c>
      <c r="AQ46">
        <f t="shared" si="21"/>
        <v>0.10131272901996301</v>
      </c>
      <c r="AS46">
        <f>AVERAGE(AS19:AS21)</f>
        <v>1.7262881737811698E-2</v>
      </c>
      <c r="AU46">
        <f>AVERAGE(AU19:AU21)</f>
        <v>0</v>
      </c>
      <c r="AW46">
        <f>AVERAGE(AW19:AW21)</f>
        <v>0</v>
      </c>
      <c r="AY46">
        <f>AVERAGE(AY19:AY21)</f>
        <v>0</v>
      </c>
      <c r="BA46">
        <f>AVERAGE(BA19:BA21)</f>
        <v>0</v>
      </c>
      <c r="BC46">
        <f>AVERAGE(BC19:BC21)</f>
        <v>0</v>
      </c>
      <c r="BE46">
        <f>AVERAGE(BE19:BE21)</f>
        <v>1.3495949780709842E-2</v>
      </c>
      <c r="BG46">
        <f>AVERAGE(BG19:BG21)</f>
        <v>3.5269923979960469E-2</v>
      </c>
      <c r="BI46">
        <f>AVERAGE(BI19:BI21)</f>
        <v>8.5725508131322195E-3</v>
      </c>
      <c r="BK46">
        <f>AVERAGE(BK19:BK21)</f>
        <v>0</v>
      </c>
      <c r="BM46">
        <f t="shared" ref="BM46:CI46" si="22">AVERAGE(BM19:BM21)</f>
        <v>0</v>
      </c>
      <c r="BN46">
        <f t="shared" si="22"/>
        <v>0.58899999999999997</v>
      </c>
      <c r="BO46">
        <f t="shared" si="22"/>
        <v>0</v>
      </c>
      <c r="BP46">
        <f t="shared" si="22"/>
        <v>102.23333333333333</v>
      </c>
      <c r="BQ46">
        <f t="shared" si="22"/>
        <v>1.6482094190242478</v>
      </c>
      <c r="BR46">
        <f t="shared" si="22"/>
        <v>456.66666666666669</v>
      </c>
      <c r="BS46">
        <f t="shared" si="22"/>
        <v>14.256251089589638</v>
      </c>
      <c r="BT46">
        <f t="shared" si="22"/>
        <v>277</v>
      </c>
      <c r="BU46">
        <f t="shared" si="22"/>
        <v>1.4266322059597443</v>
      </c>
      <c r="BV46">
        <f t="shared" si="22"/>
        <v>17.5</v>
      </c>
      <c r="BW46">
        <f t="shared" si="22"/>
        <v>0.30928446024985212</v>
      </c>
      <c r="BX46">
        <f t="shared" si="22"/>
        <v>4.2066666666666661</v>
      </c>
      <c r="BY46">
        <f t="shared" si="22"/>
        <v>3.6314318133071129E-2</v>
      </c>
      <c r="BZ46">
        <f t="shared" si="22"/>
        <v>0.77766666666666673</v>
      </c>
      <c r="CA46">
        <f t="shared" si="22"/>
        <v>4.3263361138736823E-3</v>
      </c>
      <c r="CB46">
        <f t="shared" si="22"/>
        <v>6.6030000000000006</v>
      </c>
      <c r="CC46">
        <f t="shared" si="22"/>
        <v>0.14880015511333519</v>
      </c>
      <c r="CD46">
        <f t="shared" si="22"/>
        <v>0</v>
      </c>
      <c r="CE46">
        <f t="shared" si="22"/>
        <v>5.7338424573802525E-2</v>
      </c>
      <c r="CF46">
        <f t="shared" si="22"/>
        <v>578.05799999999999</v>
      </c>
      <c r="CG46">
        <f t="shared" si="22"/>
        <v>21.71250505105662</v>
      </c>
      <c r="CH46">
        <f t="shared" si="22"/>
        <v>858.58066666666673</v>
      </c>
      <c r="CI46">
        <f t="shared" si="22"/>
        <v>17.681017829070427</v>
      </c>
    </row>
    <row r="47" spans="2:90" x14ac:dyDescent="0.25">
      <c r="C47">
        <v>73</v>
      </c>
      <c r="E47">
        <f>AVERAGE(E22:E24)</f>
        <v>8.2307744556798929E-3</v>
      </c>
      <c r="G47">
        <f>AVERAGE(G22:G24)</f>
        <v>0</v>
      </c>
      <c r="I47">
        <f>AVERAGE(I22:I24)</f>
        <v>0</v>
      </c>
      <c r="K47">
        <f>AVERAGE(K22:K24)</f>
        <v>0</v>
      </c>
      <c r="M47">
        <f>AVERAGE(M22:M24)</f>
        <v>2.0710556417724534E-3</v>
      </c>
      <c r="O47">
        <f t="shared" ref="O47:U47" si="23">AVERAGE(O22:O24)</f>
        <v>1.670554662508833E-3</v>
      </c>
      <c r="P47">
        <f t="shared" si="23"/>
        <v>1.6066666666666667</v>
      </c>
      <c r="Q47">
        <f t="shared" si="23"/>
        <v>8.5115390893650458E-2</v>
      </c>
      <c r="R47">
        <f t="shared" si="23"/>
        <v>0.93933333333333324</v>
      </c>
      <c r="S47">
        <f t="shared" si="23"/>
        <v>3.5392121672024129E-2</v>
      </c>
      <c r="T47">
        <f t="shared" si="23"/>
        <v>0.91966666666666663</v>
      </c>
      <c r="U47">
        <f t="shared" si="23"/>
        <v>1.8317652050998497E-2</v>
      </c>
      <c r="W47">
        <f>AVERAGE(W22:W24)</f>
        <v>4.4988779703664765E-3</v>
      </c>
      <c r="Y47">
        <f>AVERAGE(Y22:Y24)</f>
        <v>0</v>
      </c>
      <c r="AA47">
        <f>AVERAGE(AA22:AA24)</f>
        <v>0</v>
      </c>
      <c r="AC47">
        <f t="shared" ref="AC47:AQ47" si="24">AVERAGE(AC22:AC24)</f>
        <v>0</v>
      </c>
      <c r="AD47">
        <f t="shared" si="24"/>
        <v>0.995</v>
      </c>
      <c r="AE47">
        <f t="shared" si="24"/>
        <v>0</v>
      </c>
      <c r="AF47">
        <f t="shared" si="24"/>
        <v>2.2833333333333332</v>
      </c>
      <c r="AG47">
        <f t="shared" si="24"/>
        <v>1.1077538976606238E-2</v>
      </c>
      <c r="AH47">
        <f t="shared" si="24"/>
        <v>214</v>
      </c>
      <c r="AI47">
        <f t="shared" si="24"/>
        <v>12.1138268390443</v>
      </c>
      <c r="AJ47">
        <f t="shared" si="24"/>
        <v>80.86666666666666</v>
      </c>
      <c r="AK47">
        <f t="shared" si="24"/>
        <v>8.2376761656399697</v>
      </c>
      <c r="AL47">
        <f t="shared" si="24"/>
        <v>45.199999999999996</v>
      </c>
      <c r="AM47">
        <f t="shared" si="24"/>
        <v>1.9440444984212701</v>
      </c>
      <c r="AN47">
        <f t="shared" si="24"/>
        <v>0.83850000000000002</v>
      </c>
      <c r="AO47">
        <f t="shared" si="24"/>
        <v>0.11622077114169045</v>
      </c>
      <c r="AP47">
        <f t="shared" si="24"/>
        <v>0.51</v>
      </c>
      <c r="AQ47">
        <f t="shared" si="24"/>
        <v>3.8003721399134598E-2</v>
      </c>
      <c r="AS47">
        <f>AVERAGE(AS22:AS24)</f>
        <v>7.2682059874244571E-3</v>
      </c>
      <c r="AU47">
        <f>AVERAGE(AU22:AU24)</f>
        <v>0</v>
      </c>
      <c r="AW47">
        <f>AVERAGE(AW22:AW24)</f>
        <v>0</v>
      </c>
      <c r="AY47">
        <f>AVERAGE(AY22:AY24)</f>
        <v>0</v>
      </c>
      <c r="BA47">
        <f>AVERAGE(BA22:BA24)</f>
        <v>0</v>
      </c>
      <c r="BC47">
        <f>AVERAGE(BC22:BC24)</f>
        <v>0</v>
      </c>
      <c r="BE47">
        <f>AVERAGE(BE22:BE24)</f>
        <v>1.7335628893397993E-2</v>
      </c>
      <c r="BG47">
        <f>AVERAGE(BG22:BG24)</f>
        <v>2.8480489410936907E-2</v>
      </c>
      <c r="BI47">
        <f>AVERAGE(BI22:BI24)</f>
        <v>2.8564537453610052E-3</v>
      </c>
      <c r="BK47">
        <f>AVERAGE(BK22:BK24)</f>
        <v>0</v>
      </c>
      <c r="BM47">
        <f>AVERAGE(BM22:BM24)</f>
        <v>0</v>
      </c>
      <c r="BO47">
        <f t="shared" ref="BO47:BY47" si="25">AVERAGE(BO22:BO24)</f>
        <v>0</v>
      </c>
      <c r="BP47">
        <f t="shared" si="25"/>
        <v>64.600000000000009</v>
      </c>
      <c r="BQ47">
        <f t="shared" si="25"/>
        <v>1.9616932378092919</v>
      </c>
      <c r="BR47">
        <f t="shared" si="25"/>
        <v>289</v>
      </c>
      <c r="BS47">
        <f t="shared" si="25"/>
        <v>16.355836043189459</v>
      </c>
      <c r="BT47">
        <f t="shared" si="25"/>
        <v>129.6</v>
      </c>
      <c r="BU47">
        <f t="shared" si="25"/>
        <v>0.93182103309516018</v>
      </c>
      <c r="BV47">
        <f t="shared" si="25"/>
        <v>4.8733333333333331</v>
      </c>
      <c r="BW47">
        <f t="shared" si="25"/>
        <v>4.1471572448149981E-2</v>
      </c>
      <c r="BX47">
        <f t="shared" si="25"/>
        <v>0.77999999999999992</v>
      </c>
      <c r="BY47">
        <f t="shared" si="25"/>
        <v>0</v>
      </c>
      <c r="CA47">
        <f t="shared" ref="CA47:CI47" si="26">AVERAGE(CA22:CA24)</f>
        <v>0</v>
      </c>
      <c r="CB47">
        <f t="shared" si="26"/>
        <v>3.4656666666666669</v>
      </c>
      <c r="CC47">
        <f t="shared" si="26"/>
        <v>0.15529642734700078</v>
      </c>
      <c r="CD47">
        <f t="shared" si="26"/>
        <v>0</v>
      </c>
      <c r="CE47">
        <f t="shared" si="26"/>
        <v>4.8672572049695911E-2</v>
      </c>
      <c r="CF47">
        <f t="shared" si="26"/>
        <v>343.41066666666666</v>
      </c>
      <c r="CG47">
        <f t="shared" si="26"/>
        <v>22.468117740610396</v>
      </c>
      <c r="CH47">
        <f t="shared" si="26"/>
        <v>488.8533333333333</v>
      </c>
      <c r="CI47">
        <f t="shared" si="26"/>
        <v>19.290821886542062</v>
      </c>
    </row>
    <row r="48" spans="2:90" x14ac:dyDescent="0.25">
      <c r="C48">
        <v>101</v>
      </c>
      <c r="E48">
        <f>AVERAGE(E25:E27)</f>
        <v>1.1704907831977751E-2</v>
      </c>
      <c r="G48">
        <f>AVERAGE(G25:G27)</f>
        <v>0</v>
      </c>
      <c r="I48">
        <f>AVERAGE(I25:I27)</f>
        <v>0</v>
      </c>
      <c r="K48">
        <f>AVERAGE(K25:K27)</f>
        <v>0</v>
      </c>
      <c r="M48">
        <f>AVERAGE(M25:M27)</f>
        <v>8.1589816121607013E-4</v>
      </c>
      <c r="O48">
        <f>AVERAGE(O25:O27)</f>
        <v>6.9438287959931678E-4</v>
      </c>
      <c r="P48">
        <f>AVERAGE(P25:P27)</f>
        <v>0.71966666666666657</v>
      </c>
      <c r="Q48">
        <f>AVERAGE(Q25:Q27)</f>
        <v>4.646596521921123E-2</v>
      </c>
      <c r="S48">
        <f>AVERAGE(S25:S27)</f>
        <v>1.6091014626499534E-2</v>
      </c>
      <c r="U48">
        <f>AVERAGE(U25:U27)</f>
        <v>5.04373814642433E-3</v>
      </c>
      <c r="W48">
        <f>AVERAGE(W25:W27)</f>
        <v>0</v>
      </c>
      <c r="Y48">
        <f>AVERAGE(Y25:Y27)</f>
        <v>0</v>
      </c>
      <c r="AA48">
        <f>AVERAGE(AA25:AA27)</f>
        <v>0</v>
      </c>
      <c r="AC48">
        <f>AVERAGE(AC25:AC27)</f>
        <v>0</v>
      </c>
      <c r="AE48">
        <f t="shared" ref="AE48:AM48" si="27">AVERAGE(AE25:AE27)</f>
        <v>0</v>
      </c>
      <c r="AF48">
        <f t="shared" si="27"/>
        <v>0.85499999999999998</v>
      </c>
      <c r="AG48">
        <f t="shared" si="27"/>
        <v>3.3360828409510399E-3</v>
      </c>
      <c r="AH48">
        <f t="shared" si="27"/>
        <v>96.066666666666677</v>
      </c>
      <c r="AI48">
        <f t="shared" si="27"/>
        <v>6.884922473741387</v>
      </c>
      <c r="AJ48">
        <f t="shared" si="27"/>
        <v>24.366666666666671</v>
      </c>
      <c r="AK48">
        <f t="shared" si="27"/>
        <v>2.8326805468098768</v>
      </c>
      <c r="AL48">
        <f t="shared" si="27"/>
        <v>8.2333333333333325</v>
      </c>
      <c r="AM48">
        <f t="shared" si="27"/>
        <v>0.50162001614505836</v>
      </c>
      <c r="AO48">
        <f>AVERAGE(AO25:AO27)</f>
        <v>1.6427494268256366E-2</v>
      </c>
      <c r="AQ48">
        <f>AVERAGE(AQ25:AQ27)</f>
        <v>5.5435168125628626E-3</v>
      </c>
      <c r="AS48">
        <f>AVERAGE(AS25:AS27)</f>
        <v>0</v>
      </c>
      <c r="AU48">
        <f>AVERAGE(AU25:AU27)</f>
        <v>0</v>
      </c>
      <c r="AW48">
        <f>AVERAGE(AW25:AW27)</f>
        <v>0</v>
      </c>
      <c r="AY48">
        <f>AVERAGE(AY25:AY27)</f>
        <v>0</v>
      </c>
      <c r="BA48">
        <f>AVERAGE(BA25:BA27)</f>
        <v>0</v>
      </c>
      <c r="BC48">
        <f>AVERAGE(BC25:BC27)</f>
        <v>0</v>
      </c>
      <c r="BE48">
        <f>AVERAGE(BE25:BE27)</f>
        <v>1.0607035068835211E-2</v>
      </c>
      <c r="BG48">
        <f>AVERAGE(BG25:BG27)</f>
        <v>1.1411636864658568E-2</v>
      </c>
      <c r="BI48">
        <f>AVERAGE(BI25:BI27)</f>
        <v>0</v>
      </c>
      <c r="BK48">
        <f>AVERAGE(BK25:BK27)</f>
        <v>0</v>
      </c>
      <c r="BM48">
        <f>AVERAGE(BM25:BM27)</f>
        <v>0</v>
      </c>
      <c r="BO48">
        <f t="shared" ref="BO48:BW48" si="28">AVERAGE(BO25:BO27)</f>
        <v>0</v>
      </c>
      <c r="BP48">
        <f t="shared" si="28"/>
        <v>30.7</v>
      </c>
      <c r="BQ48">
        <f t="shared" si="28"/>
        <v>0.99042665703852961</v>
      </c>
      <c r="BR48">
        <f t="shared" si="28"/>
        <v>118</v>
      </c>
      <c r="BS48">
        <f t="shared" si="28"/>
        <v>6.6488536662213242</v>
      </c>
      <c r="BT48">
        <f t="shared" si="28"/>
        <v>28.2</v>
      </c>
      <c r="BU48">
        <f t="shared" si="28"/>
        <v>0.20015419971319401</v>
      </c>
      <c r="BV48">
        <f t="shared" si="28"/>
        <v>1.2699999999999998</v>
      </c>
      <c r="BW48">
        <f t="shared" si="28"/>
        <v>0</v>
      </c>
      <c r="BY48">
        <f>AVERAGE(BY25:BY27)</f>
        <v>0</v>
      </c>
      <c r="CA48">
        <f t="shared" ref="CA48:CI48" si="29">AVERAGE(CA25:CA27)</f>
        <v>0</v>
      </c>
      <c r="CB48">
        <f t="shared" si="29"/>
        <v>0.71966666666666657</v>
      </c>
      <c r="CC48">
        <f t="shared" si="29"/>
        <v>8.0815906864928233E-2</v>
      </c>
      <c r="CD48">
        <f t="shared" si="29"/>
        <v>0</v>
      </c>
      <c r="CE48">
        <f t="shared" si="29"/>
        <v>2.2018671933493782E-2</v>
      </c>
      <c r="CF48">
        <f t="shared" si="29"/>
        <v>128.95166666666668</v>
      </c>
      <c r="CG48">
        <f t="shared" si="29"/>
        <v>10.244530130618092</v>
      </c>
      <c r="CH48">
        <f t="shared" si="29"/>
        <v>178.17</v>
      </c>
      <c r="CI48">
        <f t="shared" si="29"/>
        <v>7.8394345229730478</v>
      </c>
    </row>
    <row r="49" spans="2:87" x14ac:dyDescent="0.25">
      <c r="C49">
        <v>136</v>
      </c>
      <c r="E49">
        <f>AVERAGE(E28:E30)</f>
        <v>9.2427536967269516E-3</v>
      </c>
      <c r="G49">
        <f>AVERAGE(G28:G30)</f>
        <v>0</v>
      </c>
      <c r="I49">
        <f>AVERAGE(I28:I30)</f>
        <v>0</v>
      </c>
      <c r="K49">
        <f>AVERAGE(K28:K30)</f>
        <v>0</v>
      </c>
      <c r="M49">
        <f>AVERAGE(M28:M30)</f>
        <v>0</v>
      </c>
      <c r="O49">
        <f>AVERAGE(O28:O30)</f>
        <v>0</v>
      </c>
      <c r="Q49">
        <f>AVERAGE(Q28:Q30)</f>
        <v>7.7258653921854327E-3</v>
      </c>
      <c r="S49">
        <f>AVERAGE(S28:S30)</f>
        <v>9.7000696806390327E-4</v>
      </c>
      <c r="U49">
        <f>AVERAGE(U28:U30)</f>
        <v>0</v>
      </c>
      <c r="W49">
        <f>AVERAGE(W28:W30)</f>
        <v>0</v>
      </c>
      <c r="Y49">
        <f>AVERAGE(Y28:Y30)</f>
        <v>0</v>
      </c>
      <c r="AA49">
        <f>AVERAGE(AA28:AA30)</f>
        <v>0</v>
      </c>
      <c r="AC49">
        <f>AVERAGE(AC28:AC30)</f>
        <v>0</v>
      </c>
      <c r="AE49">
        <f>AVERAGE(AE28:AE30)</f>
        <v>0</v>
      </c>
      <c r="AG49">
        <f t="shared" ref="AG49:AM49" si="30">AVERAGE(AG28:AG30)</f>
        <v>0</v>
      </c>
      <c r="AH49">
        <f t="shared" si="30"/>
        <v>45.199999999999996</v>
      </c>
      <c r="AI49">
        <f t="shared" si="30"/>
        <v>1.7056363691276868</v>
      </c>
      <c r="AJ49">
        <f t="shared" si="30"/>
        <v>5.5466666666666669</v>
      </c>
      <c r="AK49">
        <f t="shared" si="30"/>
        <v>0.27408149251731601</v>
      </c>
      <c r="AL49">
        <f t="shared" si="30"/>
        <v>1.0745</v>
      </c>
      <c r="AM49">
        <f t="shared" si="30"/>
        <v>3.4509948353063764E-2</v>
      </c>
      <c r="AO49">
        <f>AVERAGE(AO28:AO30)</f>
        <v>0</v>
      </c>
      <c r="AQ49">
        <f>AVERAGE(AQ28:AQ30)</f>
        <v>0</v>
      </c>
      <c r="AS49">
        <f>AVERAGE(AS28:AS30)</f>
        <v>0</v>
      </c>
      <c r="AU49">
        <f>AVERAGE(AU28:AU30)</f>
        <v>0</v>
      </c>
      <c r="AW49">
        <f>AVERAGE(AW28:AW30)</f>
        <v>0</v>
      </c>
      <c r="AY49">
        <f>AVERAGE(AY28:AY30)</f>
        <v>0</v>
      </c>
      <c r="BA49">
        <f>AVERAGE(BA28:BA30)</f>
        <v>0</v>
      </c>
      <c r="BC49">
        <f>AVERAGE(BC28:BC30)</f>
        <v>0</v>
      </c>
      <c r="BE49">
        <f>AVERAGE(BE28:BE30)</f>
        <v>0</v>
      </c>
      <c r="BG49">
        <f>AVERAGE(BG28:BG30)</f>
        <v>0</v>
      </c>
      <c r="BI49">
        <f>AVERAGE(BI28:BI30)</f>
        <v>0</v>
      </c>
      <c r="BK49">
        <f>AVERAGE(BK28:BK30)</f>
        <v>0</v>
      </c>
      <c r="BM49">
        <f>AVERAGE(BM28:BM30)</f>
        <v>0</v>
      </c>
      <c r="BO49">
        <f t="shared" ref="BO49:BW49" si="31">AVERAGE(BO28:BO30)</f>
        <v>0</v>
      </c>
      <c r="BP49">
        <f t="shared" si="31"/>
        <v>14.399999999999999</v>
      </c>
      <c r="BQ49">
        <f t="shared" si="31"/>
        <v>0.27164929329147752</v>
      </c>
      <c r="BR49">
        <f t="shared" si="31"/>
        <v>52.966666666666661</v>
      </c>
      <c r="BS49">
        <f t="shared" si="31"/>
        <v>1.0424848542796656</v>
      </c>
      <c r="BT49">
        <f t="shared" si="31"/>
        <v>7.0733333333333333</v>
      </c>
      <c r="BU49">
        <f t="shared" si="31"/>
        <v>2.6459132679658885E-2</v>
      </c>
      <c r="BV49">
        <f t="shared" si="31"/>
        <v>0.81899999999999995</v>
      </c>
      <c r="BW49">
        <f t="shared" si="31"/>
        <v>0</v>
      </c>
      <c r="BY49">
        <f>AVERAGE(BY28:BY30)</f>
        <v>0</v>
      </c>
      <c r="CA49">
        <f t="shared" ref="CA49:CI49" si="32">AVERAGE(CA28:CA30)</f>
        <v>0</v>
      </c>
      <c r="CB49">
        <f t="shared" si="32"/>
        <v>0</v>
      </c>
      <c r="CC49">
        <f t="shared" si="32"/>
        <v>1.7938626056976287E-2</v>
      </c>
      <c r="CD49">
        <f t="shared" si="32"/>
        <v>0</v>
      </c>
      <c r="CE49">
        <f t="shared" si="32"/>
        <v>0</v>
      </c>
      <c r="CF49">
        <f t="shared" si="32"/>
        <v>51.463000000000001</v>
      </c>
      <c r="CG49">
        <f t="shared" si="32"/>
        <v>2.0142278099980664</v>
      </c>
      <c r="CH49">
        <f t="shared" si="32"/>
        <v>74.712999999999994</v>
      </c>
      <c r="CI49">
        <f t="shared" si="32"/>
        <v>1.340593280250802</v>
      </c>
    </row>
    <row r="50" spans="2:87" x14ac:dyDescent="0.25">
      <c r="B50" t="s">
        <v>90</v>
      </c>
      <c r="C50">
        <v>1</v>
      </c>
      <c r="D50" s="4">
        <f>_xlfn.STDEV.P(D13:D15)</f>
        <v>1.9101832372837955</v>
      </c>
      <c r="E50" s="4">
        <f>_xlfn.STDEV.P(E13:E15)</f>
        <v>0.14530509391257698</v>
      </c>
      <c r="F50" s="4"/>
      <c r="G50" s="4">
        <f>_xlfn.STDEV.P(G13:G15)</f>
        <v>3.1807001123440814E-3</v>
      </c>
      <c r="H50" s="4"/>
      <c r="I50" s="4">
        <f>_xlfn.STDEV.P(I13:I15)</f>
        <v>0</v>
      </c>
      <c r="J50" s="4"/>
      <c r="K50" s="4">
        <f>_xlfn.STDEV.P(K13:K15)</f>
        <v>0</v>
      </c>
      <c r="L50" s="4">
        <f>_xlfn.STDEV.P(L13:L15)</f>
        <v>0.93769220251992402</v>
      </c>
      <c r="M50" s="4">
        <f>_xlfn.STDEV.P(M13:M15)</f>
        <v>4.3841709382130591E-3</v>
      </c>
      <c r="N50" s="4"/>
      <c r="O50" s="4">
        <f t="shared" ref="O50:Y50" si="33">_xlfn.STDEV.P(O13:O15)</f>
        <v>1.5139820947754647E-3</v>
      </c>
      <c r="P50" s="4">
        <f t="shared" si="33"/>
        <v>0.17454703282114734</v>
      </c>
      <c r="Q50" s="4">
        <f t="shared" si="33"/>
        <v>2.6006785237731918E-2</v>
      </c>
      <c r="R50" s="4">
        <f t="shared" si="33"/>
        <v>0.18624953392931906</v>
      </c>
      <c r="S50" s="4">
        <f t="shared" si="33"/>
        <v>1.4065301667043355E-2</v>
      </c>
      <c r="T50" s="4">
        <f t="shared" si="33"/>
        <v>0.18832595855767378</v>
      </c>
      <c r="U50" s="4">
        <f t="shared" si="33"/>
        <v>9.3724292966079568E-3</v>
      </c>
      <c r="V50" s="4">
        <f t="shared" si="33"/>
        <v>0.18672618098881347</v>
      </c>
      <c r="W50" s="4">
        <f t="shared" si="33"/>
        <v>3.9674858880387872E-3</v>
      </c>
      <c r="X50" s="4">
        <f t="shared" si="33"/>
        <v>0</v>
      </c>
      <c r="Y50" s="4">
        <f t="shared" si="33"/>
        <v>1.6807129361966625E-3</v>
      </c>
      <c r="Z50" s="4"/>
      <c r="AA50" s="4">
        <f>_xlfn.STDEV.P(AA13:AA15)</f>
        <v>0</v>
      </c>
      <c r="AB50" s="4"/>
      <c r="AC50" s="4">
        <f t="shared" ref="AC50:AQ50" si="34">_xlfn.STDEV.P(AC13:AC15)</f>
        <v>0</v>
      </c>
      <c r="AD50" s="4">
        <f t="shared" si="34"/>
        <v>0.44582009326134636</v>
      </c>
      <c r="AE50" s="4">
        <f t="shared" si="34"/>
        <v>4.8955364914791957E-3</v>
      </c>
      <c r="AF50" s="4">
        <f t="shared" si="34"/>
        <v>0.3715134213217906</v>
      </c>
      <c r="AG50" s="4">
        <f t="shared" si="34"/>
        <v>4.7260242245675595E-3</v>
      </c>
      <c r="AH50" s="4">
        <f t="shared" si="34"/>
        <v>17.93197020841702</v>
      </c>
      <c r="AI50" s="4">
        <f t="shared" si="34"/>
        <v>4.7815139917903808</v>
      </c>
      <c r="AJ50" s="4">
        <f t="shared" si="34"/>
        <v>15.173075568988056</v>
      </c>
      <c r="AK50" s="4">
        <f t="shared" si="34"/>
        <v>3.9906688282650511</v>
      </c>
      <c r="AL50" s="4">
        <f t="shared" si="34"/>
        <v>2.2528993664954413</v>
      </c>
      <c r="AM50" s="4">
        <f t="shared" si="34"/>
        <v>1.1276837381102949</v>
      </c>
      <c r="AN50" s="4">
        <f t="shared" si="34"/>
        <v>0.23280893453645624</v>
      </c>
      <c r="AO50" s="4">
        <f t="shared" si="34"/>
        <v>0.10901985661669285</v>
      </c>
      <c r="AP50" s="4">
        <f t="shared" si="34"/>
        <v>0.29994036444303757</v>
      </c>
      <c r="AQ50" s="4">
        <f t="shared" si="34"/>
        <v>4.8886795448546475E-2</v>
      </c>
      <c r="AR50" s="4"/>
      <c r="AS50" s="4">
        <f>_xlfn.STDEV.P(AS13:AS15)</f>
        <v>6.6988021106028492E-3</v>
      </c>
      <c r="AT50" s="4"/>
      <c r="AU50" s="4">
        <f>_xlfn.STDEV.P(AU13:AU15)</f>
        <v>0</v>
      </c>
      <c r="AV50" s="4"/>
      <c r="AW50" s="4">
        <f>_xlfn.STDEV.P(AW13:AW15)</f>
        <v>0</v>
      </c>
      <c r="AX50" s="4"/>
      <c r="AY50" s="4">
        <f>_xlfn.STDEV.P(AY13:AY15)</f>
        <v>8.121330891883359E-4</v>
      </c>
      <c r="AZ50" s="4"/>
      <c r="BA50" s="4">
        <f>_xlfn.STDEV.P(BA13:BA15)</f>
        <v>0</v>
      </c>
      <c r="BB50" s="4"/>
      <c r="BC50" s="4">
        <f>_xlfn.STDEV.P(BC13:BC15)</f>
        <v>4.7702298900029992E-3</v>
      </c>
      <c r="BD50" s="4"/>
      <c r="BE50" s="4">
        <f>_xlfn.STDEV.P(BE13:BE15)</f>
        <v>5.2843564056623419E-3</v>
      </c>
      <c r="BF50" s="4"/>
      <c r="BG50" s="4">
        <f>_xlfn.STDEV.P(BG13:BG15)</f>
        <v>2.0052749924183606E-2</v>
      </c>
      <c r="BH50" s="4"/>
      <c r="BI50" s="4">
        <f>_xlfn.STDEV.P(BI13:BI15)</f>
        <v>4.8710767465630668E-3</v>
      </c>
      <c r="BJ50" s="4"/>
      <c r="BK50" s="4">
        <f>_xlfn.STDEV.P(BK13:BK15)</f>
        <v>1.5588937132042643E-3</v>
      </c>
      <c r="BL50" s="4"/>
      <c r="BM50" s="4">
        <f t="shared" ref="BM50:CI50" si="35">_xlfn.STDEV.P(BM13:BM15)</f>
        <v>0</v>
      </c>
      <c r="BN50" s="4">
        <f t="shared" si="35"/>
        <v>5.8539635196068814E-2</v>
      </c>
      <c r="BO50" s="4">
        <f t="shared" si="35"/>
        <v>0</v>
      </c>
      <c r="BP50" s="4">
        <f t="shared" si="35"/>
        <v>7.8018516320735589</v>
      </c>
      <c r="BQ50" s="4">
        <f t="shared" si="35"/>
        <v>1.0278239025358971</v>
      </c>
      <c r="BR50" s="4">
        <f t="shared" si="35"/>
        <v>31.899146627387317</v>
      </c>
      <c r="BS50" s="4">
        <f t="shared" si="35"/>
        <v>9.8513177158750178</v>
      </c>
      <c r="BT50" s="4">
        <f t="shared" si="35"/>
        <v>21.296843793284381</v>
      </c>
      <c r="BU50" s="4">
        <f t="shared" si="35"/>
        <v>1.0642856152598359</v>
      </c>
      <c r="BV50" s="4">
        <f t="shared" si="35"/>
        <v>3.6536131279719015</v>
      </c>
      <c r="BW50" s="4">
        <f t="shared" si="35"/>
        <v>0.21205742478632547</v>
      </c>
      <c r="BX50" s="4">
        <f t="shared" si="35"/>
        <v>1.2617536297638354</v>
      </c>
      <c r="BY50" s="4">
        <f t="shared" si="35"/>
        <v>3.0426715071610443E-2</v>
      </c>
      <c r="BZ50" s="4">
        <f t="shared" si="35"/>
        <v>0.36709066394496781</v>
      </c>
      <c r="CA50" s="4">
        <f t="shared" si="35"/>
        <v>9.6821742395628609E-3</v>
      </c>
      <c r="CB50" s="4">
        <f t="shared" si="35"/>
        <v>2.023596303613945</v>
      </c>
      <c r="CC50" s="4">
        <f t="shared" si="35"/>
        <v>9.5887720713261626E-2</v>
      </c>
      <c r="CD50" s="4">
        <f t="shared" si="35"/>
        <v>0</v>
      </c>
      <c r="CE50" s="4">
        <f t="shared" si="35"/>
        <v>3.4369217907345553E-2</v>
      </c>
      <c r="CF50" s="4">
        <f t="shared" si="35"/>
        <v>34.678200033386354</v>
      </c>
      <c r="CG50" s="4">
        <f t="shared" si="35"/>
        <v>10.067327022038162</v>
      </c>
      <c r="CH50" s="4">
        <f t="shared" si="35"/>
        <v>60.93979606682862</v>
      </c>
      <c r="CI50" s="4">
        <f t="shared" si="35"/>
        <v>12.192305618515253</v>
      </c>
    </row>
    <row r="51" spans="2:87" x14ac:dyDescent="0.25">
      <c r="C51">
        <v>5</v>
      </c>
      <c r="D51" s="4">
        <f>_xlfn.STDEV.P(D16:D18)</f>
        <v>0.70232945735364583</v>
      </c>
      <c r="E51" s="4">
        <f>_xlfn.STDEV.P(E16:E18)</f>
        <v>0.15434931997190987</v>
      </c>
      <c r="F51" s="4"/>
      <c r="G51" s="4">
        <f>_xlfn.STDEV.P(G16:G18)</f>
        <v>4.0335677331499661E-3</v>
      </c>
      <c r="H51" s="4"/>
      <c r="I51" s="4">
        <f>_xlfn.STDEV.P(I16:I18)</f>
        <v>0</v>
      </c>
      <c r="J51" s="4"/>
      <c r="K51" s="4">
        <f>_xlfn.STDEV.P(K16:K18)</f>
        <v>0</v>
      </c>
      <c r="L51" s="4">
        <f>_xlfn.STDEV.P(L16:L18)</f>
        <v>0.68000000000000016</v>
      </c>
      <c r="M51" s="4">
        <f>_xlfn.STDEV.P(M16:M18)</f>
        <v>8.1167060138545404E-3</v>
      </c>
      <c r="N51" s="4"/>
      <c r="O51" s="4">
        <f t="shared" ref="O51:Y51" si="36">_xlfn.STDEV.P(O16:O18)</f>
        <v>1.0114743383208534E-3</v>
      </c>
      <c r="P51" s="4">
        <f t="shared" si="36"/>
        <v>0.29877527787061747</v>
      </c>
      <c r="Q51" s="4">
        <f t="shared" si="36"/>
        <v>2.3526839502927107E-2</v>
      </c>
      <c r="R51" s="4">
        <f t="shared" si="36"/>
        <v>0.20981473309141535</v>
      </c>
      <c r="S51" s="4">
        <f t="shared" si="36"/>
        <v>1.1879744941188096E-2</v>
      </c>
      <c r="T51" s="4">
        <f t="shared" si="36"/>
        <v>0.33416562759605745</v>
      </c>
      <c r="U51" s="4">
        <f t="shared" si="36"/>
        <v>6.6962660943356567E-3</v>
      </c>
      <c r="V51" s="4">
        <f t="shared" si="36"/>
        <v>0.36851051545376567</v>
      </c>
      <c r="W51" s="4">
        <f t="shared" si="36"/>
        <v>2.7439788601465987E-3</v>
      </c>
      <c r="X51" s="4">
        <f t="shared" si="36"/>
        <v>0.15300000000000022</v>
      </c>
      <c r="Y51" s="4">
        <f t="shared" si="36"/>
        <v>6.5457224818825746E-4</v>
      </c>
      <c r="Z51" s="4"/>
      <c r="AA51" s="4">
        <f>_xlfn.STDEV.P(AA16:AA18)</f>
        <v>0</v>
      </c>
      <c r="AB51" s="4"/>
      <c r="AC51" s="4">
        <f t="shared" ref="AC51:AQ51" si="37">_xlfn.STDEV.P(AC16:AC18)</f>
        <v>0</v>
      </c>
      <c r="AD51" s="4">
        <f t="shared" si="37"/>
        <v>0.87522695469359646</v>
      </c>
      <c r="AE51" s="4">
        <f t="shared" si="37"/>
        <v>2.724234649912506E-3</v>
      </c>
      <c r="AF51" s="4">
        <f t="shared" si="37"/>
        <v>0.81814152538270768</v>
      </c>
      <c r="AG51" s="4">
        <f t="shared" si="37"/>
        <v>3.4962189017653618E-3</v>
      </c>
      <c r="AH51" s="4">
        <f t="shared" si="37"/>
        <v>39.969432764996249</v>
      </c>
      <c r="AI51" s="4">
        <f t="shared" si="37"/>
        <v>3.1983793454415186</v>
      </c>
      <c r="AJ51" s="4">
        <f t="shared" si="37"/>
        <v>21.249836600678968</v>
      </c>
      <c r="AK51" s="4">
        <f t="shared" si="37"/>
        <v>2.6150769052285097</v>
      </c>
      <c r="AL51" s="4">
        <f t="shared" si="37"/>
        <v>22.483524832394291</v>
      </c>
      <c r="AM51" s="4">
        <f t="shared" si="37"/>
        <v>0.79170428607210885</v>
      </c>
      <c r="AN51" s="4">
        <f t="shared" si="37"/>
        <v>0.8980348916755222</v>
      </c>
      <c r="AO51" s="4">
        <f t="shared" si="37"/>
        <v>0.11276382634144724</v>
      </c>
      <c r="AP51" s="4">
        <f t="shared" si="37"/>
        <v>0.40474957964428193</v>
      </c>
      <c r="AQ51" s="4">
        <f t="shared" si="37"/>
        <v>5.0037840273502443E-2</v>
      </c>
      <c r="AR51" s="4"/>
      <c r="AS51" s="4">
        <f>_xlfn.STDEV.P(AS16:AS18)</f>
        <v>9.3046808339360861E-3</v>
      </c>
      <c r="AT51" s="4"/>
      <c r="AU51" s="4">
        <f>_xlfn.STDEV.P(AU16:AU18)</f>
        <v>0</v>
      </c>
      <c r="AV51" s="4"/>
      <c r="AW51" s="4">
        <f>_xlfn.STDEV.P(AW16:AW18)</f>
        <v>0</v>
      </c>
      <c r="AX51" s="4"/>
      <c r="AY51" s="4">
        <f>_xlfn.STDEV.P(AY16:AY18)</f>
        <v>1.7563156166551131E-3</v>
      </c>
      <c r="AZ51" s="4"/>
      <c r="BA51" s="4">
        <f>_xlfn.STDEV.P(BA16:BA18)</f>
        <v>0</v>
      </c>
      <c r="BB51" s="4"/>
      <c r="BC51" s="4">
        <f>_xlfn.STDEV.P(BC16:BC18)</f>
        <v>0</v>
      </c>
      <c r="BD51" s="4"/>
      <c r="BE51" s="4">
        <f>_xlfn.STDEV.P(BE16:BE18)</f>
        <v>5.2933973643501343E-3</v>
      </c>
      <c r="BF51" s="4"/>
      <c r="BG51" s="4">
        <f>_xlfn.STDEV.P(BG16:BG18)</f>
        <v>1.5601778746134845E-2</v>
      </c>
      <c r="BH51" s="4"/>
      <c r="BI51" s="4">
        <f>_xlfn.STDEV.P(BI16:BI18)</f>
        <v>5.3042884133542049E-3</v>
      </c>
      <c r="BJ51" s="4"/>
      <c r="BK51" s="4">
        <f>_xlfn.STDEV.P(BK16:BK18)</f>
        <v>1.8011356191691989E-3</v>
      </c>
      <c r="BL51" s="4"/>
      <c r="BM51" s="4">
        <f t="shared" ref="BM51:CI51" si="38">_xlfn.STDEV.P(BM16:BM18)</f>
        <v>0</v>
      </c>
      <c r="BN51" s="4">
        <f t="shared" si="38"/>
        <v>9.849999999999956E-2</v>
      </c>
      <c r="BO51" s="4">
        <f t="shared" si="38"/>
        <v>0</v>
      </c>
      <c r="BP51" s="4">
        <f t="shared" si="38"/>
        <v>13.021349989749739</v>
      </c>
      <c r="BQ51" s="4">
        <f t="shared" si="38"/>
        <v>0.67398637924979132</v>
      </c>
      <c r="BR51" s="4">
        <f t="shared" si="38"/>
        <v>61.843889485273053</v>
      </c>
      <c r="BS51" s="4">
        <f t="shared" si="38"/>
        <v>5.7027996472979616</v>
      </c>
      <c r="BT51" s="4">
        <f t="shared" si="38"/>
        <v>56.617625838210095</v>
      </c>
      <c r="BU51" s="4">
        <f t="shared" si="38"/>
        <v>0.59578752233644916</v>
      </c>
      <c r="BV51" s="4">
        <f t="shared" si="38"/>
        <v>7.0994522480415139</v>
      </c>
      <c r="BW51" s="4">
        <f t="shared" si="38"/>
        <v>0.23477920536883989</v>
      </c>
      <c r="BX51" s="4">
        <f t="shared" si="38"/>
        <v>3.3656136967209322</v>
      </c>
      <c r="BY51" s="4">
        <f t="shared" si="38"/>
        <v>3.7280184740665009E-2</v>
      </c>
      <c r="BZ51" s="4">
        <f t="shared" si="38"/>
        <v>0.83945749677329673</v>
      </c>
      <c r="CA51" s="4">
        <f t="shared" si="38"/>
        <v>1.1177283981524804E-2</v>
      </c>
      <c r="CB51" s="4">
        <f t="shared" si="38"/>
        <v>2.9588566485496881</v>
      </c>
      <c r="CC51" s="4">
        <f t="shared" si="38"/>
        <v>0.17131032338684368</v>
      </c>
      <c r="CD51" s="4">
        <f t="shared" si="38"/>
        <v>0</v>
      </c>
      <c r="CE51" s="4">
        <f t="shared" si="38"/>
        <v>2.7434794204452693E-2</v>
      </c>
      <c r="CF51" s="4">
        <f t="shared" si="38"/>
        <v>79.029622716211293</v>
      </c>
      <c r="CG51" s="4">
        <f t="shared" si="38"/>
        <v>6.2628648967916059</v>
      </c>
      <c r="CH51" s="4">
        <f t="shared" si="38"/>
        <v>138.25681690808491</v>
      </c>
      <c r="CI51" s="4">
        <f t="shared" si="38"/>
        <v>6.8571400202764616</v>
      </c>
    </row>
    <row r="52" spans="2:87" x14ac:dyDescent="0.25">
      <c r="C52">
        <v>17</v>
      </c>
      <c r="D52" s="4"/>
      <c r="E52" s="4">
        <f>_xlfn.STDEV.P(E19:E21)</f>
        <v>7.9881765540870404E-4</v>
      </c>
      <c r="F52" s="4"/>
      <c r="G52" s="4">
        <f>_xlfn.STDEV.P(G19:G21)</f>
        <v>0</v>
      </c>
      <c r="H52" s="4"/>
      <c r="I52" s="4">
        <f>_xlfn.STDEV.P(I19:I21)</f>
        <v>0</v>
      </c>
      <c r="J52" s="4"/>
      <c r="K52" s="4">
        <f>_xlfn.STDEV.P(K19:K21)</f>
        <v>0</v>
      </c>
      <c r="L52" s="4"/>
      <c r="M52" s="4">
        <f>_xlfn.STDEV.P(M19:M21)</f>
        <v>4.1205069702817917E-4</v>
      </c>
      <c r="N52" s="4"/>
      <c r="O52" s="4">
        <f t="shared" ref="O52:W52" si="39">_xlfn.STDEV.P(O19:O21)</f>
        <v>7.8551342185983954E-4</v>
      </c>
      <c r="P52" s="4">
        <f t="shared" si="39"/>
        <v>0.29169999809545688</v>
      </c>
      <c r="Q52" s="4">
        <f t="shared" si="39"/>
        <v>1.7923536294855481E-2</v>
      </c>
      <c r="R52" s="4">
        <f t="shared" si="39"/>
        <v>0.22808380526074742</v>
      </c>
      <c r="S52" s="4">
        <f t="shared" si="39"/>
        <v>8.3403381673449947E-3</v>
      </c>
      <c r="T52" s="4">
        <f t="shared" si="39"/>
        <v>0.31372316175606513</v>
      </c>
      <c r="U52" s="4">
        <f t="shared" si="39"/>
        <v>4.6487944313143657E-3</v>
      </c>
      <c r="V52" s="4">
        <f t="shared" si="39"/>
        <v>0.26915546932333795</v>
      </c>
      <c r="W52" s="4">
        <f t="shared" si="39"/>
        <v>1.8440913347820621E-3</v>
      </c>
      <c r="X52" s="4"/>
      <c r="Y52" s="4">
        <f>_xlfn.STDEV.P(Y19:Y21)</f>
        <v>1.5530962469687264E-3</v>
      </c>
      <c r="Z52" s="4"/>
      <c r="AA52" s="4">
        <f>_xlfn.STDEV.P(AA19:AA21)</f>
        <v>0</v>
      </c>
      <c r="AB52" s="4"/>
      <c r="AC52" s="4">
        <f t="shared" ref="AC52:AQ52" si="40">_xlfn.STDEV.P(AC19:AC21)</f>
        <v>0</v>
      </c>
      <c r="AD52" s="4">
        <f t="shared" si="40"/>
        <v>0.88129954549454448</v>
      </c>
      <c r="AE52" s="4">
        <f t="shared" si="40"/>
        <v>2.490113964961732E-3</v>
      </c>
      <c r="AF52" s="4">
        <f t="shared" si="40"/>
        <v>0.88657894302889029</v>
      </c>
      <c r="AG52" s="4">
        <f t="shared" si="40"/>
        <v>2.4509294743015882E-3</v>
      </c>
      <c r="AH52" s="4">
        <f t="shared" si="40"/>
        <v>30.663043264200347</v>
      </c>
      <c r="AI52" s="4">
        <f t="shared" si="40"/>
        <v>2.6146826111375479</v>
      </c>
      <c r="AJ52" s="4">
        <f t="shared" si="40"/>
        <v>27.27636339397171</v>
      </c>
      <c r="AK52" s="4">
        <f t="shared" si="40"/>
        <v>2.2677056624628156</v>
      </c>
      <c r="AL52" s="4">
        <f t="shared" si="40"/>
        <v>18.812466315953667</v>
      </c>
      <c r="AM52" s="4">
        <f t="shared" si="40"/>
        <v>0.71358524453422678</v>
      </c>
      <c r="AN52" s="4">
        <f t="shared" si="40"/>
        <v>0.57656068390258974</v>
      </c>
      <c r="AO52" s="4">
        <f t="shared" si="40"/>
        <v>6.6587954366247454E-2</v>
      </c>
      <c r="AP52" s="4">
        <f t="shared" si="40"/>
        <v>0.34092162670554599</v>
      </c>
      <c r="AQ52" s="4">
        <f t="shared" si="40"/>
        <v>4.2887237708219034E-2</v>
      </c>
      <c r="AR52" s="4"/>
      <c r="AS52" s="4">
        <f>_xlfn.STDEV.P(AS19:AS21)</f>
        <v>5.3798507247160218E-3</v>
      </c>
      <c r="AT52" s="4"/>
      <c r="AU52" s="4">
        <f>_xlfn.STDEV.P(AU19:AU21)</f>
        <v>0</v>
      </c>
      <c r="AV52" s="4"/>
      <c r="AW52" s="4">
        <f>_xlfn.STDEV.P(AW19:AW21)</f>
        <v>0</v>
      </c>
      <c r="AX52" s="4"/>
      <c r="AY52" s="4">
        <f>_xlfn.STDEV.P(AY19:AY21)</f>
        <v>0</v>
      </c>
      <c r="AZ52" s="4"/>
      <c r="BA52" s="4">
        <f>_xlfn.STDEV.P(BA19:BA21)</f>
        <v>0</v>
      </c>
      <c r="BB52" s="4"/>
      <c r="BC52" s="4">
        <f>_xlfn.STDEV.P(BC19:BC21)</f>
        <v>0</v>
      </c>
      <c r="BD52" s="4"/>
      <c r="BE52" s="4">
        <f>_xlfn.STDEV.P(BE19:BE21)</f>
        <v>3.7792948940978594E-3</v>
      </c>
      <c r="BF52" s="4"/>
      <c r="BG52" s="4">
        <f>_xlfn.STDEV.P(BG19:BG21)</f>
        <v>8.9950942610340905E-3</v>
      </c>
      <c r="BH52" s="4"/>
      <c r="BI52" s="4">
        <f>_xlfn.STDEV.P(BI19:BI21)</f>
        <v>2.2651435375158659E-3</v>
      </c>
      <c r="BJ52" s="4"/>
      <c r="BK52" s="4">
        <f>_xlfn.STDEV.P(BK19:BK21)</f>
        <v>0</v>
      </c>
      <c r="BL52" s="4"/>
      <c r="BM52" s="4">
        <f t="shared" ref="BM52:CI52" si="41">_xlfn.STDEV.P(BM19:BM21)</f>
        <v>0</v>
      </c>
      <c r="BN52" s="4">
        <f t="shared" si="41"/>
        <v>0</v>
      </c>
      <c r="BO52" s="4">
        <f t="shared" si="41"/>
        <v>0</v>
      </c>
      <c r="BP52" s="4">
        <f t="shared" si="41"/>
        <v>14.976945245572903</v>
      </c>
      <c r="BQ52" s="4">
        <f t="shared" si="41"/>
        <v>0.53930017042327327</v>
      </c>
      <c r="BR52" s="4">
        <f t="shared" si="41"/>
        <v>63.798293254774634</v>
      </c>
      <c r="BS52" s="4">
        <f t="shared" si="41"/>
        <v>4.813756195556695</v>
      </c>
      <c r="BT52" s="4">
        <f t="shared" si="41"/>
        <v>58.657196205296643</v>
      </c>
      <c r="BU52" s="4">
        <f t="shared" si="41"/>
        <v>0.35723214963898564</v>
      </c>
      <c r="BV52" s="4">
        <f t="shared" si="41"/>
        <v>5.8263768043842319</v>
      </c>
      <c r="BW52" s="4">
        <f t="shared" si="41"/>
        <v>0.1041681717295256</v>
      </c>
      <c r="BX52" s="4">
        <f t="shared" si="41"/>
        <v>1.8096285683961666</v>
      </c>
      <c r="BY52" s="4">
        <f t="shared" si="41"/>
        <v>1.505815210209957E-2</v>
      </c>
      <c r="BZ52" s="4">
        <f t="shared" si="41"/>
        <v>0.34136035049327107</v>
      </c>
      <c r="CA52" s="4">
        <f t="shared" si="41"/>
        <v>6.1183632076246717E-3</v>
      </c>
      <c r="CB52" s="4">
        <f t="shared" si="41"/>
        <v>1.0857430635283853</v>
      </c>
      <c r="CC52" s="4">
        <f t="shared" si="41"/>
        <v>3.1412139189519767E-2</v>
      </c>
      <c r="CD52" s="4">
        <f t="shared" si="41"/>
        <v>0</v>
      </c>
      <c r="CE52" s="4">
        <f t="shared" si="41"/>
        <v>1.3860694239954218E-2</v>
      </c>
      <c r="CF52" s="4">
        <f t="shared" si="41"/>
        <v>76.413576751778706</v>
      </c>
      <c r="CG52" s="4">
        <f t="shared" si="41"/>
        <v>5.2741923126760062</v>
      </c>
      <c r="CH52" s="4">
        <f t="shared" si="41"/>
        <v>140.87152576806378</v>
      </c>
      <c r="CI52" s="4">
        <f t="shared" si="41"/>
        <v>5.5783269010037051</v>
      </c>
    </row>
    <row r="53" spans="2:87" x14ac:dyDescent="0.25">
      <c r="C53">
        <v>38</v>
      </c>
      <c r="D53" s="4"/>
      <c r="E53" s="4">
        <f>_xlfn.STDEV.P(E22:E24)</f>
        <v>3.6611477753494307E-4</v>
      </c>
      <c r="F53" s="4"/>
      <c r="G53" s="4">
        <f>_xlfn.STDEV.P(G22:G24)</f>
        <v>0</v>
      </c>
      <c r="H53" s="4"/>
      <c r="I53" s="4">
        <f>_xlfn.STDEV.P(I22:I24)</f>
        <v>0</v>
      </c>
      <c r="J53" s="4"/>
      <c r="K53" s="4">
        <f>_xlfn.STDEV.P(K22:K24)</f>
        <v>0</v>
      </c>
      <c r="L53" s="4"/>
      <c r="M53" s="4">
        <f>_xlfn.STDEV.P(M22:M24)</f>
        <v>5.2674011531987045E-4</v>
      </c>
      <c r="N53" s="4"/>
      <c r="O53" s="4">
        <f t="shared" ref="O53:U53" si="42">_xlfn.STDEV.P(O22:O24)</f>
        <v>4.3252777654416663E-4</v>
      </c>
      <c r="P53" s="4">
        <f t="shared" si="42"/>
        <v>0.19067132861433389</v>
      </c>
      <c r="Q53" s="4">
        <f t="shared" si="42"/>
        <v>1.2252809432799985E-2</v>
      </c>
      <c r="R53" s="4">
        <f t="shared" si="42"/>
        <v>0.17600441913644005</v>
      </c>
      <c r="S53" s="4">
        <f t="shared" si="42"/>
        <v>3.4816659092652062E-3</v>
      </c>
      <c r="T53" s="4">
        <f t="shared" si="42"/>
        <v>0.1989310321582726</v>
      </c>
      <c r="U53" s="4">
        <f t="shared" si="42"/>
        <v>3.004833443458184E-3</v>
      </c>
      <c r="V53" s="4"/>
      <c r="W53" s="4">
        <f>_xlfn.STDEV.P(W22:W24)</f>
        <v>5.5921994640667743E-4</v>
      </c>
      <c r="X53" s="4"/>
      <c r="Y53" s="4">
        <f>_xlfn.STDEV.P(Y22:Y24)</f>
        <v>0</v>
      </c>
      <c r="Z53" s="4"/>
      <c r="AA53" s="4">
        <f>_xlfn.STDEV.P(AA22:AA24)</f>
        <v>0</v>
      </c>
      <c r="AB53" s="4"/>
      <c r="AC53" s="4">
        <f t="shared" ref="AC53:AQ53" si="43">_xlfn.STDEV.P(AC22:AC24)</f>
        <v>0</v>
      </c>
      <c r="AD53" s="4">
        <f t="shared" si="43"/>
        <v>0</v>
      </c>
      <c r="AE53" s="4">
        <f t="shared" si="43"/>
        <v>0</v>
      </c>
      <c r="AF53" s="4">
        <f t="shared" si="43"/>
        <v>0.56758748713793572</v>
      </c>
      <c r="AG53" s="4">
        <f t="shared" si="43"/>
        <v>3.1640154762051769E-3</v>
      </c>
      <c r="AH53" s="4">
        <f t="shared" si="43"/>
        <v>26.166135875720485</v>
      </c>
      <c r="AI53" s="4">
        <f t="shared" si="43"/>
        <v>1.1702765236041952</v>
      </c>
      <c r="AJ53" s="4">
        <f t="shared" si="43"/>
        <v>13.2454604382869</v>
      </c>
      <c r="AK53" s="4">
        <f t="shared" si="43"/>
        <v>1.0612560511205569</v>
      </c>
      <c r="AL53" s="4">
        <f t="shared" si="43"/>
        <v>16.687919782485377</v>
      </c>
      <c r="AM53" s="4">
        <f t="shared" si="43"/>
        <v>0.5158114658161288</v>
      </c>
      <c r="AN53" s="4">
        <f t="shared" si="43"/>
        <v>0.2515</v>
      </c>
      <c r="AO53" s="4">
        <f t="shared" si="43"/>
        <v>4.4012780045946762E-2</v>
      </c>
      <c r="AP53" s="4">
        <f t="shared" si="43"/>
        <v>0</v>
      </c>
      <c r="AQ53" s="4">
        <f t="shared" si="43"/>
        <v>1.1730893744513714E-2</v>
      </c>
      <c r="AR53" s="4"/>
      <c r="AS53" s="4">
        <f>_xlfn.STDEV.P(AS22:AS24)</f>
        <v>1.1123310263428702E-3</v>
      </c>
      <c r="AT53" s="4"/>
      <c r="AU53" s="4">
        <f>_xlfn.STDEV.P(AU22:AU24)</f>
        <v>0</v>
      </c>
      <c r="AV53" s="4"/>
      <c r="AW53" s="4">
        <f>_xlfn.STDEV.P(AW22:AW24)</f>
        <v>0</v>
      </c>
      <c r="AX53" s="4"/>
      <c r="AY53" s="4">
        <f>_xlfn.STDEV.P(AY22:AY24)</f>
        <v>0</v>
      </c>
      <c r="AZ53" s="4"/>
      <c r="BA53" s="4">
        <f>_xlfn.STDEV.P(BA22:BA24)</f>
        <v>0</v>
      </c>
      <c r="BB53" s="4"/>
      <c r="BC53" s="4">
        <f>_xlfn.STDEV.P(BC22:BC24)</f>
        <v>0</v>
      </c>
      <c r="BD53" s="4"/>
      <c r="BE53" s="4">
        <f>_xlfn.STDEV.P(BE22:BE24)</f>
        <v>2.8425909406816509E-3</v>
      </c>
      <c r="BF53" s="4"/>
      <c r="BG53" s="4">
        <f>_xlfn.STDEV.P(BG22:BG24)</f>
        <v>4.5237738758792468E-3</v>
      </c>
      <c r="BH53" s="4"/>
      <c r="BI53" s="4">
        <f>_xlfn.STDEV.P(BI22:BI24)</f>
        <v>2.08415321068907E-3</v>
      </c>
      <c r="BJ53" s="4"/>
      <c r="BK53" s="4">
        <f>_xlfn.STDEV.P(BK22:BK24)</f>
        <v>0</v>
      </c>
      <c r="BL53" s="4"/>
      <c r="BM53" s="4">
        <f>_xlfn.STDEV.P(BM22:BM24)</f>
        <v>0</v>
      </c>
      <c r="BN53" s="4"/>
      <c r="BO53" s="4">
        <f t="shared" ref="BO53:BY53" si="44">_xlfn.STDEV.P(BO22:BO24)</f>
        <v>0</v>
      </c>
      <c r="BP53" s="4">
        <f t="shared" si="44"/>
        <v>10.030952098380302</v>
      </c>
      <c r="BQ53" s="4">
        <f t="shared" si="44"/>
        <v>0.41051598318105353</v>
      </c>
      <c r="BR53" s="4">
        <f t="shared" si="44"/>
        <v>48.586692279539534</v>
      </c>
      <c r="BS53" s="4">
        <f t="shared" si="44"/>
        <v>3.0913877625050508</v>
      </c>
      <c r="BT53" s="4">
        <f t="shared" si="44"/>
        <v>34.149475349800994</v>
      </c>
      <c r="BU53" s="4">
        <f t="shared" si="44"/>
        <v>0.24906171008514474</v>
      </c>
      <c r="BV53" s="4">
        <f t="shared" si="44"/>
        <v>1.4487082368632946</v>
      </c>
      <c r="BW53" s="4">
        <f t="shared" si="44"/>
        <v>3.3144219640182743E-2</v>
      </c>
      <c r="BX53" s="4">
        <f t="shared" si="44"/>
        <v>0.24142493657449748</v>
      </c>
      <c r="BY53" s="4">
        <f t="shared" si="44"/>
        <v>0</v>
      </c>
      <c r="BZ53" s="4"/>
      <c r="CA53" s="4">
        <f t="shared" ref="CA53:CI53" si="45">_xlfn.STDEV.P(CA22:CA24)</f>
        <v>0</v>
      </c>
      <c r="CB53" s="4">
        <f t="shared" si="45"/>
        <v>0.55250600801157557</v>
      </c>
      <c r="CC53" s="4">
        <f t="shared" si="45"/>
        <v>1.5851489065474293E-2</v>
      </c>
      <c r="CD53" s="4">
        <f t="shared" si="45"/>
        <v>0</v>
      </c>
      <c r="CE53" s="4">
        <f t="shared" si="45"/>
        <v>7.3586214786326059E-3</v>
      </c>
      <c r="CF53" s="4">
        <f t="shared" si="45"/>
        <v>55.83450173702834</v>
      </c>
      <c r="CG53" s="4">
        <f t="shared" si="45"/>
        <v>2.5310251974704596</v>
      </c>
      <c r="CH53" s="4">
        <f t="shared" si="45"/>
        <v>93.250743347647742</v>
      </c>
      <c r="CI53" s="4">
        <f t="shared" si="45"/>
        <v>3.6962318267490102</v>
      </c>
    </row>
    <row r="54" spans="2:87" x14ac:dyDescent="0.25">
      <c r="C54">
        <v>57</v>
      </c>
      <c r="E54">
        <f>_xlfn.STDEV.P(E25:E27)</f>
        <v>2.2266730289455879E-3</v>
      </c>
      <c r="G54">
        <f>_xlfn.STDEV.P(G25:G27)</f>
        <v>0</v>
      </c>
      <c r="I54">
        <f>_xlfn.STDEV.P(I25:I27)</f>
        <v>0</v>
      </c>
      <c r="K54">
        <f>_xlfn.STDEV.P(K25:K27)</f>
        <v>0</v>
      </c>
      <c r="M54">
        <f>_xlfn.STDEV.P(M25:M27)</f>
        <v>1.1538542451070364E-3</v>
      </c>
      <c r="O54">
        <f>_xlfn.STDEV.P(O25:O27)</f>
        <v>9.8200568580903758E-4</v>
      </c>
      <c r="P54">
        <f>_xlfn.STDEV.P(P25:P27)</f>
        <v>9.3042403714054131E-2</v>
      </c>
      <c r="Q54">
        <f>_xlfn.STDEV.P(Q25:Q27)</f>
        <v>9.5670783421018188E-3</v>
      </c>
      <c r="S54">
        <f>_xlfn.STDEV.P(S25:S27)</f>
        <v>4.9442955340378335E-3</v>
      </c>
      <c r="U54">
        <f>_xlfn.STDEV.P(U25:U27)</f>
        <v>4.0776860927571436E-3</v>
      </c>
      <c r="W54">
        <f>_xlfn.STDEV.P(W25:W27)</f>
        <v>0</v>
      </c>
      <c r="Y54">
        <f>_xlfn.STDEV.P(Y25:Y27)</f>
        <v>0</v>
      </c>
      <c r="AA54">
        <f>_xlfn.STDEV.P(AA25:AA27)</f>
        <v>0</v>
      </c>
      <c r="AC54">
        <f>_xlfn.STDEV.P(AC25:AC27)</f>
        <v>0</v>
      </c>
      <c r="AE54">
        <f t="shared" ref="AE54:AM54" si="46">_xlfn.STDEV.P(AE25:AE27)</f>
        <v>0</v>
      </c>
      <c r="AF54">
        <f t="shared" si="46"/>
        <v>0</v>
      </c>
      <c r="AG54">
        <f t="shared" si="46"/>
        <v>2.9051252063616302E-3</v>
      </c>
      <c r="AH54">
        <f t="shared" si="46"/>
        <v>4.8664383508087523</v>
      </c>
      <c r="AI54">
        <f t="shared" si="46"/>
        <v>1.2127031445817147</v>
      </c>
      <c r="AJ54">
        <f t="shared" si="46"/>
        <v>2.3299976156401732</v>
      </c>
      <c r="AK54">
        <f t="shared" si="46"/>
        <v>0.83115816653866437</v>
      </c>
      <c r="AL54">
        <f t="shared" si="46"/>
        <v>3.1276650857930575</v>
      </c>
      <c r="AM54">
        <f t="shared" si="46"/>
        <v>0.23412566540785912</v>
      </c>
      <c r="AO54">
        <f>_xlfn.STDEV.P(AO25:AO27)</f>
        <v>1.2911929432759232E-2</v>
      </c>
      <c r="AQ54">
        <f>_xlfn.STDEV.P(AQ25:AQ27)</f>
        <v>1.3289574106663989E-3</v>
      </c>
      <c r="AS54">
        <f>_xlfn.STDEV.P(AS25:AS27)</f>
        <v>0</v>
      </c>
      <c r="AU54">
        <f>_xlfn.STDEV.P(AU25:AU27)</f>
        <v>0</v>
      </c>
      <c r="AW54">
        <f>_xlfn.STDEV.P(AW25:AW27)</f>
        <v>0</v>
      </c>
      <c r="AY54">
        <f>_xlfn.STDEV.P(AY25:AY27)</f>
        <v>0</v>
      </c>
      <c r="BA54">
        <f>_xlfn.STDEV.P(BA25:BA27)</f>
        <v>0</v>
      </c>
      <c r="BC54">
        <f>_xlfn.STDEV.P(BC25:BC27)</f>
        <v>0</v>
      </c>
      <c r="BE54">
        <f>_xlfn.STDEV.P(BE25:BE27)</f>
        <v>2.1839364785981329E-3</v>
      </c>
      <c r="BG54">
        <f>_xlfn.STDEV.P(BG25:BG27)</f>
        <v>3.4005582527690155E-3</v>
      </c>
      <c r="BI54">
        <f>_xlfn.STDEV.P(BI25:BI27)</f>
        <v>0</v>
      </c>
      <c r="BK54">
        <f>_xlfn.STDEV.P(BK25:BK27)</f>
        <v>0</v>
      </c>
      <c r="BM54">
        <f>_xlfn.STDEV.P(BM25:BM27)</f>
        <v>0</v>
      </c>
      <c r="BO54">
        <f t="shared" ref="BO54:BW54" si="47">_xlfn.STDEV.P(BO25:BO27)</f>
        <v>0</v>
      </c>
      <c r="BP54">
        <f t="shared" si="47"/>
        <v>3.0232432915661929</v>
      </c>
      <c r="BQ54">
        <f t="shared" si="47"/>
        <v>0.22091901751911741</v>
      </c>
      <c r="BR54">
        <f t="shared" si="47"/>
        <v>3.7416573867739413</v>
      </c>
      <c r="BS54">
        <f t="shared" si="47"/>
        <v>1.5615314077022773</v>
      </c>
      <c r="BT54">
        <f t="shared" si="47"/>
        <v>3.4765883660086709</v>
      </c>
      <c r="BU54">
        <f t="shared" si="47"/>
        <v>5.5210953253807038E-2</v>
      </c>
      <c r="BV54">
        <f t="shared" si="47"/>
        <v>0.25781130050226092</v>
      </c>
      <c r="BW54">
        <f t="shared" si="47"/>
        <v>0</v>
      </c>
      <c r="BY54">
        <f>_xlfn.STDEV.P(BY25:BY27)</f>
        <v>0</v>
      </c>
      <c r="CA54">
        <f t="shared" ref="CA54:CI54" si="48">_xlfn.STDEV.P(CA25:CA27)</f>
        <v>0</v>
      </c>
      <c r="CB54">
        <f t="shared" si="48"/>
        <v>9.3042403714054131E-2</v>
      </c>
      <c r="CC54">
        <f t="shared" si="48"/>
        <v>1.8004117015028281E-2</v>
      </c>
      <c r="CD54">
        <f t="shared" si="48"/>
        <v>0</v>
      </c>
      <c r="CE54">
        <f t="shared" si="48"/>
        <v>5.5559416983792572E-3</v>
      </c>
      <c r="CF54">
        <f t="shared" si="48"/>
        <v>8.4390800578156782</v>
      </c>
      <c r="CG54">
        <f t="shared" si="48"/>
        <v>2.2736115441940412</v>
      </c>
      <c r="CH54">
        <f t="shared" si="48"/>
        <v>9.7344645461370991</v>
      </c>
      <c r="CI54">
        <f t="shared" si="48"/>
        <v>1.8345584017454739</v>
      </c>
    </row>
    <row r="55" spans="2:87" x14ac:dyDescent="0.25">
      <c r="C55">
        <v>61</v>
      </c>
      <c r="E55">
        <f>_xlfn.STDEV.P(E28:E30)</f>
        <v>3.1296551512277814E-3</v>
      </c>
      <c r="G55">
        <f>_xlfn.STDEV.P(G28:G30)</f>
        <v>0</v>
      </c>
      <c r="I55">
        <f>_xlfn.STDEV.P(I28:I30)</f>
        <v>0</v>
      </c>
      <c r="K55">
        <f>_xlfn.STDEV.P(K28:K30)</f>
        <v>0</v>
      </c>
      <c r="M55">
        <f>_xlfn.STDEV.P(M28:M30)</f>
        <v>0</v>
      </c>
      <c r="O55">
        <f>_xlfn.STDEV.P(O28:O30)</f>
        <v>0</v>
      </c>
      <c r="Q55">
        <f>_xlfn.STDEV.P(Q28:Q30)</f>
        <v>5.4803021653364046E-3</v>
      </c>
      <c r="S55">
        <f>_xlfn.STDEV.P(S28:S30)</f>
        <v>1.3717970098323777E-3</v>
      </c>
      <c r="U55">
        <f>_xlfn.STDEV.P(U28:U30)</f>
        <v>0</v>
      </c>
      <c r="W55">
        <f>_xlfn.STDEV.P(W28:W30)</f>
        <v>0</v>
      </c>
      <c r="Y55">
        <f>_xlfn.STDEV.P(Y28:Y30)</f>
        <v>0</v>
      </c>
      <c r="AA55">
        <f>_xlfn.STDEV.P(AA28:AA30)</f>
        <v>0</v>
      </c>
      <c r="AC55">
        <f>_xlfn.STDEV.P(AC28:AC30)</f>
        <v>0</v>
      </c>
      <c r="AE55">
        <f>_xlfn.STDEV.P(AE28:AE30)</f>
        <v>0</v>
      </c>
      <c r="AG55">
        <f t="shared" ref="AG55:AM55" si="49">_xlfn.STDEV.P(AG28:AG30)</f>
        <v>0</v>
      </c>
      <c r="AH55">
        <f t="shared" si="49"/>
        <v>7.6802777727544971</v>
      </c>
      <c r="AI55">
        <f t="shared" si="49"/>
        <v>0.31664836853602768</v>
      </c>
      <c r="AJ55">
        <f t="shared" si="49"/>
        <v>1.1956123489195338</v>
      </c>
      <c r="AK55">
        <f t="shared" si="49"/>
        <v>7.7410335593859028E-2</v>
      </c>
      <c r="AL55">
        <f t="shared" si="49"/>
        <v>0.42549999999999999</v>
      </c>
      <c r="AM55">
        <f t="shared" si="49"/>
        <v>2.2569387818869923E-2</v>
      </c>
      <c r="AO55">
        <f>_xlfn.STDEV.P(AO28:AO30)</f>
        <v>0</v>
      </c>
      <c r="AQ55">
        <f>_xlfn.STDEV.P(AQ28:AQ30)</f>
        <v>0</v>
      </c>
      <c r="AS55">
        <f>_xlfn.STDEV.P(AS28:AS30)</f>
        <v>0</v>
      </c>
      <c r="AU55">
        <f>_xlfn.STDEV.P(AU28:AU30)</f>
        <v>0</v>
      </c>
      <c r="AW55">
        <f>_xlfn.STDEV.P(AW28:AW30)</f>
        <v>0</v>
      </c>
      <c r="AY55">
        <f>_xlfn.STDEV.P(AY28:AY30)</f>
        <v>0</v>
      </c>
      <c r="BA55">
        <f>_xlfn.STDEV.P(BA28:BA30)</f>
        <v>0</v>
      </c>
      <c r="BC55">
        <f>_xlfn.STDEV.P(BC28:BC30)</f>
        <v>0</v>
      </c>
      <c r="BE55">
        <f>_xlfn.STDEV.P(BE28:BE30)</f>
        <v>0</v>
      </c>
      <c r="BG55">
        <f>_xlfn.STDEV.P(BG28:BG30)</f>
        <v>0</v>
      </c>
      <c r="BI55">
        <f>_xlfn.STDEV.P(BI28:BI30)</f>
        <v>0</v>
      </c>
      <c r="BK55">
        <f>_xlfn.STDEV.P(BK28:BK30)</f>
        <v>0</v>
      </c>
      <c r="BM55">
        <f>_xlfn.STDEV.P(BM28:BM30)</f>
        <v>0</v>
      </c>
      <c r="BO55">
        <f t="shared" ref="BO55:BW55" si="50">_xlfn.STDEV.P(BO28:BO30)</f>
        <v>0</v>
      </c>
      <c r="BP55">
        <f t="shared" si="50"/>
        <v>2.7067816067549111</v>
      </c>
      <c r="BQ55">
        <f t="shared" si="50"/>
        <v>5.5834597859098514E-2</v>
      </c>
      <c r="BR55">
        <f t="shared" si="50"/>
        <v>11.400974617208067</v>
      </c>
      <c r="BS55">
        <f t="shared" si="50"/>
        <v>0.25003113140237426</v>
      </c>
      <c r="BT55">
        <f t="shared" si="50"/>
        <v>1.6765308096052269</v>
      </c>
      <c r="BU55">
        <f t="shared" si="50"/>
        <v>3.7716940810944202E-3</v>
      </c>
      <c r="BV55">
        <f t="shared" si="50"/>
        <v>0</v>
      </c>
      <c r="BW55">
        <f t="shared" si="50"/>
        <v>0</v>
      </c>
      <c r="BY55">
        <f>_xlfn.STDEV.P(BY28:BY30)</f>
        <v>0</v>
      </c>
      <c r="CA55">
        <f t="shared" ref="CA55:CI55" si="51">_xlfn.STDEV.P(CA28:CA30)</f>
        <v>0</v>
      </c>
      <c r="CB55">
        <f t="shared" si="51"/>
        <v>0</v>
      </c>
      <c r="CC55">
        <f t="shared" si="51"/>
        <v>9.4377438261965332E-3</v>
      </c>
      <c r="CD55">
        <f t="shared" si="51"/>
        <v>0</v>
      </c>
      <c r="CE55">
        <f t="shared" si="51"/>
        <v>0</v>
      </c>
      <c r="CF55">
        <f t="shared" si="51"/>
        <v>8.5499098240858356</v>
      </c>
      <c r="CG55">
        <f t="shared" si="51"/>
        <v>0.38616804593714055</v>
      </c>
      <c r="CH55">
        <f t="shared" si="51"/>
        <v>15.341398176176792</v>
      </c>
      <c r="CI55">
        <f t="shared" si="51"/>
        <v>0.30525133685231515</v>
      </c>
    </row>
    <row r="56" spans="2:87" x14ac:dyDescent="0.25">
      <c r="C56">
        <v>73</v>
      </c>
      <c r="D56">
        <f>_xlfn.STDEV.P(D41:D42)</f>
        <v>0</v>
      </c>
      <c r="E56">
        <f>_xlfn.STDEV.P(E41:E42)</f>
        <v>0.54899911308592719</v>
      </c>
      <c r="G56">
        <f>_xlfn.STDEV.P(G41:G42)</f>
        <v>8.9452710357550511E-3</v>
      </c>
      <c r="I56">
        <f>_xlfn.STDEV.P(I41:I42)</f>
        <v>0</v>
      </c>
      <c r="K56">
        <f>_xlfn.STDEV.P(K41:K42)</f>
        <v>0</v>
      </c>
      <c r="M56">
        <f>_xlfn.STDEV.P(M41:M42)</f>
        <v>4.6538991305249189E-2</v>
      </c>
      <c r="O56">
        <f>_xlfn.STDEV.P(O41:O42)</f>
        <v>1.6485327336345E-3</v>
      </c>
      <c r="Q56">
        <f>_xlfn.STDEV.P(Q41:Q42)</f>
        <v>7.1246917996562681E-3</v>
      </c>
      <c r="S56">
        <f>_xlfn.STDEV.P(S41:S42)</f>
        <v>3.2962805291558766E-3</v>
      </c>
      <c r="U56">
        <f>_xlfn.STDEV.P(U41:U42)</f>
        <v>1.3160808422018201E-3</v>
      </c>
      <c r="W56">
        <f>_xlfn.STDEV.P(W41:W42)</f>
        <v>0</v>
      </c>
      <c r="Y56">
        <f>_xlfn.STDEV.P(Y41:Y42)</f>
        <v>0</v>
      </c>
      <c r="AA56">
        <f>_xlfn.STDEV.P(AA41:AA42)</f>
        <v>0</v>
      </c>
      <c r="AC56">
        <f>_xlfn.STDEV.P(AC41:AC42)</f>
        <v>0</v>
      </c>
      <c r="AE56">
        <f>_xlfn.STDEV.P(AE41:AE42)</f>
        <v>0</v>
      </c>
      <c r="AG56">
        <f>_xlfn.STDEV.P(AG41:AG42)</f>
        <v>0</v>
      </c>
      <c r="AI56">
        <f>_xlfn.STDEV.P(AI41:AI42)</f>
        <v>0.50351623366246556</v>
      </c>
      <c r="AK56">
        <f>_xlfn.STDEV.P(AK41:AK42)</f>
        <v>0.30958046181784316</v>
      </c>
      <c r="AM56">
        <f>_xlfn.STDEV.P(AM41:AM42)</f>
        <v>0.21428598901791751</v>
      </c>
      <c r="AO56">
        <f>_xlfn.STDEV.P(AO41:AO42)</f>
        <v>2.11505546726245E-2</v>
      </c>
      <c r="AQ56">
        <f>_xlfn.STDEV.P(AQ41:AQ42)</f>
        <v>7.5218496681321327E-3</v>
      </c>
      <c r="AS56">
        <f>_xlfn.STDEV.P(AS41:AS42)</f>
        <v>0</v>
      </c>
      <c r="AU56">
        <f>_xlfn.STDEV.P(AU41:AU42)</f>
        <v>0</v>
      </c>
      <c r="AW56">
        <f>_xlfn.STDEV.P(AW41:AW42)</f>
        <v>0</v>
      </c>
      <c r="AY56">
        <f>_xlfn.STDEV.P(AY41:AY42)</f>
        <v>4.370972605757196E-3</v>
      </c>
      <c r="BA56">
        <f>_xlfn.STDEV.P(BA41:BA42)</f>
        <v>2.7448233167444501E-4</v>
      </c>
      <c r="BC56">
        <f>_xlfn.STDEV.P(BC41:BC42)</f>
        <v>0</v>
      </c>
      <c r="BE56">
        <f>_xlfn.STDEV.P(BE41:BE42)</f>
        <v>0</v>
      </c>
      <c r="BG56">
        <f>_xlfn.STDEV.P(BG41:BG42)</f>
        <v>0</v>
      </c>
      <c r="BI56">
        <f>_xlfn.STDEV.P(BI41:BI42)</f>
        <v>1.6331726490082851E-3</v>
      </c>
      <c r="BK56">
        <f>_xlfn.STDEV.P(BK41:BK42)</f>
        <v>1.7854900013981132E-3</v>
      </c>
      <c r="BM56">
        <f>_xlfn.STDEV.P(BM41:BM42)</f>
        <v>0</v>
      </c>
      <c r="BO56">
        <f>_xlfn.STDEV.P(BO41:BO42)</f>
        <v>0</v>
      </c>
      <c r="BQ56">
        <f>_xlfn.STDEV.P(BQ41:BQ42)</f>
        <v>8.187635140630771E-2</v>
      </c>
      <c r="BS56">
        <f>_xlfn.STDEV.P(BS41:BS42)</f>
        <v>0.52844945765789864</v>
      </c>
      <c r="BU56">
        <f>_xlfn.STDEV.P(BU41:BU42)</f>
        <v>0.13632885236629588</v>
      </c>
      <c r="BW56">
        <f>_xlfn.STDEV.P(BW41:BW42)</f>
        <v>0.12443693461664845</v>
      </c>
      <c r="BY56">
        <f>_xlfn.STDEV.P(BY41:BY42)</f>
        <v>3.5965598541462807E-2</v>
      </c>
      <c r="CA56">
        <f t="shared" ref="CA56:CI56" si="52">_xlfn.STDEV.P(CA41:CA42)</f>
        <v>1.6976239355834238E-2</v>
      </c>
      <c r="CB56">
        <f t="shared" si="52"/>
        <v>2.8766666666666665</v>
      </c>
      <c r="CC56">
        <f t="shared" si="52"/>
        <v>0.61786896133157976</v>
      </c>
      <c r="CD56">
        <f t="shared" si="52"/>
        <v>0</v>
      </c>
      <c r="CE56">
        <f t="shared" si="52"/>
        <v>8.0641175878380395E-3</v>
      </c>
      <c r="CF56">
        <f t="shared" si="52"/>
        <v>4.9136666666666668</v>
      </c>
      <c r="CG56">
        <f t="shared" si="52"/>
        <v>1.0560550888389828</v>
      </c>
      <c r="CH56">
        <f t="shared" si="52"/>
        <v>10.575166666666666</v>
      </c>
      <c r="CI56">
        <f t="shared" si="52"/>
        <v>0.9240334339444477</v>
      </c>
    </row>
    <row r="57" spans="2:87" x14ac:dyDescent="0.25">
      <c r="C57">
        <v>101</v>
      </c>
      <c r="D57">
        <f>_xlfn.STDEV.P(D43:D45)</f>
        <v>4.0472234042551474</v>
      </c>
      <c r="E57">
        <f t="shared" ref="E57:BP57" si="53">_xlfn.STDEV.P(E43:E45)</f>
        <v>1.0057914708177027</v>
      </c>
      <c r="G57">
        <f t="shared" si="53"/>
        <v>1.4444017883661011E-2</v>
      </c>
      <c r="I57">
        <f t="shared" si="53"/>
        <v>0</v>
      </c>
      <c r="K57">
        <f t="shared" si="53"/>
        <v>0</v>
      </c>
      <c r="L57">
        <f t="shared" si="53"/>
        <v>4.190202269787032</v>
      </c>
      <c r="M57">
        <f t="shared" si="53"/>
        <v>7.0116605740953741E-2</v>
      </c>
      <c r="O57">
        <f t="shared" si="53"/>
        <v>3.3710196643491489E-3</v>
      </c>
      <c r="P57">
        <f t="shared" si="53"/>
        <v>0.80231056761928543</v>
      </c>
      <c r="Q57">
        <f t="shared" si="53"/>
        <v>1.0847001959325198E-2</v>
      </c>
      <c r="R57">
        <f t="shared" si="53"/>
        <v>0.45590339701235799</v>
      </c>
      <c r="S57">
        <f t="shared" si="53"/>
        <v>5.33877603333826E-3</v>
      </c>
      <c r="T57">
        <f t="shared" si="53"/>
        <v>0.49202027459982156</v>
      </c>
      <c r="U57">
        <f t="shared" si="53"/>
        <v>2.4223403806874618E-3</v>
      </c>
      <c r="V57">
        <f t="shared" si="53"/>
        <v>0.12942264957194399</v>
      </c>
      <c r="W57">
        <f t="shared" si="53"/>
        <v>6.1008114833923895E-4</v>
      </c>
      <c r="X57">
        <f t="shared" si="53"/>
        <v>0.15349104208389486</v>
      </c>
      <c r="Y57">
        <f t="shared" si="53"/>
        <v>4.7670060732211029E-4</v>
      </c>
      <c r="AA57">
        <f t="shared" si="53"/>
        <v>0</v>
      </c>
      <c r="AC57">
        <f t="shared" si="53"/>
        <v>0</v>
      </c>
      <c r="AD57">
        <f t="shared" si="53"/>
        <v>1.1273962135035855</v>
      </c>
      <c r="AE57">
        <f t="shared" si="53"/>
        <v>4.0507433921094377E-3</v>
      </c>
      <c r="AF57">
        <f t="shared" si="53"/>
        <v>1.9557930348228887</v>
      </c>
      <c r="AG57">
        <f t="shared" si="53"/>
        <v>3.6189636506611979E-3</v>
      </c>
      <c r="AH57">
        <f t="shared" si="53"/>
        <v>114.26238917617167</v>
      </c>
      <c r="AI57">
        <f t="shared" si="53"/>
        <v>2.5453934597042718</v>
      </c>
      <c r="AJ57">
        <f t="shared" si="53"/>
        <v>55.491320642661421</v>
      </c>
      <c r="AK57">
        <f t="shared" si="53"/>
        <v>2.5808972243501334</v>
      </c>
      <c r="AL57">
        <f t="shared" si="53"/>
        <v>35.183553958288556</v>
      </c>
      <c r="AM57">
        <f t="shared" si="53"/>
        <v>0.58093854194471994</v>
      </c>
      <c r="AN57">
        <f t="shared" si="53"/>
        <v>0.54804703772172381</v>
      </c>
      <c r="AO57">
        <f t="shared" si="53"/>
        <v>3.8995643420417975E-2</v>
      </c>
      <c r="AP57">
        <f t="shared" si="53"/>
        <v>0.19218284760503529</v>
      </c>
      <c r="AQ57">
        <f t="shared" si="53"/>
        <v>1.5675828201601905E-2</v>
      </c>
      <c r="AS57">
        <f t="shared" si="53"/>
        <v>5.5283112322995834E-3</v>
      </c>
      <c r="AU57">
        <f t="shared" si="53"/>
        <v>0</v>
      </c>
      <c r="AW57">
        <f t="shared" si="53"/>
        <v>0</v>
      </c>
      <c r="AY57">
        <f t="shared" si="53"/>
        <v>8.5198334367176977E-3</v>
      </c>
      <c r="BA57">
        <f t="shared" si="53"/>
        <v>8.0898732896052272E-4</v>
      </c>
      <c r="BC57">
        <f t="shared" si="53"/>
        <v>1.5900766300009999E-3</v>
      </c>
      <c r="BE57">
        <f t="shared" si="53"/>
        <v>3.2376316129024314E-3</v>
      </c>
      <c r="BG57">
        <f t="shared" si="53"/>
        <v>6.6487565119553562E-3</v>
      </c>
      <c r="BI57">
        <f t="shared" si="53"/>
        <v>2.7101529984937824E-3</v>
      </c>
      <c r="BK57">
        <f t="shared" si="53"/>
        <v>5.3649757157301281E-3</v>
      </c>
      <c r="BM57">
        <f t="shared" si="53"/>
        <v>0</v>
      </c>
      <c r="BO57">
        <f t="shared" si="53"/>
        <v>0</v>
      </c>
      <c r="BP57">
        <f t="shared" si="53"/>
        <v>36.947079271123279</v>
      </c>
      <c r="BQ57">
        <f t="shared" ref="BQ57:CI57" si="54">_xlfn.STDEV.P(BQ43:BQ45)</f>
        <v>0.6440925259332807</v>
      </c>
      <c r="BR57">
        <f t="shared" si="54"/>
        <v>164.50301134246979</v>
      </c>
      <c r="BS57">
        <f t="shared" si="54"/>
        <v>5.4422311473482079</v>
      </c>
      <c r="BT57">
        <f t="shared" si="54"/>
        <v>97.913284890379757</v>
      </c>
      <c r="BU57">
        <f t="shared" si="54"/>
        <v>0.31658119842297489</v>
      </c>
      <c r="BV57">
        <f t="shared" si="54"/>
        <v>1.4016744836176078</v>
      </c>
      <c r="BW57">
        <f t="shared" si="54"/>
        <v>0.24331681986517859</v>
      </c>
      <c r="BX57">
        <f t="shared" si="54"/>
        <v>2.96178416365857</v>
      </c>
      <c r="BY57">
        <f t="shared" si="54"/>
        <v>8.1317575988680252E-2</v>
      </c>
      <c r="BZ57">
        <f t="shared" si="54"/>
        <v>1.703965599838241</v>
      </c>
      <c r="CA57">
        <f t="shared" si="54"/>
        <v>4.3936542879538978E-2</v>
      </c>
      <c r="CB57">
        <f t="shared" si="54"/>
        <v>6.574101162802819</v>
      </c>
      <c r="CC57">
        <f t="shared" si="54"/>
        <v>1.0752694199272981</v>
      </c>
      <c r="CD57">
        <f t="shared" si="54"/>
        <v>0.3472679969827267</v>
      </c>
      <c r="CE57">
        <f t="shared" si="54"/>
        <v>7.7698031960775618E-3</v>
      </c>
      <c r="CF57">
        <f t="shared" si="54"/>
        <v>208.25496301640212</v>
      </c>
      <c r="CG57">
        <f t="shared" si="54"/>
        <v>5.7328277033141921</v>
      </c>
      <c r="CH57">
        <f t="shared" si="54"/>
        <v>293.71477974771187</v>
      </c>
      <c r="CI57">
        <f t="shared" si="54"/>
        <v>6.0609816935427192</v>
      </c>
    </row>
    <row r="58" spans="2:87" x14ac:dyDescent="0.25">
      <c r="C58">
        <v>136</v>
      </c>
      <c r="E58">
        <f t="shared" ref="E58:BP58" si="55">_xlfn.STDEV.P(E46:E48)</f>
        <v>1.4211690599000848E-3</v>
      </c>
      <c r="G58">
        <f t="shared" si="55"/>
        <v>0</v>
      </c>
      <c r="I58">
        <f t="shared" si="55"/>
        <v>0</v>
      </c>
      <c r="K58">
        <f t="shared" si="55"/>
        <v>0</v>
      </c>
      <c r="M58">
        <f t="shared" si="55"/>
        <v>5.9576027312980499E-4</v>
      </c>
      <c r="O58">
        <f t="shared" si="55"/>
        <v>7.8472602553267506E-4</v>
      </c>
      <c r="P58">
        <f t="shared" si="55"/>
        <v>0.71730343803875785</v>
      </c>
      <c r="Q58">
        <f t="shared" si="55"/>
        <v>1.586316882908935E-2</v>
      </c>
      <c r="S58">
        <f t="shared" si="55"/>
        <v>8.6903928886307522E-3</v>
      </c>
      <c r="U58">
        <f t="shared" si="55"/>
        <v>7.5218476639794659E-3</v>
      </c>
      <c r="W58">
        <f t="shared" si="55"/>
        <v>3.1567151893469271E-3</v>
      </c>
      <c r="Y58">
        <f t="shared" si="55"/>
        <v>5.1769874898957536E-4</v>
      </c>
      <c r="AA58">
        <f t="shared" si="55"/>
        <v>0</v>
      </c>
      <c r="AC58">
        <f t="shared" si="55"/>
        <v>0</v>
      </c>
      <c r="AE58">
        <f t="shared" si="55"/>
        <v>3.5428555181730207E-3</v>
      </c>
      <c r="AF58">
        <f t="shared" si="55"/>
        <v>1.5025170239991987</v>
      </c>
      <c r="AG58">
        <f t="shared" si="55"/>
        <v>3.7236788100654858E-3</v>
      </c>
      <c r="AH58">
        <f t="shared" si="55"/>
        <v>94.015239111461042</v>
      </c>
      <c r="AI58">
        <f t="shared" si="55"/>
        <v>2.2143068471224758</v>
      </c>
      <c r="AJ58">
        <f t="shared" si="55"/>
        <v>50.535285313614231</v>
      </c>
      <c r="AK58">
        <f t="shared" si="55"/>
        <v>2.4921128063377704</v>
      </c>
      <c r="AL58">
        <f t="shared" si="55"/>
        <v>35.110819267422819</v>
      </c>
      <c r="AM58">
        <f t="shared" si="55"/>
        <v>0.8876828913708702</v>
      </c>
      <c r="AO58">
        <f t="shared" si="55"/>
        <v>7.6322339320917892E-2</v>
      </c>
      <c r="AQ58">
        <f t="shared" si="55"/>
        <v>3.976799010729086E-2</v>
      </c>
      <c r="AS58">
        <f t="shared" si="55"/>
        <v>7.0767808714656882E-3</v>
      </c>
      <c r="AU58">
        <f t="shared" si="55"/>
        <v>0</v>
      </c>
      <c r="AW58">
        <f t="shared" si="55"/>
        <v>0</v>
      </c>
      <c r="AY58">
        <f t="shared" si="55"/>
        <v>0</v>
      </c>
      <c r="BA58">
        <f t="shared" si="55"/>
        <v>0</v>
      </c>
      <c r="BC58">
        <f t="shared" si="55"/>
        <v>0</v>
      </c>
      <c r="BE58">
        <f t="shared" si="55"/>
        <v>2.7560627866748157E-3</v>
      </c>
      <c r="BG58">
        <f t="shared" si="55"/>
        <v>1.0036931874553356E-2</v>
      </c>
      <c r="BI58">
        <f t="shared" si="55"/>
        <v>3.5640445366232052E-3</v>
      </c>
      <c r="BK58">
        <f t="shared" si="55"/>
        <v>0</v>
      </c>
      <c r="BM58">
        <f t="shared" si="55"/>
        <v>0</v>
      </c>
      <c r="BO58">
        <f t="shared" si="55"/>
        <v>0</v>
      </c>
      <c r="BP58">
        <f t="shared" si="55"/>
        <v>29.216615431701701</v>
      </c>
      <c r="BQ58">
        <f t="shared" ref="BQ58:CI58" si="56">_xlfn.STDEV.P(BQ46:BQ48)</f>
        <v>0.40473709402630775</v>
      </c>
      <c r="BR58">
        <f t="shared" si="56"/>
        <v>138.26232001453783</v>
      </c>
      <c r="BS58">
        <f t="shared" si="56"/>
        <v>4.1700820588944927</v>
      </c>
      <c r="BT58">
        <f t="shared" si="56"/>
        <v>102.14921547531446</v>
      </c>
      <c r="BU58">
        <f t="shared" si="56"/>
        <v>0.50381023231518562</v>
      </c>
      <c r="BV58">
        <f t="shared" si="56"/>
        <v>6.9588442704408129</v>
      </c>
      <c r="BW58">
        <f t="shared" si="56"/>
        <v>0.13707277529596848</v>
      </c>
      <c r="BY58">
        <f t="shared" si="56"/>
        <v>1.7118733737373465E-2</v>
      </c>
      <c r="CA58">
        <f t="shared" si="56"/>
        <v>2.0394544025415574E-3</v>
      </c>
      <c r="CB58">
        <f t="shared" si="56"/>
        <v>2.4036312241540707</v>
      </c>
      <c r="CC58">
        <f t="shared" si="56"/>
        <v>3.3683836371165947E-2</v>
      </c>
      <c r="CD58">
        <f t="shared" si="56"/>
        <v>0</v>
      </c>
      <c r="CE58">
        <f t="shared" si="56"/>
        <v>1.5029645955564851E-2</v>
      </c>
      <c r="CF58">
        <f t="shared" si="56"/>
        <v>183.40863070736515</v>
      </c>
      <c r="CG58">
        <f t="shared" si="56"/>
        <v>5.592668746488858</v>
      </c>
      <c r="CH58">
        <f t="shared" si="56"/>
        <v>278.12489399521917</v>
      </c>
      <c r="CI58">
        <f t="shared" si="56"/>
        <v>5.0616477732587244</v>
      </c>
    </row>
    <row r="59" spans="2:87" x14ac:dyDescent="0.25">
      <c r="B59" t="s">
        <v>184</v>
      </c>
      <c r="C59">
        <v>1</v>
      </c>
      <c r="E59">
        <f t="shared" ref="E59:E67" si="57">E50/E41*100</f>
        <v>2106.9319706965452</v>
      </c>
      <c r="G59" t="e">
        <f>G50/G41*100</f>
        <v>#DIV/0!</v>
      </c>
      <c r="M59">
        <f t="shared" ref="M59:M66" si="58">M50/M41*100</f>
        <v>1297.9144107434086</v>
      </c>
      <c r="O59">
        <f t="shared" ref="O59:O66" si="59">O50/O41*100</f>
        <v>113.09503037697087</v>
      </c>
      <c r="Q59">
        <f t="shared" ref="Q59:Q67" si="60">Q50/Q41*100</f>
        <v>204.74125355184361</v>
      </c>
      <c r="S59">
        <f t="shared" ref="S59:S67" si="61">S50/S41*100</f>
        <v>1629.7214472498013</v>
      </c>
      <c r="BK59" t="e">
        <f>BK50/BK41*100</f>
        <v>#DIV/0!</v>
      </c>
      <c r="CC59">
        <f t="shared" ref="CC59:CC67" si="62">CC50/CC41*100</f>
        <v>433.13024465874969</v>
      </c>
    </row>
    <row r="60" spans="2:87" x14ac:dyDescent="0.25">
      <c r="C60">
        <v>5</v>
      </c>
      <c r="D60">
        <f>D51/D42*100</f>
        <v>23.943049682510651</v>
      </c>
      <c r="E60">
        <f t="shared" si="57"/>
        <v>13.969594821848464</v>
      </c>
      <c r="G60">
        <f>G51/G42*100</f>
        <v>22.545810613381271</v>
      </c>
      <c r="L60">
        <f>L51/L42*100</f>
        <v>24.11347517730497</v>
      </c>
      <c r="M60">
        <f t="shared" si="58"/>
        <v>8.6887964949985577</v>
      </c>
      <c r="O60">
        <f t="shared" si="59"/>
        <v>21.819015904687191</v>
      </c>
      <c r="Q60">
        <f t="shared" si="60"/>
        <v>87.292752164757843</v>
      </c>
      <c r="S60">
        <f t="shared" si="61"/>
        <v>159.3396672107373</v>
      </c>
      <c r="U60">
        <f t="shared" ref="U60:U66" si="63">U51/U42*100</f>
        <v>254.40177683662344</v>
      </c>
      <c r="AD60">
        <f>AD51/AD42*100</f>
        <v>161.48098795084803</v>
      </c>
      <c r="AH60">
        <f t="shared" ref="AH60:AM64" si="64">AH51/AH42*100</f>
        <v>746.62701304476172</v>
      </c>
      <c r="AI60">
        <f t="shared" si="64"/>
        <v>317.60439203491171</v>
      </c>
      <c r="AJ60">
        <f t="shared" si="64"/>
        <v>979.25514288843158</v>
      </c>
      <c r="AK60">
        <f t="shared" si="64"/>
        <v>422.35819564853847</v>
      </c>
      <c r="AL60">
        <f t="shared" si="64"/>
        <v>1058.8787205209242</v>
      </c>
      <c r="AM60">
        <f t="shared" si="64"/>
        <v>184.73076324320732</v>
      </c>
      <c r="AO60">
        <f t="shared" ref="AO60:AO66" si="65">AO51/AO42*100</f>
        <v>266.5741586611893</v>
      </c>
      <c r="AQ60">
        <f t="shared" ref="AQ60:AQ66" si="66">AQ51/AQ42*100</f>
        <v>332.61659353216049</v>
      </c>
      <c r="AY60">
        <f>AY51/AY42*100</f>
        <v>20.090672889848292</v>
      </c>
      <c r="BA60">
        <f>BA51/BA42*100</f>
        <v>0</v>
      </c>
      <c r="BI60">
        <f t="shared" ref="BI60:BI65" si="67">BI51/BI42*100</f>
        <v>162.39215175980138</v>
      </c>
      <c r="BK60">
        <f>BK51/BK42*100</f>
        <v>50.438132326667592</v>
      </c>
      <c r="BP60">
        <f t="shared" ref="BP60:CB60" si="68">BP51/BP42*100</f>
        <v>883.80203550337592</v>
      </c>
      <c r="BQ60">
        <f t="shared" si="68"/>
        <v>411.58794186196957</v>
      </c>
      <c r="BR60">
        <f t="shared" si="68"/>
        <v>770.16051662855614</v>
      </c>
      <c r="BS60">
        <f t="shared" si="68"/>
        <v>539.57853155653845</v>
      </c>
      <c r="BT60">
        <f t="shared" si="68"/>
        <v>945.7287166738879</v>
      </c>
      <c r="BU60">
        <f t="shared" si="68"/>
        <v>218.51116326265782</v>
      </c>
      <c r="BV60">
        <f t="shared" si="68"/>
        <v>232.76892616529551</v>
      </c>
      <c r="BW60">
        <f t="shared" si="68"/>
        <v>94.336623644789114</v>
      </c>
      <c r="BX60">
        <f t="shared" si="68"/>
        <v>167.44346749855384</v>
      </c>
      <c r="BY60">
        <f t="shared" si="68"/>
        <v>51.8275605752629</v>
      </c>
      <c r="BZ60">
        <f t="shared" si="68"/>
        <v>93.221265605030183</v>
      </c>
      <c r="CA60">
        <f t="shared" si="68"/>
        <v>32.920376967009176</v>
      </c>
      <c r="CB60">
        <f t="shared" si="68"/>
        <v>51.428562836900724</v>
      </c>
      <c r="CC60">
        <f t="shared" si="62"/>
        <v>13.619012649942613</v>
      </c>
    </row>
    <row r="61" spans="2:87" x14ac:dyDescent="0.25">
      <c r="C61">
        <v>17</v>
      </c>
      <c r="D61">
        <f>D52/D43*100</f>
        <v>0</v>
      </c>
      <c r="E61">
        <f t="shared" si="57"/>
        <v>2.9809406979736081E-2</v>
      </c>
      <c r="G61">
        <f>G52/G43*100</f>
        <v>0</v>
      </c>
      <c r="M61">
        <f t="shared" si="58"/>
        <v>0.23991848525360981</v>
      </c>
      <c r="O61">
        <f t="shared" si="59"/>
        <v>6.8701691654488197</v>
      </c>
      <c r="P61">
        <f>P52/P43*100</f>
        <v>28.329556305806751</v>
      </c>
      <c r="Q61">
        <f t="shared" si="60"/>
        <v>26.769698884437261</v>
      </c>
      <c r="R61">
        <f>R52/R43*100</f>
        <v>31.39488028365416</v>
      </c>
      <c r="S61">
        <f t="shared" si="61"/>
        <v>26.29528414898164</v>
      </c>
      <c r="T61">
        <f>T52/T43*100</f>
        <v>29.503745619692644</v>
      </c>
      <c r="U61">
        <f t="shared" si="63"/>
        <v>17.336064468084082</v>
      </c>
      <c r="V61">
        <f>V52/V43*100</f>
        <v>22.134495832511345</v>
      </c>
      <c r="W61">
        <f>W52/W43*100</f>
        <v>18.988743033136664</v>
      </c>
      <c r="Y61">
        <f>Y52/Y43*100</f>
        <v>59.702503781151172</v>
      </c>
      <c r="AD61">
        <f>AD52/AD43*100</f>
        <v>35.346238455663553</v>
      </c>
      <c r="AE61">
        <f t="shared" ref="AE61:AG63" si="69">AE52/AE43*100</f>
        <v>18.619790557702647</v>
      </c>
      <c r="AF61">
        <f t="shared" si="69"/>
        <v>80.769414791578214</v>
      </c>
      <c r="AG61">
        <f t="shared" si="69"/>
        <v>27.582495924285936</v>
      </c>
      <c r="AH61">
        <f t="shared" si="64"/>
        <v>30.229750178311221</v>
      </c>
      <c r="AI61">
        <f t="shared" si="64"/>
        <v>31.13403054795597</v>
      </c>
      <c r="AJ61">
        <f t="shared" si="64"/>
        <v>66.473671959313677</v>
      </c>
      <c r="AK61">
        <f t="shared" si="64"/>
        <v>41.874138805979968</v>
      </c>
      <c r="AL61">
        <f t="shared" si="64"/>
        <v>55.494000932016718</v>
      </c>
      <c r="AM61">
        <f t="shared" si="64"/>
        <v>23.789863963942629</v>
      </c>
      <c r="AN61">
        <f>AN52/AN43*100</f>
        <v>33.13567148865458</v>
      </c>
      <c r="AO61">
        <f t="shared" si="65"/>
        <v>21.752209834841658</v>
      </c>
      <c r="AP61">
        <f>AP52/AP43*100</f>
        <v>37.546434659201097</v>
      </c>
      <c r="AQ61">
        <f t="shared" si="66"/>
        <v>29.786729925826965</v>
      </c>
      <c r="AS61">
        <f>AS52/AS43*100</f>
        <v>33.008997300964424</v>
      </c>
      <c r="AY61">
        <f>AY52/AY43*100</f>
        <v>0</v>
      </c>
      <c r="BA61">
        <f>BA52/BA43*100</f>
        <v>0</v>
      </c>
      <c r="BE61">
        <f t="shared" ref="BE61:BE66" si="70">BE52/BE43*100</f>
        <v>37.123342355438282</v>
      </c>
      <c r="BG61">
        <f t="shared" ref="BG61:BG66" si="71">BG52/BG43*100</f>
        <v>22.285140342305965</v>
      </c>
      <c r="BI61">
        <f t="shared" si="67"/>
        <v>9.6036812214140657</v>
      </c>
      <c r="BK61">
        <f>BK52/BK43*100</f>
        <v>0</v>
      </c>
      <c r="BP61">
        <f t="shared" ref="BP61:CB61" si="72">BP52/BP43*100</f>
        <v>49.374544765624954</v>
      </c>
      <c r="BQ61">
        <f t="shared" si="72"/>
        <v>46.790345467151631</v>
      </c>
      <c r="BR61">
        <f t="shared" si="72"/>
        <v>43.449461921526421</v>
      </c>
      <c r="BS61">
        <f t="shared" si="72"/>
        <v>41.165120988467073</v>
      </c>
      <c r="BT61">
        <f t="shared" si="72"/>
        <v>48.290776239267274</v>
      </c>
      <c r="BU61">
        <f t="shared" si="72"/>
        <v>15.569970485392441</v>
      </c>
      <c r="BV61">
        <f t="shared" si="72"/>
        <v>17.203868516882576</v>
      </c>
      <c r="BW61">
        <f t="shared" si="72"/>
        <v>7.4610014461500214</v>
      </c>
      <c r="BX61">
        <f t="shared" si="72"/>
        <v>10.336796849178409</v>
      </c>
      <c r="BY61">
        <f t="shared" si="72"/>
        <v>4.9366433187894563</v>
      </c>
      <c r="BZ61">
        <f t="shared" si="72"/>
        <v>5.0697081756426394</v>
      </c>
      <c r="CA61">
        <f t="shared" si="72"/>
        <v>4.4242510006826352</v>
      </c>
      <c r="CB61">
        <f t="shared" si="72"/>
        <v>4.0869135002762347</v>
      </c>
      <c r="CC61">
        <f t="shared" si="62"/>
        <v>1.0322173166725472</v>
      </c>
    </row>
    <row r="62" spans="2:87" x14ac:dyDescent="0.25">
      <c r="C62">
        <v>38</v>
      </c>
      <c r="D62">
        <f>D53/D44*100</f>
        <v>0</v>
      </c>
      <c r="E62">
        <f t="shared" si="57"/>
        <v>5.9187781823085012E-2</v>
      </c>
      <c r="G62">
        <f>G53/G44*100</f>
        <v>0</v>
      </c>
      <c r="M62">
        <f t="shared" si="58"/>
        <v>1.9051223350501012</v>
      </c>
      <c r="O62">
        <f t="shared" si="59"/>
        <v>8.1441862314497477</v>
      </c>
      <c r="P62">
        <f>P53/P44*100</f>
        <v>8.3996180006314489</v>
      </c>
      <c r="Q62">
        <f t="shared" si="60"/>
        <v>14.843620282182645</v>
      </c>
      <c r="R62">
        <f>R53/R44*100</f>
        <v>12.082683235911215</v>
      </c>
      <c r="S62">
        <f t="shared" si="61"/>
        <v>8.250995354024294</v>
      </c>
      <c r="T62">
        <f>T53/T44*100</f>
        <v>9.7995582343976668</v>
      </c>
      <c r="U62">
        <f t="shared" si="63"/>
        <v>10.12150450993401</v>
      </c>
      <c r="W62">
        <f>W53/W44*100</f>
        <v>5.066813619328622</v>
      </c>
      <c r="Y62">
        <f>Y53/Y44*100</f>
        <v>0</v>
      </c>
      <c r="AD62">
        <f>AD53/AD44*100</f>
        <v>0</v>
      </c>
      <c r="AE62">
        <f t="shared" si="69"/>
        <v>0</v>
      </c>
      <c r="AF62">
        <f t="shared" si="69"/>
        <v>12.383726992100415</v>
      </c>
      <c r="AG62">
        <f t="shared" si="69"/>
        <v>18.843346967991842</v>
      </c>
      <c r="AH62">
        <f t="shared" si="64"/>
        <v>9.5729765398977396</v>
      </c>
      <c r="AI62">
        <f t="shared" si="64"/>
        <v>9.0886638730333456</v>
      </c>
      <c r="AJ62">
        <f t="shared" si="64"/>
        <v>10.484533328459287</v>
      </c>
      <c r="AK62">
        <f t="shared" si="64"/>
        <v>10.304816770021695</v>
      </c>
      <c r="AL62">
        <f t="shared" si="64"/>
        <v>18.507859278172319</v>
      </c>
      <c r="AM62">
        <f t="shared" si="64"/>
        <v>13.949870271606787</v>
      </c>
      <c r="AN62">
        <f>AN53/AN44*100</f>
        <v>9.3843283582089558</v>
      </c>
      <c r="AO62">
        <f t="shared" si="65"/>
        <v>12.926201902259404</v>
      </c>
      <c r="AP62">
        <f>AP53/AP44*100</f>
        <v>0</v>
      </c>
      <c r="AQ62">
        <f t="shared" si="66"/>
        <v>7.8827137755680958</v>
      </c>
      <c r="AS62">
        <f>AS53/AS44*100</f>
        <v>4.5532207818865471</v>
      </c>
      <c r="AY62">
        <f>AY53/AY44*100</f>
        <v>0</v>
      </c>
      <c r="BC62">
        <f>BC53/BC44*100</f>
        <v>0</v>
      </c>
      <c r="BE62">
        <f t="shared" si="70"/>
        <v>17.864789294771779</v>
      </c>
      <c r="BG62">
        <f t="shared" si="71"/>
        <v>8.0446016796621258</v>
      </c>
      <c r="BI62">
        <f t="shared" si="67"/>
        <v>11.276943061742866</v>
      </c>
      <c r="BK62">
        <f>BK53/BK44*100</f>
        <v>0</v>
      </c>
      <c r="BP62">
        <f t="shared" ref="BP62:BY62" si="73">BP53/BP44*100</f>
        <v>10.828663654242861</v>
      </c>
      <c r="BQ62">
        <f t="shared" si="73"/>
        <v>16.965658589921205</v>
      </c>
      <c r="BR62">
        <f t="shared" si="73"/>
        <v>11.773834962731712</v>
      </c>
      <c r="BS62">
        <f t="shared" si="73"/>
        <v>14.165494405875101</v>
      </c>
      <c r="BT62">
        <f t="shared" si="73"/>
        <v>11.549991662841373</v>
      </c>
      <c r="BU62">
        <f t="shared" si="73"/>
        <v>8.8771889505790167</v>
      </c>
      <c r="BV62">
        <f t="shared" si="73"/>
        <v>4.5084281230185521</v>
      </c>
      <c r="BW62">
        <f t="shared" si="73"/>
        <v>4.0017103311262545</v>
      </c>
      <c r="BX62">
        <f t="shared" si="73"/>
        <v>2.2486023276109672</v>
      </c>
      <c r="BY62">
        <f t="shared" si="73"/>
        <v>0</v>
      </c>
      <c r="CA62">
        <f t="shared" ref="CA62:CB64" si="74">CA53/CA44*100</f>
        <v>0</v>
      </c>
      <c r="CB62">
        <f t="shared" si="74"/>
        <v>4.2308446895748189</v>
      </c>
      <c r="CC62">
        <f t="shared" si="62"/>
        <v>1.9012072664650492</v>
      </c>
    </row>
    <row r="63" spans="2:87" x14ac:dyDescent="0.25">
      <c r="C63">
        <v>57</v>
      </c>
      <c r="D63">
        <f>D54/D45*100</f>
        <v>0</v>
      </c>
      <c r="E63">
        <f t="shared" si="57"/>
        <v>0.46346926740595817</v>
      </c>
      <c r="G63">
        <f>G54/G45*100</f>
        <v>0</v>
      </c>
      <c r="M63">
        <f t="shared" si="58"/>
        <v>6.1497937810413852</v>
      </c>
      <c r="O63">
        <f t="shared" si="59"/>
        <v>27.473906359065221</v>
      </c>
      <c r="P63">
        <f>P54/P45*100</f>
        <v>3.1327408657930684</v>
      </c>
      <c r="Q63">
        <f t="shared" si="60"/>
        <v>10.245103978520181</v>
      </c>
      <c r="S63">
        <f t="shared" si="61"/>
        <v>11.305685536067115</v>
      </c>
      <c r="U63">
        <f t="shared" si="63"/>
        <v>12.451619149375684</v>
      </c>
      <c r="W63">
        <f>W54/W45*100</f>
        <v>0</v>
      </c>
      <c r="Y63">
        <f>Y54/Y45*100</f>
        <v>0</v>
      </c>
      <c r="AE63">
        <f t="shared" si="69"/>
        <v>0</v>
      </c>
      <c r="AF63">
        <f t="shared" si="69"/>
        <v>0</v>
      </c>
      <c r="AG63">
        <f t="shared" si="69"/>
        <v>17.809752883825038</v>
      </c>
      <c r="AH63">
        <f t="shared" si="64"/>
        <v>1.2851509729248465</v>
      </c>
      <c r="AI63">
        <f t="shared" si="64"/>
        <v>8.4248942465053638</v>
      </c>
      <c r="AJ63">
        <f t="shared" si="64"/>
        <v>1.3288959785019998</v>
      </c>
      <c r="AK63">
        <f t="shared" si="64"/>
        <v>7.3331216514941993</v>
      </c>
      <c r="AL63">
        <f t="shared" si="64"/>
        <v>2.6378957709809314</v>
      </c>
      <c r="AM63">
        <f t="shared" si="64"/>
        <v>5.2940217052305254</v>
      </c>
      <c r="AO63">
        <f t="shared" si="65"/>
        <v>3.2240539093649474</v>
      </c>
      <c r="AQ63">
        <f t="shared" si="66"/>
        <v>0.74082827913655536</v>
      </c>
      <c r="AS63">
        <f>AS54/AS45*100</f>
        <v>0</v>
      </c>
      <c r="AY63">
        <f>AY54/AY45*100</f>
        <v>0</v>
      </c>
      <c r="BE63">
        <f t="shared" si="70"/>
        <v>12.274100937183606</v>
      </c>
      <c r="BG63">
        <f t="shared" si="71"/>
        <v>6.607354431968913</v>
      </c>
      <c r="BI63">
        <f t="shared" si="67"/>
        <v>0</v>
      </c>
      <c r="BK63">
        <f>BK54/BK45*100</f>
        <v>0</v>
      </c>
      <c r="BP63">
        <f t="shared" ref="BP63:BW64" si="75">BP54/BP45*100</f>
        <v>2.5548534858305856</v>
      </c>
      <c r="BQ63">
        <f t="shared" si="75"/>
        <v>8.4962392797082309</v>
      </c>
      <c r="BR63">
        <f t="shared" si="75"/>
        <v>0.690342691286705</v>
      </c>
      <c r="BS63">
        <f t="shared" si="75"/>
        <v>6.4357219217844888</v>
      </c>
      <c r="BT63">
        <f t="shared" si="75"/>
        <v>0.98954128064762925</v>
      </c>
      <c r="BU63">
        <f t="shared" si="75"/>
        <v>1.8072707436918418</v>
      </c>
      <c r="BV63">
        <f t="shared" si="75"/>
        <v>0.84713461282232494</v>
      </c>
      <c r="BW63">
        <f t="shared" si="75"/>
        <v>0</v>
      </c>
      <c r="BY63">
        <f>BY54/BY45*100</f>
        <v>0</v>
      </c>
      <c r="CA63">
        <f t="shared" si="74"/>
        <v>0</v>
      </c>
      <c r="CB63">
        <f t="shared" si="74"/>
        <v>0.76139446574512382</v>
      </c>
      <c r="CC63">
        <f t="shared" si="62"/>
        <v>2.5839198956078024</v>
      </c>
    </row>
    <row r="64" spans="2:87" x14ac:dyDescent="0.25">
      <c r="C64">
        <v>61</v>
      </c>
      <c r="E64">
        <f t="shared" si="57"/>
        <v>32.011448902081483</v>
      </c>
      <c r="M64">
        <f t="shared" si="58"/>
        <v>0</v>
      </c>
      <c r="O64">
        <f t="shared" si="59"/>
        <v>0</v>
      </c>
      <c r="Q64">
        <f t="shared" si="60"/>
        <v>7.9124734983360812</v>
      </c>
      <c r="S64">
        <f t="shared" si="61"/>
        <v>4.0928686316107949</v>
      </c>
      <c r="U64">
        <f t="shared" si="63"/>
        <v>0</v>
      </c>
      <c r="W64">
        <f>W55/W46*100</f>
        <v>0</v>
      </c>
      <c r="Y64">
        <f>Y55/Y46*100</f>
        <v>0</v>
      </c>
      <c r="AE64">
        <f>AE55/AE46*100</f>
        <v>0</v>
      </c>
      <c r="AG64">
        <f>AG55/AG46*100</f>
        <v>0</v>
      </c>
      <c r="AH64">
        <f t="shared" si="64"/>
        <v>2.3535069783721649</v>
      </c>
      <c r="AI64">
        <f t="shared" si="64"/>
        <v>2.9462185446230102</v>
      </c>
      <c r="AJ64">
        <f t="shared" si="64"/>
        <v>0.80784618170238776</v>
      </c>
      <c r="AK64">
        <f t="shared" si="64"/>
        <v>0.96856419541169314</v>
      </c>
      <c r="AL64">
        <f t="shared" si="64"/>
        <v>0.45282014898900319</v>
      </c>
      <c r="AM64">
        <f t="shared" si="64"/>
        <v>0.85753201108256982</v>
      </c>
      <c r="AO64">
        <f t="shared" si="65"/>
        <v>0</v>
      </c>
      <c r="AQ64">
        <f t="shared" si="66"/>
        <v>0</v>
      </c>
      <c r="AS64">
        <f>AS55/AS46*100</f>
        <v>0</v>
      </c>
      <c r="BE64">
        <f t="shared" si="70"/>
        <v>0</v>
      </c>
      <c r="BG64">
        <f t="shared" si="71"/>
        <v>0</v>
      </c>
      <c r="BI64">
        <f t="shared" si="67"/>
        <v>0</v>
      </c>
      <c r="BP64">
        <f t="shared" si="75"/>
        <v>2.6476507402232583</v>
      </c>
      <c r="BQ64">
        <f t="shared" si="75"/>
        <v>3.3875912377780857</v>
      </c>
      <c r="BR64">
        <f t="shared" si="75"/>
        <v>2.4965637847900877</v>
      </c>
      <c r="BS64">
        <f t="shared" si="75"/>
        <v>1.7538350708830797</v>
      </c>
      <c r="BT64">
        <f t="shared" si="75"/>
        <v>0.60524577964087611</v>
      </c>
      <c r="BU64">
        <f t="shared" si="75"/>
        <v>0.26437746640922577</v>
      </c>
      <c r="BV64">
        <f t="shared" si="75"/>
        <v>0</v>
      </c>
      <c r="BW64">
        <f t="shared" si="75"/>
        <v>0</v>
      </c>
      <c r="BY64">
        <f>BY55/BY46*100</f>
        <v>0</v>
      </c>
      <c r="CA64">
        <f t="shared" si="74"/>
        <v>0</v>
      </c>
      <c r="CB64">
        <f t="shared" si="74"/>
        <v>0</v>
      </c>
      <c r="CC64">
        <f t="shared" si="62"/>
        <v>6.3425631640021987</v>
      </c>
    </row>
    <row r="65" spans="3:81" x14ac:dyDescent="0.25">
      <c r="C65">
        <v>73</v>
      </c>
      <c r="E65">
        <f t="shared" si="57"/>
        <v>6670.0784481717137</v>
      </c>
      <c r="M65">
        <f t="shared" si="58"/>
        <v>2247.1144843515713</v>
      </c>
      <c r="O65">
        <f t="shared" si="59"/>
        <v>98.681759455792928</v>
      </c>
      <c r="Q65">
        <f t="shared" si="60"/>
        <v>8.3706268923306606</v>
      </c>
      <c r="S65">
        <f t="shared" si="61"/>
        <v>9.313599675380404</v>
      </c>
      <c r="U65">
        <f t="shared" si="63"/>
        <v>7.1847682144943912</v>
      </c>
      <c r="W65">
        <f>W56/W47*100</f>
        <v>0</v>
      </c>
      <c r="AG65">
        <f>AG56/AG47*100</f>
        <v>0</v>
      </c>
      <c r="AI65">
        <f>AI56/AI47*100</f>
        <v>4.1565414493095858</v>
      </c>
      <c r="AK65">
        <f>AK56/AK47*100</f>
        <v>3.7581042953488382</v>
      </c>
      <c r="AM65">
        <f>AM56/AM47*100</f>
        <v>11.022689511065</v>
      </c>
      <c r="AO65">
        <f t="shared" si="65"/>
        <v>18.198601218054918</v>
      </c>
      <c r="AQ65">
        <f t="shared" si="66"/>
        <v>19.792402931107205</v>
      </c>
      <c r="AS65">
        <f>AS56/AS47*100</f>
        <v>0</v>
      </c>
      <c r="BE65">
        <f t="shared" si="70"/>
        <v>0</v>
      </c>
      <c r="BG65">
        <f t="shared" si="71"/>
        <v>0</v>
      </c>
      <c r="BI65">
        <f t="shared" si="67"/>
        <v>57.174832663074717</v>
      </c>
      <c r="BQ65">
        <f>BQ56/BQ47*100</f>
        <v>4.1737591703044554</v>
      </c>
      <c r="BS65">
        <f>BS56/BS47*100</f>
        <v>3.230953503461806</v>
      </c>
      <c r="BU65">
        <f>BU56/BU47*100</f>
        <v>14.630368657108173</v>
      </c>
      <c r="BW65">
        <f>BW56/BW47*100</f>
        <v>300.05357229274654</v>
      </c>
      <c r="CB65">
        <f>CB56/CB47*100</f>
        <v>83.004712897951322</v>
      </c>
      <c r="CC65">
        <f t="shared" si="62"/>
        <v>397.86424703189584</v>
      </c>
    </row>
    <row r="66" spans="3:81" x14ac:dyDescent="0.25">
      <c r="C66">
        <v>101</v>
      </c>
      <c r="E66">
        <f t="shared" si="57"/>
        <v>8592.9038080068021</v>
      </c>
      <c r="M66">
        <f t="shared" si="58"/>
        <v>8593.7938181460268</v>
      </c>
      <c r="O66">
        <f t="shared" si="59"/>
        <v>485.46987020969539</v>
      </c>
      <c r="P66">
        <f>P57/P48*100</f>
        <v>111.48363607493546</v>
      </c>
      <c r="Q66">
        <f t="shared" si="60"/>
        <v>23.343972105502576</v>
      </c>
      <c r="S66">
        <f t="shared" si="61"/>
        <v>33.178616496601038</v>
      </c>
      <c r="U66">
        <f t="shared" si="63"/>
        <v>48.026687951767236</v>
      </c>
      <c r="AF66">
        <f>AF57/AF48*100</f>
        <v>228.74772337109809</v>
      </c>
      <c r="AG66">
        <f>AG57/AG48*100</f>
        <v>108.4794300140795</v>
      </c>
      <c r="AH66">
        <f>AH57/AH48*100</f>
        <v>118.94072433328068</v>
      </c>
      <c r="AI66">
        <f>AI57/AI48*100</f>
        <v>36.970546428260079</v>
      </c>
      <c r="AJ66">
        <f>AJ57/AJ48*100</f>
        <v>227.73455804101812</v>
      </c>
      <c r="AK66">
        <f>AK57/AK48*100</f>
        <v>91.111481923251176</v>
      </c>
      <c r="AL66">
        <f>AL57/AL48*100</f>
        <v>427.33061487799876</v>
      </c>
      <c r="AM66">
        <f>AM57/AM48*100</f>
        <v>115.81247223929043</v>
      </c>
      <c r="AO66">
        <f t="shared" si="65"/>
        <v>237.38035018384468</v>
      </c>
      <c r="AQ66">
        <f t="shared" si="66"/>
        <v>282.77767943405411</v>
      </c>
      <c r="BE66">
        <f t="shared" si="70"/>
        <v>30.523436491833579</v>
      </c>
      <c r="BG66">
        <f t="shared" si="71"/>
        <v>58.262952027034068</v>
      </c>
      <c r="BP66">
        <f>BP57/BP48*100</f>
        <v>120.34879241408234</v>
      </c>
      <c r="BQ66">
        <f>BQ57/BQ48*100</f>
        <v>65.031824553185885</v>
      </c>
      <c r="BR66">
        <f>BR57/BR48*100</f>
        <v>139.40933164616084</v>
      </c>
      <c r="BS66">
        <f>BS57/BS48*100</f>
        <v>81.852172127005701</v>
      </c>
      <c r="BT66">
        <f>BT57/BT48*100</f>
        <v>347.21023010772967</v>
      </c>
      <c r="BU66">
        <f>BU57/BU48*100</f>
        <v>158.16865140807042</v>
      </c>
      <c r="BV66">
        <f>BV57/BV48*100</f>
        <v>110.36806957618961</v>
      </c>
      <c r="CB66">
        <f>CB57/CB48*100</f>
        <v>913.49251914814533</v>
      </c>
      <c r="CC66">
        <f t="shared" si="62"/>
        <v>1330.5170499719206</v>
      </c>
    </row>
    <row r="67" spans="3:81" x14ac:dyDescent="0.25">
      <c r="C67">
        <v>136</v>
      </c>
      <c r="E67">
        <f t="shared" si="57"/>
        <v>15.37603517881635</v>
      </c>
      <c r="Q67">
        <f t="shared" si="60"/>
        <v>205.32546224704674</v>
      </c>
      <c r="S67">
        <f t="shared" si="61"/>
        <v>895.91035680665709</v>
      </c>
      <c r="AH67">
        <f>AH58/AH49*100</f>
        <v>207.99831661827665</v>
      </c>
      <c r="AI67">
        <f>AI58/AI49*100</f>
        <v>129.82291461426436</v>
      </c>
      <c r="AJ67">
        <f>AJ58/AJ49*100</f>
        <v>911.09288425987188</v>
      </c>
      <c r="AK67">
        <f>AK58/AK49*100</f>
        <v>909.25979111133267</v>
      </c>
      <c r="AL67">
        <f>AL58/AL49*100</f>
        <v>3267.6425562980753</v>
      </c>
      <c r="AM67">
        <f>AM58/AM49*100</f>
        <v>2572.2521583897487</v>
      </c>
      <c r="BP67">
        <f>BP58/BP49*100</f>
        <v>202.89316272015071</v>
      </c>
      <c r="BQ67">
        <f>BQ58/BQ49*100</f>
        <v>148.99250762711466</v>
      </c>
      <c r="BR67">
        <f>BR58/BR49*100</f>
        <v>261.03647579837224</v>
      </c>
      <c r="BS67">
        <f>BS58/BS49*100</f>
        <v>400.01368286313658</v>
      </c>
      <c r="BT67">
        <f>BT58/BT49*100</f>
        <v>1444.1453648724948</v>
      </c>
      <c r="BU67">
        <f>BU58/BU49*100</f>
        <v>1904.1071316086723</v>
      </c>
      <c r="BV67">
        <f>BV58/BV49*100</f>
        <v>849.67573509655847</v>
      </c>
      <c r="CB67" t="e">
        <f>CB58/CB49*100</f>
        <v>#DIV/0!</v>
      </c>
      <c r="CC67">
        <f t="shared" si="62"/>
        <v>187.77266588968439</v>
      </c>
    </row>
    <row r="68" spans="3:81" ht="17.25" x14ac:dyDescent="0.25">
      <c r="D68" t="s">
        <v>207</v>
      </c>
      <c r="G68" t="s">
        <v>220</v>
      </c>
      <c r="H68" t="s">
        <v>219</v>
      </c>
      <c r="I68" t="s">
        <v>114</v>
      </c>
      <c r="J68" t="s">
        <v>221</v>
      </c>
    </row>
    <row r="69" spans="3:81" x14ac:dyDescent="0.25">
      <c r="C69" t="s">
        <v>78</v>
      </c>
      <c r="D69">
        <v>0.71819999999999995</v>
      </c>
      <c r="F69">
        <v>4</v>
      </c>
      <c r="G69">
        <v>0.71819999999999995</v>
      </c>
    </row>
    <row r="70" spans="3:81" x14ac:dyDescent="0.25">
      <c r="C70" t="s">
        <v>167</v>
      </c>
      <c r="D70">
        <v>0.77710000000000001</v>
      </c>
      <c r="F70">
        <v>5</v>
      </c>
    </row>
    <row r="71" spans="3:81" x14ac:dyDescent="0.25">
      <c r="C71" t="s">
        <v>200</v>
      </c>
      <c r="D71">
        <v>0.35210000000000002</v>
      </c>
      <c r="F71">
        <v>6</v>
      </c>
      <c r="H71">
        <v>0.86699999999999999</v>
      </c>
    </row>
    <row r="72" spans="3:81" x14ac:dyDescent="0.25">
      <c r="C72" t="s">
        <v>201</v>
      </c>
      <c r="D72">
        <v>0.23630000000000001</v>
      </c>
      <c r="F72">
        <v>7</v>
      </c>
      <c r="H72">
        <v>0.60929999999999995</v>
      </c>
    </row>
    <row r="73" spans="3:81" x14ac:dyDescent="0.25">
      <c r="C73" t="s">
        <v>202</v>
      </c>
      <c r="D73">
        <v>0.50519999999999998</v>
      </c>
      <c r="F73">
        <v>8</v>
      </c>
      <c r="G73">
        <v>0.77710000000000001</v>
      </c>
      <c r="H73">
        <v>0.72170000000000001</v>
      </c>
      <c r="I73">
        <v>0.41980000000000001</v>
      </c>
      <c r="J73">
        <v>0.72750000000000004</v>
      </c>
    </row>
    <row r="74" spans="3:81" x14ac:dyDescent="0.25">
      <c r="C74" t="s">
        <v>203</v>
      </c>
      <c r="D74">
        <v>0.69730000000000003</v>
      </c>
      <c r="F74">
        <v>9</v>
      </c>
      <c r="H74">
        <v>0.77959999999999996</v>
      </c>
      <c r="J74">
        <v>0.71419999999999995</v>
      </c>
    </row>
    <row r="75" spans="3:81" x14ac:dyDescent="0.25">
      <c r="C75" t="s">
        <v>204</v>
      </c>
      <c r="D75">
        <v>0.35439999999999999</v>
      </c>
      <c r="F75">
        <v>10</v>
      </c>
      <c r="G75">
        <v>0.35210000000000002</v>
      </c>
      <c r="H75">
        <v>0.7641</v>
      </c>
      <c r="J75">
        <v>0.70840000000000003</v>
      </c>
    </row>
    <row r="76" spans="3:81" x14ac:dyDescent="0.25">
      <c r="C76" t="s">
        <v>166</v>
      </c>
      <c r="D76">
        <v>0.86699999999999999</v>
      </c>
      <c r="F76">
        <v>11</v>
      </c>
      <c r="G76">
        <v>0.23630000000000001</v>
      </c>
      <c r="H76">
        <v>0.78639999999999999</v>
      </c>
      <c r="J76">
        <v>0.85729999999999995</v>
      </c>
    </row>
    <row r="77" spans="3:81" x14ac:dyDescent="0.25">
      <c r="C77" t="s">
        <v>205</v>
      </c>
      <c r="D77">
        <v>0.60929999999999995</v>
      </c>
      <c r="F77">
        <v>12</v>
      </c>
      <c r="G77">
        <v>0.50519999999999998</v>
      </c>
      <c r="H77">
        <v>0.84550000000000003</v>
      </c>
      <c r="J77">
        <v>0.88100000000000001</v>
      </c>
    </row>
    <row r="78" spans="3:81" x14ac:dyDescent="0.25">
      <c r="C78" t="s">
        <v>11</v>
      </c>
      <c r="D78">
        <v>0.72170000000000001</v>
      </c>
      <c r="F78">
        <v>13</v>
      </c>
      <c r="G78">
        <v>0.69730000000000003</v>
      </c>
      <c r="J78">
        <v>0.95679999999999998</v>
      </c>
    </row>
    <row r="79" spans="3:81" x14ac:dyDescent="0.25">
      <c r="C79" t="s">
        <v>206</v>
      </c>
      <c r="D79">
        <v>0.77959999999999996</v>
      </c>
      <c r="F79">
        <v>14</v>
      </c>
      <c r="G79">
        <v>0.35439999999999999</v>
      </c>
    </row>
    <row r="80" spans="3:81" x14ac:dyDescent="0.25">
      <c r="C80" t="s">
        <v>208</v>
      </c>
      <c r="D80">
        <v>0.7641</v>
      </c>
    </row>
    <row r="81" spans="3:7" ht="17.25" x14ac:dyDescent="0.25">
      <c r="C81" t="s">
        <v>209</v>
      </c>
      <c r="D81">
        <v>0.78639999999999999</v>
      </c>
      <c r="F81" t="s">
        <v>222</v>
      </c>
      <c r="G81" t="s">
        <v>223</v>
      </c>
    </row>
    <row r="82" spans="3:7" x14ac:dyDescent="0.25">
      <c r="C82" t="s">
        <v>210</v>
      </c>
      <c r="D82">
        <v>0.84550000000000003</v>
      </c>
    </row>
    <row r="83" spans="3:7" x14ac:dyDescent="0.25">
      <c r="C83" t="s">
        <v>216</v>
      </c>
      <c r="D83">
        <v>0.41980000000000001</v>
      </c>
      <c r="E83" t="s">
        <v>217</v>
      </c>
    </row>
    <row r="84" spans="3:7" x14ac:dyDescent="0.25">
      <c r="C84" t="s">
        <v>77</v>
      </c>
    </row>
    <row r="85" spans="3:7" x14ac:dyDescent="0.25">
      <c r="C85" t="s">
        <v>211</v>
      </c>
      <c r="D85">
        <v>0.72750000000000004</v>
      </c>
    </row>
    <row r="86" spans="3:7" x14ac:dyDescent="0.25">
      <c r="C86" t="s">
        <v>212</v>
      </c>
      <c r="D86">
        <v>0.71419999999999995</v>
      </c>
    </row>
    <row r="87" spans="3:7" x14ac:dyDescent="0.25">
      <c r="C87" t="s">
        <v>213</v>
      </c>
      <c r="D87">
        <v>0.70840000000000003</v>
      </c>
    </row>
    <row r="88" spans="3:7" x14ac:dyDescent="0.25">
      <c r="C88" t="s">
        <v>214</v>
      </c>
      <c r="D88">
        <v>0.85729999999999995</v>
      </c>
    </row>
    <row r="89" spans="3:7" x14ac:dyDescent="0.25">
      <c r="C89" t="s">
        <v>215</v>
      </c>
      <c r="D89">
        <v>0.88100000000000001</v>
      </c>
    </row>
    <row r="90" spans="3:7" x14ac:dyDescent="0.25">
      <c r="C90" t="s">
        <v>218</v>
      </c>
      <c r="D90">
        <v>0.95679999999999998</v>
      </c>
    </row>
  </sheetData>
  <conditionalFormatting sqref="D59:CA67">
    <cfRule type="colorScale" priority="123">
      <colorScale>
        <cfvo type="min"/>
        <cfvo type="percentile" val="50"/>
        <cfvo type="max"/>
        <color rgb="FF63BE7B"/>
        <color rgb="FFFFEB84"/>
        <color rgb="FFF8696B"/>
      </colorScale>
    </cfRule>
  </conditionalFormatting>
  <conditionalFormatting sqref="D69:D90">
    <cfRule type="colorScale" priority="7">
      <colorScale>
        <cfvo type="min"/>
        <cfvo type="percentile" val="50"/>
        <cfvo type="max"/>
        <color rgb="FF63BE7B"/>
        <color rgb="FFFFEB84"/>
        <color rgb="FFF8696B"/>
      </colorScale>
    </cfRule>
  </conditionalFormatting>
  <pageMargins left="0.7" right="0.7" top="0.78740157499999996" bottom="0.78740157499999996"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F50E94-C785-45A3-81B2-C3EA08C8183C}">
  <dimension ref="A1:AV54"/>
  <sheetViews>
    <sheetView zoomScale="70" zoomScaleNormal="70" workbookViewId="0">
      <pane xSplit="2" ySplit="2" topLeftCell="C3" activePane="bottomRight" state="frozen"/>
      <selection pane="topRight" activeCell="C1" sqref="C1"/>
      <selection pane="bottomLeft" activeCell="A3" sqref="A3"/>
      <selection pane="bottomRight" activeCell="AO51" sqref="AO51:AP51"/>
    </sheetView>
  </sheetViews>
  <sheetFormatPr baseColWidth="10" defaultRowHeight="15" x14ac:dyDescent="0.25"/>
  <cols>
    <col min="1" max="1" width="12.42578125" bestFit="1" customWidth="1"/>
    <col min="28" max="28" width="12" bestFit="1" customWidth="1"/>
  </cols>
  <sheetData>
    <row r="1" spans="1:48" x14ac:dyDescent="0.25">
      <c r="C1" t="s">
        <v>0</v>
      </c>
      <c r="X1" t="s">
        <v>17</v>
      </c>
    </row>
    <row r="2" spans="1:48" x14ac:dyDescent="0.25">
      <c r="C2" t="s">
        <v>78</v>
      </c>
      <c r="D2" t="s">
        <v>79</v>
      </c>
      <c r="E2" t="s">
        <v>80</v>
      </c>
      <c r="F2" t="s">
        <v>1</v>
      </c>
      <c r="G2" t="s">
        <v>2</v>
      </c>
      <c r="H2" t="s">
        <v>3</v>
      </c>
      <c r="I2" t="s">
        <v>4</v>
      </c>
      <c r="J2" t="s">
        <v>5</v>
      </c>
      <c r="K2" t="s">
        <v>6</v>
      </c>
      <c r="L2" t="s">
        <v>7</v>
      </c>
      <c r="M2" t="s">
        <v>8</v>
      </c>
      <c r="N2" t="s">
        <v>81</v>
      </c>
      <c r="O2" t="s">
        <v>82</v>
      </c>
      <c r="P2" t="s">
        <v>9</v>
      </c>
      <c r="Q2" t="s">
        <v>10</v>
      </c>
      <c r="R2" t="s">
        <v>11</v>
      </c>
      <c r="S2" t="s">
        <v>12</v>
      </c>
      <c r="T2" t="s">
        <v>13</v>
      </c>
      <c r="U2" t="s">
        <v>14</v>
      </c>
      <c r="V2" t="s">
        <v>15</v>
      </c>
      <c r="W2" t="s">
        <v>16</v>
      </c>
      <c r="X2" t="s">
        <v>37</v>
      </c>
      <c r="Y2" t="s">
        <v>18</v>
      </c>
      <c r="Z2" t="s">
        <v>19</v>
      </c>
      <c r="AA2" t="s">
        <v>20</v>
      </c>
      <c r="AB2" t="s">
        <v>21</v>
      </c>
      <c r="AC2" t="s">
        <v>22</v>
      </c>
      <c r="AD2" t="s">
        <v>23</v>
      </c>
      <c r="AE2" t="s">
        <v>24</v>
      </c>
      <c r="AF2" t="s">
        <v>25</v>
      </c>
      <c r="AG2" t="s">
        <v>26</v>
      </c>
      <c r="AH2" t="s">
        <v>77</v>
      </c>
      <c r="AI2" t="s">
        <v>27</v>
      </c>
      <c r="AJ2" t="s">
        <v>28</v>
      </c>
      <c r="AK2" t="s">
        <v>29</v>
      </c>
      <c r="AL2" t="s">
        <v>30</v>
      </c>
      <c r="AM2" t="s">
        <v>31</v>
      </c>
      <c r="AN2" t="s">
        <v>32</v>
      </c>
      <c r="AO2" t="s">
        <v>220</v>
      </c>
      <c r="AP2" t="s">
        <v>263</v>
      </c>
      <c r="AQ2" t="s">
        <v>219</v>
      </c>
      <c r="AR2" t="s">
        <v>221</v>
      </c>
      <c r="AS2" t="s">
        <v>353</v>
      </c>
      <c r="AT2" t="s">
        <v>222</v>
      </c>
      <c r="AU2" t="s">
        <v>142</v>
      </c>
      <c r="AV2" t="s">
        <v>137</v>
      </c>
    </row>
    <row r="3" spans="1:48" x14ac:dyDescent="0.25">
      <c r="A3" s="2">
        <v>45068</v>
      </c>
      <c r="B3" t="s">
        <v>39</v>
      </c>
      <c r="C3" s="11">
        <v>0</v>
      </c>
      <c r="D3" s="11">
        <v>0</v>
      </c>
      <c r="E3" s="11">
        <v>0</v>
      </c>
      <c r="F3" s="11">
        <v>0</v>
      </c>
      <c r="G3" s="11">
        <v>0</v>
      </c>
      <c r="H3" s="11">
        <v>0</v>
      </c>
      <c r="I3" s="11">
        <v>0</v>
      </c>
      <c r="J3" s="11">
        <v>0</v>
      </c>
      <c r="K3" s="11">
        <v>0</v>
      </c>
      <c r="L3" s="11">
        <v>0</v>
      </c>
      <c r="M3" s="11">
        <v>0</v>
      </c>
      <c r="N3" s="10">
        <v>0</v>
      </c>
      <c r="O3" s="11">
        <v>0</v>
      </c>
      <c r="P3" s="11">
        <v>0</v>
      </c>
      <c r="Q3" s="11">
        <v>0</v>
      </c>
      <c r="R3" s="11">
        <v>0</v>
      </c>
      <c r="S3" s="11">
        <v>0</v>
      </c>
      <c r="T3" s="11">
        <v>0</v>
      </c>
      <c r="U3" s="11">
        <v>0</v>
      </c>
      <c r="V3" s="11">
        <v>0</v>
      </c>
      <c r="W3" s="11">
        <v>0</v>
      </c>
      <c r="X3" s="11">
        <v>0</v>
      </c>
      <c r="Y3" s="11">
        <v>0</v>
      </c>
      <c r="Z3" s="11">
        <v>0</v>
      </c>
      <c r="AA3" s="11">
        <v>0</v>
      </c>
      <c r="AB3" s="11">
        <v>0</v>
      </c>
      <c r="AC3">
        <v>0</v>
      </c>
      <c r="AD3">
        <v>0</v>
      </c>
      <c r="AE3">
        <v>0</v>
      </c>
      <c r="AF3">
        <v>0</v>
      </c>
      <c r="AG3" s="11">
        <v>0</v>
      </c>
      <c r="AH3" s="11">
        <v>0</v>
      </c>
      <c r="AI3" s="11">
        <v>0</v>
      </c>
      <c r="AJ3" s="11">
        <v>0</v>
      </c>
      <c r="AK3" s="11">
        <v>0</v>
      </c>
      <c r="AL3" s="11">
        <v>0</v>
      </c>
      <c r="AM3" s="11">
        <v>0</v>
      </c>
      <c r="AN3" s="11">
        <v>0</v>
      </c>
      <c r="AO3" s="4">
        <f>SUM(C3:M3)</f>
        <v>0</v>
      </c>
      <c r="AP3" s="4">
        <f>SUM(X3:AF3)</f>
        <v>0</v>
      </c>
      <c r="AQ3" s="4">
        <f>SUM(N3:W3)</f>
        <v>0</v>
      </c>
      <c r="AR3" s="4">
        <f>SUM(AG3:AN3)</f>
        <v>0</v>
      </c>
      <c r="AS3" s="4">
        <f>SUM(AO3,AP3)</f>
        <v>0</v>
      </c>
      <c r="AT3" s="4">
        <f>SUM(AR3,AS3)</f>
        <v>0</v>
      </c>
      <c r="AU3" s="4">
        <f>SUM(AO3,AQ3)</f>
        <v>0</v>
      </c>
      <c r="AV3" s="4">
        <f>SUM(AP3,AR3)</f>
        <v>0</v>
      </c>
    </row>
    <row r="4" spans="1:48" x14ac:dyDescent="0.25">
      <c r="A4" s="2"/>
      <c r="B4" t="s">
        <v>40</v>
      </c>
      <c r="C4" s="11">
        <v>0</v>
      </c>
      <c r="D4" s="11">
        <v>0</v>
      </c>
      <c r="E4" s="11">
        <v>0</v>
      </c>
      <c r="F4" s="11">
        <v>0</v>
      </c>
      <c r="G4" s="11">
        <v>0</v>
      </c>
      <c r="H4" s="11">
        <v>0</v>
      </c>
      <c r="I4" s="11">
        <v>0</v>
      </c>
      <c r="J4" s="11">
        <v>0</v>
      </c>
      <c r="K4" s="11">
        <v>0</v>
      </c>
      <c r="L4" s="11">
        <v>0</v>
      </c>
      <c r="M4" s="11">
        <v>0</v>
      </c>
      <c r="N4" s="10">
        <v>0</v>
      </c>
      <c r="O4" s="11">
        <v>0</v>
      </c>
      <c r="P4" s="11">
        <v>0</v>
      </c>
      <c r="Q4" s="11">
        <v>0</v>
      </c>
      <c r="R4" s="11">
        <v>0</v>
      </c>
      <c r="S4" s="11">
        <v>0</v>
      </c>
      <c r="T4" s="11">
        <v>0</v>
      </c>
      <c r="U4" s="11">
        <v>0</v>
      </c>
      <c r="V4" s="11">
        <v>0</v>
      </c>
      <c r="W4" s="11">
        <v>0</v>
      </c>
      <c r="X4" s="11">
        <v>0</v>
      </c>
      <c r="Y4" s="11">
        <v>0</v>
      </c>
      <c r="Z4" s="11">
        <v>0</v>
      </c>
      <c r="AA4" s="11">
        <v>0</v>
      </c>
      <c r="AB4" s="11">
        <v>0</v>
      </c>
      <c r="AC4">
        <v>0</v>
      </c>
      <c r="AD4">
        <v>0</v>
      </c>
      <c r="AE4">
        <v>0</v>
      </c>
      <c r="AF4">
        <v>0</v>
      </c>
      <c r="AG4" s="11">
        <v>0</v>
      </c>
      <c r="AH4" s="11">
        <v>0</v>
      </c>
      <c r="AI4" s="11">
        <v>0</v>
      </c>
      <c r="AJ4" s="11">
        <v>0</v>
      </c>
      <c r="AK4" s="11">
        <v>0</v>
      </c>
      <c r="AL4" s="11">
        <v>0</v>
      </c>
      <c r="AM4" s="11">
        <v>0</v>
      </c>
      <c r="AN4" s="11">
        <v>0</v>
      </c>
      <c r="AO4" s="4">
        <f t="shared" ref="AO4:AO29" si="0">SUM(C4:M4)</f>
        <v>0</v>
      </c>
      <c r="AP4" s="4">
        <f t="shared" ref="AP4:AP29" si="1">SUM(X4:AF4)</f>
        <v>0</v>
      </c>
      <c r="AQ4" s="4">
        <f t="shared" ref="AQ4:AQ29" si="2">SUM(N4:W4)</f>
        <v>0</v>
      </c>
      <c r="AR4" s="4">
        <f t="shared" ref="AR4:AR29" si="3">SUM(AG4:AN4)</f>
        <v>0</v>
      </c>
      <c r="AS4" s="4">
        <f t="shared" ref="AS4:AS29" si="4">SUM(AO4,AP4)</f>
        <v>0</v>
      </c>
      <c r="AT4" s="4">
        <f t="shared" ref="AT4:AT29" si="5">SUM(AR4,AS4)</f>
        <v>0</v>
      </c>
      <c r="AU4" s="4">
        <f t="shared" ref="AU4:AU29" si="6">SUM(AO4,AQ4)</f>
        <v>0</v>
      </c>
      <c r="AV4" s="4">
        <f t="shared" ref="AV4:AV29" si="7">SUM(AP4,AR4)</f>
        <v>0</v>
      </c>
    </row>
    <row r="5" spans="1:48" x14ac:dyDescent="0.25">
      <c r="A5" s="2"/>
      <c r="B5" t="s">
        <v>41</v>
      </c>
      <c r="C5" s="11">
        <v>0</v>
      </c>
      <c r="D5" s="11">
        <v>0</v>
      </c>
      <c r="E5" s="11">
        <v>0</v>
      </c>
      <c r="F5" s="11">
        <v>0</v>
      </c>
      <c r="G5" s="11">
        <v>0</v>
      </c>
      <c r="H5" s="11">
        <v>0</v>
      </c>
      <c r="I5" s="11">
        <v>0</v>
      </c>
      <c r="J5" s="11">
        <v>0</v>
      </c>
      <c r="K5" s="11">
        <v>0</v>
      </c>
      <c r="L5" s="11">
        <v>0</v>
      </c>
      <c r="M5" s="11">
        <v>0</v>
      </c>
      <c r="N5" s="10">
        <v>0</v>
      </c>
      <c r="O5" s="11">
        <v>0</v>
      </c>
      <c r="P5" s="11">
        <v>0</v>
      </c>
      <c r="Q5" s="11">
        <v>0</v>
      </c>
      <c r="R5" s="11">
        <v>0</v>
      </c>
      <c r="S5" s="11">
        <v>0</v>
      </c>
      <c r="T5" s="11">
        <v>0</v>
      </c>
      <c r="U5" s="11">
        <v>0</v>
      </c>
      <c r="V5" s="11">
        <v>0</v>
      </c>
      <c r="W5" s="11">
        <v>0</v>
      </c>
      <c r="X5" s="11">
        <v>0</v>
      </c>
      <c r="Y5" s="11">
        <v>0</v>
      </c>
      <c r="Z5" s="11">
        <v>0</v>
      </c>
      <c r="AA5" s="11">
        <v>0</v>
      </c>
      <c r="AB5" s="11">
        <v>0</v>
      </c>
      <c r="AC5">
        <v>0</v>
      </c>
      <c r="AD5">
        <v>0</v>
      </c>
      <c r="AE5">
        <v>0</v>
      </c>
      <c r="AF5">
        <v>0</v>
      </c>
      <c r="AG5" s="11">
        <v>0</v>
      </c>
      <c r="AH5" s="11">
        <v>0</v>
      </c>
      <c r="AI5" s="11">
        <v>0</v>
      </c>
      <c r="AJ5" s="11">
        <v>0</v>
      </c>
      <c r="AK5" s="11">
        <v>0</v>
      </c>
      <c r="AL5" s="11">
        <v>0</v>
      </c>
      <c r="AM5" s="11">
        <v>0</v>
      </c>
      <c r="AN5" s="11">
        <v>0</v>
      </c>
      <c r="AO5" s="4">
        <f t="shared" si="0"/>
        <v>0</v>
      </c>
      <c r="AP5" s="4">
        <f t="shared" si="1"/>
        <v>0</v>
      </c>
      <c r="AQ5" s="4">
        <f t="shared" si="2"/>
        <v>0</v>
      </c>
      <c r="AR5" s="4">
        <f t="shared" si="3"/>
        <v>0</v>
      </c>
      <c r="AS5" s="4">
        <f t="shared" si="4"/>
        <v>0</v>
      </c>
      <c r="AT5" s="4">
        <f t="shared" si="5"/>
        <v>0</v>
      </c>
      <c r="AU5" s="4">
        <f t="shared" si="6"/>
        <v>0</v>
      </c>
      <c r="AV5" s="4">
        <f t="shared" si="7"/>
        <v>0</v>
      </c>
    </row>
    <row r="6" spans="1:48" x14ac:dyDescent="0.25">
      <c r="A6" s="2">
        <v>45072</v>
      </c>
      <c r="B6" t="s">
        <v>39</v>
      </c>
      <c r="C6" s="11">
        <v>4.13</v>
      </c>
      <c r="D6" s="11">
        <v>0</v>
      </c>
      <c r="E6" s="11">
        <v>0</v>
      </c>
      <c r="F6" s="11">
        <v>0</v>
      </c>
      <c r="G6" s="11">
        <v>5.56</v>
      </c>
      <c r="H6" s="11">
        <v>0</v>
      </c>
      <c r="I6" s="11">
        <v>0</v>
      </c>
      <c r="J6" s="11">
        <v>0</v>
      </c>
      <c r="K6" s="11">
        <v>0</v>
      </c>
      <c r="L6" s="11">
        <v>0</v>
      </c>
      <c r="M6" s="11">
        <v>0</v>
      </c>
      <c r="N6" s="10">
        <v>0</v>
      </c>
      <c r="O6" s="11">
        <v>0</v>
      </c>
      <c r="P6" s="11">
        <v>0.54200000000000004</v>
      </c>
      <c r="Q6" s="11">
        <v>0</v>
      </c>
      <c r="R6" s="11">
        <v>7.06</v>
      </c>
      <c r="S6" s="11">
        <v>2.44</v>
      </c>
      <c r="T6" s="11">
        <v>2.36</v>
      </c>
      <c r="U6" s="11">
        <v>0</v>
      </c>
      <c r="V6" s="11">
        <v>0</v>
      </c>
      <c r="W6" s="11">
        <v>0</v>
      </c>
      <c r="X6" s="11">
        <v>0</v>
      </c>
      <c r="Y6" s="11">
        <v>0</v>
      </c>
      <c r="Z6" s="11">
        <v>0</v>
      </c>
      <c r="AA6" s="11">
        <v>0</v>
      </c>
      <c r="AB6" s="11">
        <v>0</v>
      </c>
      <c r="AC6">
        <v>0</v>
      </c>
      <c r="AD6">
        <v>0</v>
      </c>
      <c r="AE6">
        <v>0</v>
      </c>
      <c r="AF6">
        <v>0</v>
      </c>
      <c r="AG6" s="11">
        <v>0</v>
      </c>
      <c r="AH6" s="11">
        <v>0</v>
      </c>
      <c r="AI6" s="11">
        <v>2.09</v>
      </c>
      <c r="AJ6" s="12">
        <v>10</v>
      </c>
      <c r="AK6" s="11">
        <v>7.02</v>
      </c>
      <c r="AL6" s="11">
        <v>3.51</v>
      </c>
      <c r="AM6" s="11">
        <v>2.21</v>
      </c>
      <c r="AN6" s="11">
        <v>0</v>
      </c>
      <c r="AO6" s="4">
        <f t="shared" si="0"/>
        <v>9.69</v>
      </c>
      <c r="AP6" s="4">
        <f t="shared" si="1"/>
        <v>0</v>
      </c>
      <c r="AQ6" s="4">
        <f t="shared" si="2"/>
        <v>12.401999999999999</v>
      </c>
      <c r="AR6" s="4">
        <f t="shared" si="3"/>
        <v>24.83</v>
      </c>
      <c r="AS6" s="4">
        <f t="shared" si="4"/>
        <v>9.69</v>
      </c>
      <c r="AT6" s="4">
        <f t="shared" si="5"/>
        <v>34.519999999999996</v>
      </c>
      <c r="AU6" s="4">
        <f t="shared" si="6"/>
        <v>22.091999999999999</v>
      </c>
      <c r="AV6" s="4">
        <f t="shared" si="7"/>
        <v>24.83</v>
      </c>
    </row>
    <row r="7" spans="1:48" x14ac:dyDescent="0.25">
      <c r="B7" t="s">
        <v>40</v>
      </c>
      <c r="C7" s="11">
        <v>3.36</v>
      </c>
      <c r="D7" s="11">
        <v>0</v>
      </c>
      <c r="E7" s="11">
        <v>0</v>
      </c>
      <c r="F7" s="11">
        <v>0</v>
      </c>
      <c r="G7" s="11">
        <v>2.14</v>
      </c>
      <c r="H7" s="11">
        <v>0</v>
      </c>
      <c r="I7" s="11">
        <v>0</v>
      </c>
      <c r="J7" s="11">
        <v>0</v>
      </c>
      <c r="K7" s="11">
        <v>0</v>
      </c>
      <c r="L7" s="11">
        <v>0</v>
      </c>
      <c r="M7" s="11">
        <v>0</v>
      </c>
      <c r="N7" s="10">
        <v>0</v>
      </c>
      <c r="O7" s="11">
        <v>0</v>
      </c>
      <c r="P7" s="11">
        <v>0</v>
      </c>
      <c r="Q7" s="11">
        <v>0</v>
      </c>
      <c r="R7" s="11">
        <v>5.17</v>
      </c>
      <c r="S7" s="11">
        <v>2.29</v>
      </c>
      <c r="T7" s="11">
        <v>2.4300000000000002</v>
      </c>
      <c r="U7" s="11">
        <v>0</v>
      </c>
      <c r="V7" s="11">
        <v>0</v>
      </c>
      <c r="W7" s="11">
        <v>0</v>
      </c>
      <c r="X7" s="11">
        <v>0</v>
      </c>
      <c r="Y7" s="11">
        <v>0</v>
      </c>
      <c r="Z7" s="11">
        <v>0</v>
      </c>
      <c r="AA7" s="11">
        <v>0</v>
      </c>
      <c r="AB7" s="11">
        <v>0</v>
      </c>
      <c r="AC7">
        <v>0</v>
      </c>
      <c r="AD7">
        <v>0</v>
      </c>
      <c r="AE7">
        <v>0</v>
      </c>
      <c r="AF7">
        <v>0</v>
      </c>
      <c r="AG7" s="11">
        <v>0</v>
      </c>
      <c r="AH7" s="11">
        <v>0</v>
      </c>
      <c r="AI7" s="11">
        <v>1.23</v>
      </c>
      <c r="AJ7" s="11">
        <v>7.61</v>
      </c>
      <c r="AK7" s="11">
        <v>6.34</v>
      </c>
      <c r="AL7" s="11">
        <v>3.46</v>
      </c>
      <c r="AM7" s="11">
        <v>2.39</v>
      </c>
      <c r="AN7" s="11">
        <v>1.1399999999999999</v>
      </c>
      <c r="AO7" s="4">
        <f t="shared" si="0"/>
        <v>5.5</v>
      </c>
      <c r="AP7" s="4">
        <f t="shared" si="1"/>
        <v>0</v>
      </c>
      <c r="AQ7" s="4">
        <f t="shared" si="2"/>
        <v>9.89</v>
      </c>
      <c r="AR7" s="4">
        <f t="shared" si="3"/>
        <v>22.17</v>
      </c>
      <c r="AS7" s="4">
        <f t="shared" si="4"/>
        <v>5.5</v>
      </c>
      <c r="AT7" s="4">
        <f t="shared" si="5"/>
        <v>27.67</v>
      </c>
      <c r="AU7" s="4">
        <f t="shared" si="6"/>
        <v>15.39</v>
      </c>
      <c r="AV7" s="4">
        <f t="shared" si="7"/>
        <v>22.17</v>
      </c>
    </row>
    <row r="8" spans="1:48" x14ac:dyDescent="0.25">
      <c r="B8" t="s">
        <v>41</v>
      </c>
      <c r="C8" s="11">
        <v>1.31</v>
      </c>
      <c r="D8" s="11">
        <v>0</v>
      </c>
      <c r="E8" s="11">
        <v>0</v>
      </c>
      <c r="F8" s="11">
        <v>0</v>
      </c>
      <c r="G8" s="11">
        <v>0.76</v>
      </c>
      <c r="H8" s="11">
        <v>0</v>
      </c>
      <c r="I8" s="11">
        <v>0</v>
      </c>
      <c r="J8" s="11">
        <v>0</v>
      </c>
      <c r="K8" s="11">
        <v>0</v>
      </c>
      <c r="L8" s="11">
        <v>0</v>
      </c>
      <c r="M8" s="11">
        <v>0</v>
      </c>
      <c r="N8" s="10">
        <v>0</v>
      </c>
      <c r="O8" s="11">
        <v>0</v>
      </c>
      <c r="P8" s="11">
        <v>0</v>
      </c>
      <c r="Q8" s="11">
        <v>0</v>
      </c>
      <c r="R8" s="11">
        <v>3.83</v>
      </c>
      <c r="S8" s="11">
        <v>1.78</v>
      </c>
      <c r="T8" s="11">
        <v>1.58</v>
      </c>
      <c r="U8" s="11">
        <v>0</v>
      </c>
      <c r="V8" s="11">
        <v>0</v>
      </c>
      <c r="W8" s="11">
        <v>0</v>
      </c>
      <c r="X8" s="11">
        <v>0</v>
      </c>
      <c r="Y8" s="11">
        <v>0</v>
      </c>
      <c r="Z8" s="11">
        <v>0</v>
      </c>
      <c r="AA8" s="11">
        <v>0</v>
      </c>
      <c r="AB8" s="11">
        <v>0</v>
      </c>
      <c r="AC8">
        <v>0</v>
      </c>
      <c r="AD8">
        <v>0</v>
      </c>
      <c r="AE8">
        <v>0</v>
      </c>
      <c r="AF8">
        <v>0</v>
      </c>
      <c r="AG8" s="11">
        <v>0</v>
      </c>
      <c r="AH8" s="11">
        <v>0</v>
      </c>
      <c r="AI8" s="11">
        <v>1.1000000000000001</v>
      </c>
      <c r="AJ8" s="11">
        <v>6.48</v>
      </c>
      <c r="AK8" s="11">
        <v>4.5999999999999996</v>
      </c>
      <c r="AL8" s="11">
        <v>2.1800000000000002</v>
      </c>
      <c r="AM8" s="11">
        <v>1.43</v>
      </c>
      <c r="AN8" s="11">
        <v>0.66100000000000003</v>
      </c>
      <c r="AO8" s="4">
        <f t="shared" si="0"/>
        <v>2.0700000000000003</v>
      </c>
      <c r="AP8" s="4">
        <f t="shared" si="1"/>
        <v>0</v>
      </c>
      <c r="AQ8" s="4">
        <f t="shared" si="2"/>
        <v>7.19</v>
      </c>
      <c r="AR8" s="4">
        <f t="shared" si="3"/>
        <v>16.451000000000001</v>
      </c>
      <c r="AS8" s="4">
        <f t="shared" si="4"/>
        <v>2.0700000000000003</v>
      </c>
      <c r="AT8" s="4">
        <f t="shared" si="5"/>
        <v>18.521000000000001</v>
      </c>
      <c r="AU8" s="4">
        <f t="shared" si="6"/>
        <v>9.2600000000000016</v>
      </c>
      <c r="AV8" s="4">
        <f t="shared" si="7"/>
        <v>16.451000000000001</v>
      </c>
    </row>
    <row r="9" spans="1:48" x14ac:dyDescent="0.25">
      <c r="A9" s="2">
        <v>45084</v>
      </c>
      <c r="B9" t="s">
        <v>39</v>
      </c>
      <c r="C9" s="12">
        <v>11.1</v>
      </c>
      <c r="D9" s="11">
        <v>0</v>
      </c>
      <c r="E9" s="11">
        <v>0</v>
      </c>
      <c r="F9" s="11">
        <v>0</v>
      </c>
      <c r="G9" s="12">
        <v>12.6</v>
      </c>
      <c r="H9" s="11">
        <v>0</v>
      </c>
      <c r="I9" s="11">
        <v>1.19</v>
      </c>
      <c r="J9" s="11">
        <v>0.76</v>
      </c>
      <c r="K9" s="11">
        <v>1.27</v>
      </c>
      <c r="L9" s="11">
        <v>1.48</v>
      </c>
      <c r="M9" s="11">
        <v>0.998</v>
      </c>
      <c r="N9" s="10">
        <v>0</v>
      </c>
      <c r="O9" s="11">
        <v>0</v>
      </c>
      <c r="P9" s="11">
        <v>3.32</v>
      </c>
      <c r="Q9" s="11">
        <v>1.48</v>
      </c>
      <c r="R9" s="18">
        <v>124</v>
      </c>
      <c r="S9" s="12">
        <v>54</v>
      </c>
      <c r="T9" s="12">
        <v>42.1</v>
      </c>
      <c r="U9" s="11">
        <v>2.2400000000000002</v>
      </c>
      <c r="V9" s="11">
        <v>1.19</v>
      </c>
      <c r="W9" s="11">
        <v>0</v>
      </c>
      <c r="X9" s="11">
        <v>0</v>
      </c>
      <c r="Y9" s="11">
        <v>0</v>
      </c>
      <c r="Z9" s="11">
        <v>0.753</v>
      </c>
      <c r="AA9" s="11">
        <v>0</v>
      </c>
      <c r="AB9" s="11">
        <v>0</v>
      </c>
      <c r="AC9">
        <v>0</v>
      </c>
      <c r="AD9">
        <v>0</v>
      </c>
      <c r="AE9">
        <v>0</v>
      </c>
      <c r="AF9">
        <v>0</v>
      </c>
      <c r="AG9" s="11">
        <v>0</v>
      </c>
      <c r="AH9" s="11">
        <v>0</v>
      </c>
      <c r="AI9" s="12">
        <v>40.799999999999997</v>
      </c>
      <c r="AJ9" s="18">
        <v>181</v>
      </c>
      <c r="AK9" s="18">
        <v>158</v>
      </c>
      <c r="AL9" s="12">
        <v>43.9</v>
      </c>
      <c r="AM9" s="12">
        <v>22.9</v>
      </c>
      <c r="AN9" s="11">
        <v>8.6300000000000008</v>
      </c>
      <c r="AO9" s="4">
        <f t="shared" si="0"/>
        <v>29.398000000000003</v>
      </c>
      <c r="AP9" s="4">
        <f t="shared" si="1"/>
        <v>0.753</v>
      </c>
      <c r="AQ9" s="4">
        <f t="shared" si="2"/>
        <v>228.33</v>
      </c>
      <c r="AR9" s="4">
        <f t="shared" si="3"/>
        <v>455.22999999999996</v>
      </c>
      <c r="AS9" s="4">
        <f t="shared" si="4"/>
        <v>30.151000000000003</v>
      </c>
      <c r="AT9" s="4">
        <f t="shared" si="5"/>
        <v>485.38099999999997</v>
      </c>
      <c r="AU9" s="4">
        <f t="shared" si="6"/>
        <v>257.72800000000001</v>
      </c>
      <c r="AV9" s="4">
        <f t="shared" si="7"/>
        <v>455.98299999999995</v>
      </c>
    </row>
    <row r="10" spans="1:48" x14ac:dyDescent="0.25">
      <c r="B10" t="s">
        <v>40</v>
      </c>
      <c r="C10" s="12">
        <v>12.9</v>
      </c>
      <c r="D10" s="11">
        <v>0</v>
      </c>
      <c r="E10" s="11">
        <v>0</v>
      </c>
      <c r="F10" s="11">
        <v>0</v>
      </c>
      <c r="G10" s="12">
        <v>12.1</v>
      </c>
      <c r="H10" s="11">
        <v>0</v>
      </c>
      <c r="I10" s="11">
        <v>0.76900000000000002</v>
      </c>
      <c r="J10" s="11">
        <v>0</v>
      </c>
      <c r="K10" s="11">
        <v>0.65</v>
      </c>
      <c r="L10" s="11">
        <v>0.67800000000000005</v>
      </c>
      <c r="M10" s="11">
        <v>0</v>
      </c>
      <c r="N10" s="10">
        <v>0</v>
      </c>
      <c r="O10" s="11">
        <v>0</v>
      </c>
      <c r="P10" s="11">
        <v>1.71</v>
      </c>
      <c r="Q10" s="11">
        <v>0.65300000000000002</v>
      </c>
      <c r="R10" s="12">
        <v>63.3</v>
      </c>
      <c r="S10" s="12">
        <v>22.7</v>
      </c>
      <c r="T10" s="12">
        <v>22.7</v>
      </c>
      <c r="U10" s="11">
        <v>1.0900000000000001</v>
      </c>
      <c r="V10" s="11">
        <v>0.54700000000000004</v>
      </c>
      <c r="W10" s="11">
        <v>0</v>
      </c>
      <c r="X10" s="11">
        <v>0</v>
      </c>
      <c r="Y10" s="11">
        <v>0</v>
      </c>
      <c r="Z10" s="11">
        <v>0.94799999999999995</v>
      </c>
      <c r="AA10" s="11">
        <v>0</v>
      </c>
      <c r="AB10" s="11">
        <v>0</v>
      </c>
      <c r="AC10">
        <v>0</v>
      </c>
      <c r="AD10">
        <v>0</v>
      </c>
      <c r="AE10">
        <v>0</v>
      </c>
      <c r="AF10">
        <v>0</v>
      </c>
      <c r="AG10" s="11">
        <v>0</v>
      </c>
      <c r="AH10" s="11">
        <v>0</v>
      </c>
      <c r="AI10" s="12">
        <v>16.7</v>
      </c>
      <c r="AJ10" s="12">
        <v>88.5</v>
      </c>
      <c r="AK10" s="12">
        <v>69.400000000000006</v>
      </c>
      <c r="AL10" s="12">
        <v>20.2</v>
      </c>
      <c r="AM10" s="11">
        <v>9.32</v>
      </c>
      <c r="AN10" s="11">
        <v>3.75</v>
      </c>
      <c r="AO10" s="4">
        <f t="shared" si="0"/>
        <v>27.096999999999998</v>
      </c>
      <c r="AP10" s="4">
        <f t="shared" si="1"/>
        <v>0.94799999999999995</v>
      </c>
      <c r="AQ10" s="4">
        <f t="shared" si="2"/>
        <v>112.7</v>
      </c>
      <c r="AR10" s="4">
        <f t="shared" si="3"/>
        <v>207.87</v>
      </c>
      <c r="AS10" s="4">
        <f t="shared" si="4"/>
        <v>28.044999999999998</v>
      </c>
      <c r="AT10" s="4">
        <f t="shared" si="5"/>
        <v>235.91499999999999</v>
      </c>
      <c r="AU10" s="4">
        <f t="shared" si="6"/>
        <v>139.797</v>
      </c>
      <c r="AV10" s="4">
        <f t="shared" si="7"/>
        <v>208.81800000000001</v>
      </c>
    </row>
    <row r="11" spans="1:48" x14ac:dyDescent="0.25">
      <c r="B11" t="s">
        <v>41</v>
      </c>
      <c r="C11" s="12">
        <v>10.1</v>
      </c>
      <c r="D11" s="11">
        <v>0</v>
      </c>
      <c r="E11" s="11">
        <v>0</v>
      </c>
      <c r="F11" s="11">
        <v>0</v>
      </c>
      <c r="G11" s="11">
        <v>7.6</v>
      </c>
      <c r="H11" s="11">
        <v>0</v>
      </c>
      <c r="I11" s="11">
        <v>1.1299999999999999</v>
      </c>
      <c r="J11" s="11">
        <v>0.69299999999999995</v>
      </c>
      <c r="K11" s="11">
        <v>1.27</v>
      </c>
      <c r="L11" s="11">
        <v>1.49</v>
      </c>
      <c r="M11" s="11">
        <v>0.92100000000000004</v>
      </c>
      <c r="N11" s="10">
        <v>0</v>
      </c>
      <c r="O11" s="11">
        <v>0</v>
      </c>
      <c r="P11" s="11">
        <v>2.4500000000000002</v>
      </c>
      <c r="Q11" s="11">
        <v>1.1599999999999999</v>
      </c>
      <c r="R11" s="18">
        <v>117</v>
      </c>
      <c r="S11" s="12">
        <v>46.4</v>
      </c>
      <c r="T11" s="12">
        <v>36.9</v>
      </c>
      <c r="U11" s="11">
        <v>1.89</v>
      </c>
      <c r="V11" s="11">
        <v>0.98699999999999999</v>
      </c>
      <c r="W11" s="11">
        <v>0</v>
      </c>
      <c r="X11" s="11">
        <v>0</v>
      </c>
      <c r="Y11" s="11">
        <v>0</v>
      </c>
      <c r="Z11" s="11">
        <v>0.50900000000000001</v>
      </c>
      <c r="AA11" s="11">
        <v>0</v>
      </c>
      <c r="AB11" s="11">
        <v>0</v>
      </c>
      <c r="AC11">
        <v>0</v>
      </c>
      <c r="AD11">
        <v>0</v>
      </c>
      <c r="AE11">
        <v>0</v>
      </c>
      <c r="AF11">
        <v>0</v>
      </c>
      <c r="AG11" s="11">
        <v>0</v>
      </c>
      <c r="AH11" s="11">
        <v>0</v>
      </c>
      <c r="AI11" s="12">
        <v>33.5</v>
      </c>
      <c r="AJ11" s="18">
        <v>171</v>
      </c>
      <c r="AK11" s="18">
        <v>137</v>
      </c>
      <c r="AL11" s="12">
        <v>37.5</v>
      </c>
      <c r="AM11" s="12">
        <v>20.3</v>
      </c>
      <c r="AN11" s="11">
        <v>7.82</v>
      </c>
      <c r="AO11" s="4">
        <f t="shared" si="0"/>
        <v>23.203999999999997</v>
      </c>
      <c r="AP11" s="4">
        <f t="shared" si="1"/>
        <v>0.50900000000000001</v>
      </c>
      <c r="AQ11" s="4">
        <f t="shared" si="2"/>
        <v>206.78699999999998</v>
      </c>
      <c r="AR11" s="4">
        <f t="shared" si="3"/>
        <v>407.12</v>
      </c>
      <c r="AS11" s="4">
        <f t="shared" si="4"/>
        <v>23.712999999999997</v>
      </c>
      <c r="AT11" s="4">
        <f t="shared" si="5"/>
        <v>430.83300000000003</v>
      </c>
      <c r="AU11" s="4">
        <f t="shared" si="6"/>
        <v>229.99099999999999</v>
      </c>
      <c r="AV11" s="4">
        <f t="shared" si="7"/>
        <v>407.62900000000002</v>
      </c>
    </row>
    <row r="12" spans="1:48" x14ac:dyDescent="0.25">
      <c r="A12" s="2">
        <v>45105</v>
      </c>
      <c r="B12" t="s">
        <v>39</v>
      </c>
      <c r="C12" s="11">
        <v>1.65</v>
      </c>
      <c r="D12" s="11">
        <v>0</v>
      </c>
      <c r="E12" s="11">
        <v>0</v>
      </c>
      <c r="F12" s="11">
        <v>0</v>
      </c>
      <c r="G12" s="11">
        <v>1.32</v>
      </c>
      <c r="H12" s="11">
        <v>0</v>
      </c>
      <c r="I12" s="11">
        <v>2.44</v>
      </c>
      <c r="J12" s="11">
        <v>1.66</v>
      </c>
      <c r="K12" s="11">
        <v>2.27</v>
      </c>
      <c r="L12" s="11">
        <v>1.74</v>
      </c>
      <c r="M12" s="11">
        <v>0.60699999999999998</v>
      </c>
      <c r="N12" s="10">
        <v>0</v>
      </c>
      <c r="O12" s="11">
        <v>0</v>
      </c>
      <c r="P12" s="11">
        <v>5.88</v>
      </c>
      <c r="Q12" s="11">
        <v>5.04</v>
      </c>
      <c r="R12" s="18">
        <v>285</v>
      </c>
      <c r="S12" s="18">
        <v>135</v>
      </c>
      <c r="T12" s="12">
        <v>93.3</v>
      </c>
      <c r="U12" s="11">
        <v>2.96</v>
      </c>
      <c r="V12" s="11">
        <v>1.61</v>
      </c>
      <c r="W12" s="11">
        <v>0</v>
      </c>
      <c r="X12" s="11">
        <v>0</v>
      </c>
      <c r="Y12" s="11">
        <v>0</v>
      </c>
      <c r="Z12" s="11">
        <v>0</v>
      </c>
      <c r="AA12" s="11">
        <v>0</v>
      </c>
      <c r="AB12" s="11">
        <v>0</v>
      </c>
      <c r="AC12">
        <v>0</v>
      </c>
      <c r="AD12">
        <v>0</v>
      </c>
      <c r="AE12">
        <v>0</v>
      </c>
      <c r="AF12">
        <v>0</v>
      </c>
      <c r="AG12" s="11">
        <v>0</v>
      </c>
      <c r="AH12" s="11">
        <v>0.64100000000000001</v>
      </c>
      <c r="AI12" s="12">
        <v>93</v>
      </c>
      <c r="AJ12" s="18">
        <v>405</v>
      </c>
      <c r="AK12" s="18">
        <v>302</v>
      </c>
      <c r="AL12" s="12">
        <v>37.299999999999997</v>
      </c>
      <c r="AM12" s="12">
        <v>12.3</v>
      </c>
      <c r="AN12" s="11">
        <v>3.4</v>
      </c>
      <c r="AO12" s="4">
        <f t="shared" si="0"/>
        <v>11.686999999999999</v>
      </c>
      <c r="AP12" s="4">
        <f t="shared" si="1"/>
        <v>0</v>
      </c>
      <c r="AQ12" s="4">
        <f t="shared" si="2"/>
        <v>528.79000000000008</v>
      </c>
      <c r="AR12" s="4">
        <f t="shared" si="3"/>
        <v>853.64099999999996</v>
      </c>
      <c r="AS12" s="4">
        <f t="shared" si="4"/>
        <v>11.686999999999999</v>
      </c>
      <c r="AT12" s="4">
        <f t="shared" si="5"/>
        <v>865.32799999999997</v>
      </c>
      <c r="AU12" s="4">
        <f t="shared" si="6"/>
        <v>540.47700000000009</v>
      </c>
      <c r="AV12" s="4">
        <f t="shared" si="7"/>
        <v>853.64099999999996</v>
      </c>
    </row>
    <row r="13" spans="1:48" x14ac:dyDescent="0.25">
      <c r="B13" t="s">
        <v>40</v>
      </c>
      <c r="C13" s="11">
        <v>6.15</v>
      </c>
      <c r="D13" s="11">
        <v>0</v>
      </c>
      <c r="E13" s="11">
        <v>0</v>
      </c>
      <c r="F13" s="11">
        <v>0</v>
      </c>
      <c r="G13" s="11">
        <v>3.41</v>
      </c>
      <c r="H13" s="11">
        <v>0</v>
      </c>
      <c r="I13" s="11">
        <v>2.0299999999999998</v>
      </c>
      <c r="J13" s="11">
        <v>1.21</v>
      </c>
      <c r="K13" s="11">
        <v>1.81</v>
      </c>
      <c r="L13" s="11">
        <v>1.31</v>
      </c>
      <c r="M13" s="11">
        <v>0</v>
      </c>
      <c r="N13" s="10">
        <v>0</v>
      </c>
      <c r="O13" s="11">
        <v>0</v>
      </c>
      <c r="P13" s="11">
        <v>5</v>
      </c>
      <c r="Q13" s="11">
        <v>4.13</v>
      </c>
      <c r="R13" s="18">
        <v>248</v>
      </c>
      <c r="S13" s="18">
        <v>105</v>
      </c>
      <c r="T13" s="12">
        <v>89.1</v>
      </c>
      <c r="U13" s="11">
        <v>2.39</v>
      </c>
      <c r="V13" s="11">
        <v>0.89700000000000002</v>
      </c>
      <c r="W13" s="11">
        <v>0</v>
      </c>
      <c r="X13" s="11">
        <v>0</v>
      </c>
      <c r="Y13" s="11">
        <v>0</v>
      </c>
      <c r="Z13" s="11">
        <v>0</v>
      </c>
      <c r="AA13" s="11">
        <v>0</v>
      </c>
      <c r="AB13" s="11">
        <v>0</v>
      </c>
      <c r="AC13">
        <v>0</v>
      </c>
      <c r="AD13">
        <v>0</v>
      </c>
      <c r="AE13">
        <v>0</v>
      </c>
      <c r="AF13">
        <v>0</v>
      </c>
      <c r="AG13" s="11">
        <v>0</v>
      </c>
      <c r="AH13" s="11">
        <v>0.502</v>
      </c>
      <c r="AI13" s="12">
        <v>82.9</v>
      </c>
      <c r="AJ13" s="18">
        <v>378</v>
      </c>
      <c r="AK13" s="18">
        <v>267</v>
      </c>
      <c r="AL13" s="12">
        <v>29.6</v>
      </c>
      <c r="AM13" s="11">
        <v>9.2100000000000009</v>
      </c>
      <c r="AN13" s="11">
        <v>2.52</v>
      </c>
      <c r="AO13" s="4">
        <f t="shared" si="0"/>
        <v>15.920000000000002</v>
      </c>
      <c r="AP13" s="4">
        <f t="shared" si="1"/>
        <v>0</v>
      </c>
      <c r="AQ13" s="4">
        <f t="shared" si="2"/>
        <v>454.517</v>
      </c>
      <c r="AR13" s="4">
        <f t="shared" si="3"/>
        <v>769.73200000000008</v>
      </c>
      <c r="AS13" s="4">
        <f t="shared" si="4"/>
        <v>15.920000000000002</v>
      </c>
      <c r="AT13" s="4">
        <f t="shared" si="5"/>
        <v>785.65200000000004</v>
      </c>
      <c r="AU13" s="4">
        <f t="shared" si="6"/>
        <v>470.43700000000001</v>
      </c>
      <c r="AV13" s="4">
        <f t="shared" si="7"/>
        <v>769.73200000000008</v>
      </c>
    </row>
    <row r="14" spans="1:48" x14ac:dyDescent="0.25">
      <c r="B14" t="s">
        <v>41</v>
      </c>
      <c r="C14" s="11">
        <v>2.79</v>
      </c>
      <c r="D14" s="11">
        <v>0</v>
      </c>
      <c r="E14" s="11">
        <v>0</v>
      </c>
      <c r="F14" s="11">
        <v>0</v>
      </c>
      <c r="G14" s="11">
        <v>1.54</v>
      </c>
      <c r="H14" s="11">
        <v>0</v>
      </c>
      <c r="I14" s="11">
        <v>2.34</v>
      </c>
      <c r="J14" s="11">
        <v>1.5</v>
      </c>
      <c r="K14" s="11">
        <v>2.0099999999999998</v>
      </c>
      <c r="L14" s="11">
        <v>1.39</v>
      </c>
      <c r="M14" s="11">
        <v>0</v>
      </c>
      <c r="N14" s="10">
        <v>0</v>
      </c>
      <c r="O14" s="11">
        <v>0</v>
      </c>
      <c r="P14" s="11">
        <v>4.88</v>
      </c>
      <c r="Q14" s="11">
        <v>4.58</v>
      </c>
      <c r="R14" s="18">
        <v>287</v>
      </c>
      <c r="S14" s="18">
        <v>139</v>
      </c>
      <c r="T14" s="12">
        <v>88.1</v>
      </c>
      <c r="U14" s="11">
        <v>2.69</v>
      </c>
      <c r="V14" s="11">
        <v>1.1000000000000001</v>
      </c>
      <c r="W14" s="11">
        <v>0</v>
      </c>
      <c r="X14" s="11">
        <v>0</v>
      </c>
      <c r="Y14" s="11">
        <v>0</v>
      </c>
      <c r="Z14" s="11">
        <v>0</v>
      </c>
      <c r="AA14" s="11">
        <v>0</v>
      </c>
      <c r="AB14" s="11">
        <v>0</v>
      </c>
      <c r="AC14">
        <v>0</v>
      </c>
      <c r="AD14">
        <v>0</v>
      </c>
      <c r="AE14">
        <v>0</v>
      </c>
      <c r="AF14">
        <v>0</v>
      </c>
      <c r="AG14" s="11">
        <v>0</v>
      </c>
      <c r="AH14" s="11">
        <v>0.60199999999999998</v>
      </c>
      <c r="AI14" s="18">
        <v>102</v>
      </c>
      <c r="AJ14" s="18">
        <v>455</v>
      </c>
      <c r="AK14" s="18">
        <v>318</v>
      </c>
      <c r="AL14" s="12">
        <v>29.5</v>
      </c>
      <c r="AM14" s="12">
        <v>10.7</v>
      </c>
      <c r="AN14" s="11">
        <v>2.8</v>
      </c>
      <c r="AO14" s="4">
        <f t="shared" si="0"/>
        <v>11.57</v>
      </c>
      <c r="AP14" s="4">
        <f t="shared" si="1"/>
        <v>0</v>
      </c>
      <c r="AQ14" s="4">
        <f t="shared" si="2"/>
        <v>527.35</v>
      </c>
      <c r="AR14" s="4">
        <f t="shared" si="3"/>
        <v>918.60199999999998</v>
      </c>
      <c r="AS14" s="4">
        <f t="shared" si="4"/>
        <v>11.57</v>
      </c>
      <c r="AT14" s="4">
        <f t="shared" si="5"/>
        <v>930.17200000000003</v>
      </c>
      <c r="AU14" s="4">
        <f t="shared" si="6"/>
        <v>538.92000000000007</v>
      </c>
      <c r="AV14" s="4">
        <f t="shared" si="7"/>
        <v>918.60199999999998</v>
      </c>
    </row>
    <row r="15" spans="1:48" x14ac:dyDescent="0.25">
      <c r="A15" s="2">
        <v>45124</v>
      </c>
      <c r="B15" t="s">
        <v>39</v>
      </c>
      <c r="C15" s="11">
        <v>3.17</v>
      </c>
      <c r="D15" s="11">
        <v>0</v>
      </c>
      <c r="E15" s="11">
        <v>0</v>
      </c>
      <c r="F15" s="11">
        <v>0</v>
      </c>
      <c r="G15" s="11">
        <v>2.36</v>
      </c>
      <c r="H15" s="11">
        <v>0</v>
      </c>
      <c r="I15" s="11">
        <v>3.32</v>
      </c>
      <c r="J15" s="11">
        <v>2.06</v>
      </c>
      <c r="K15" s="11">
        <v>2.62</v>
      </c>
      <c r="L15" s="11">
        <v>2.02</v>
      </c>
      <c r="M15" s="11">
        <v>0.82299999999999995</v>
      </c>
      <c r="N15" s="10">
        <v>0</v>
      </c>
      <c r="O15" s="11">
        <v>0</v>
      </c>
      <c r="P15" s="11">
        <v>5.03</v>
      </c>
      <c r="Q15" s="11">
        <v>6.65</v>
      </c>
      <c r="R15" s="18">
        <v>415</v>
      </c>
      <c r="S15" s="18">
        <v>202</v>
      </c>
      <c r="T15" s="18">
        <v>150</v>
      </c>
      <c r="U15" s="11">
        <v>4.3099999999999996</v>
      </c>
      <c r="V15" s="11">
        <v>1.94</v>
      </c>
      <c r="W15" s="11">
        <v>0</v>
      </c>
      <c r="X15" s="11">
        <v>0</v>
      </c>
      <c r="Y15" s="11">
        <v>0</v>
      </c>
      <c r="Z15" s="11">
        <v>0</v>
      </c>
      <c r="AA15" s="11">
        <v>0</v>
      </c>
      <c r="AB15" s="11">
        <v>0</v>
      </c>
      <c r="AC15">
        <v>0</v>
      </c>
      <c r="AD15">
        <v>0</v>
      </c>
      <c r="AE15">
        <v>0</v>
      </c>
      <c r="AF15">
        <v>0</v>
      </c>
      <c r="AG15" s="11">
        <v>0</v>
      </c>
      <c r="AH15" s="11">
        <v>0.753</v>
      </c>
      <c r="AI15" s="18">
        <v>129</v>
      </c>
      <c r="AJ15" s="18">
        <v>614</v>
      </c>
      <c r="AK15" s="18">
        <v>428</v>
      </c>
      <c r="AL15" s="12">
        <v>40.4</v>
      </c>
      <c r="AM15" s="12">
        <v>16.600000000000001</v>
      </c>
      <c r="AN15" s="11">
        <v>4.54</v>
      </c>
      <c r="AO15" s="4">
        <f t="shared" si="0"/>
        <v>16.373000000000001</v>
      </c>
      <c r="AP15" s="4">
        <f t="shared" si="1"/>
        <v>0</v>
      </c>
      <c r="AQ15" s="4">
        <f t="shared" si="2"/>
        <v>784.93000000000006</v>
      </c>
      <c r="AR15" s="4">
        <f t="shared" si="3"/>
        <v>1233.2929999999999</v>
      </c>
      <c r="AS15" s="4">
        <f t="shared" si="4"/>
        <v>16.373000000000001</v>
      </c>
      <c r="AT15" s="4">
        <f t="shared" si="5"/>
        <v>1249.6659999999999</v>
      </c>
      <c r="AU15" s="4">
        <f t="shared" si="6"/>
        <v>801.30300000000011</v>
      </c>
      <c r="AV15" s="4">
        <f t="shared" si="7"/>
        <v>1233.2929999999999</v>
      </c>
    </row>
    <row r="16" spans="1:48" x14ac:dyDescent="0.25">
      <c r="B16" t="s">
        <v>40</v>
      </c>
      <c r="C16" s="11">
        <v>1.84</v>
      </c>
      <c r="D16" s="11">
        <v>0</v>
      </c>
      <c r="E16" s="11">
        <v>0</v>
      </c>
      <c r="F16" s="11">
        <v>0</v>
      </c>
      <c r="G16" s="11">
        <v>1</v>
      </c>
      <c r="H16" s="11">
        <v>0</v>
      </c>
      <c r="I16" s="11">
        <v>2.59</v>
      </c>
      <c r="J16" s="11">
        <v>1.55</v>
      </c>
      <c r="K16" s="11">
        <v>1.82</v>
      </c>
      <c r="L16" s="11">
        <v>1.27</v>
      </c>
      <c r="M16" s="11">
        <v>0.51700000000000002</v>
      </c>
      <c r="N16" s="10">
        <v>0</v>
      </c>
      <c r="O16" s="11">
        <v>0</v>
      </c>
      <c r="P16" s="11">
        <v>3.22</v>
      </c>
      <c r="Q16" s="11">
        <v>4.6500000000000004</v>
      </c>
      <c r="R16" s="18">
        <v>323</v>
      </c>
      <c r="S16" s="18">
        <v>150</v>
      </c>
      <c r="T16" s="18">
        <v>107</v>
      </c>
      <c r="U16" s="11">
        <v>2.41</v>
      </c>
      <c r="V16" s="11">
        <v>1.1599999999999999</v>
      </c>
      <c r="W16" s="11">
        <v>0</v>
      </c>
      <c r="X16" s="11">
        <v>0</v>
      </c>
      <c r="Y16" s="11">
        <v>0</v>
      </c>
      <c r="Z16" s="11">
        <v>0</v>
      </c>
      <c r="AA16" s="11">
        <v>0</v>
      </c>
      <c r="AB16" s="11">
        <v>0</v>
      </c>
      <c r="AC16">
        <v>0</v>
      </c>
      <c r="AD16">
        <v>0</v>
      </c>
      <c r="AE16">
        <v>0</v>
      </c>
      <c r="AF16">
        <v>0</v>
      </c>
      <c r="AG16" s="11">
        <v>0</v>
      </c>
      <c r="AH16" s="11">
        <v>0</v>
      </c>
      <c r="AI16" s="18">
        <v>100</v>
      </c>
      <c r="AJ16" s="18">
        <v>463</v>
      </c>
      <c r="AK16" s="18">
        <v>293</v>
      </c>
      <c r="AL16" s="12">
        <v>26.5</v>
      </c>
      <c r="AM16" s="11">
        <v>9.9</v>
      </c>
      <c r="AN16" s="11">
        <v>3</v>
      </c>
      <c r="AO16" s="4">
        <f t="shared" si="0"/>
        <v>10.586999999999998</v>
      </c>
      <c r="AP16" s="4">
        <f t="shared" si="1"/>
        <v>0</v>
      </c>
      <c r="AQ16" s="4">
        <f t="shared" si="2"/>
        <v>591.43999999999994</v>
      </c>
      <c r="AR16" s="4">
        <f t="shared" si="3"/>
        <v>895.4</v>
      </c>
      <c r="AS16" s="4">
        <f t="shared" si="4"/>
        <v>10.586999999999998</v>
      </c>
      <c r="AT16" s="4">
        <f t="shared" si="5"/>
        <v>905.98699999999997</v>
      </c>
      <c r="AU16" s="4">
        <f t="shared" si="6"/>
        <v>602.02699999999993</v>
      </c>
      <c r="AV16" s="4">
        <f t="shared" si="7"/>
        <v>895.4</v>
      </c>
    </row>
    <row r="17" spans="1:48" x14ac:dyDescent="0.25">
      <c r="B17" t="s">
        <v>41</v>
      </c>
      <c r="C17" s="11">
        <v>1.56</v>
      </c>
      <c r="D17" s="11">
        <v>0</v>
      </c>
      <c r="E17" s="11">
        <v>0</v>
      </c>
      <c r="F17" s="11">
        <v>0</v>
      </c>
      <c r="G17" s="11">
        <v>0</v>
      </c>
      <c r="H17" s="11">
        <v>0</v>
      </c>
      <c r="I17" s="11">
        <v>3</v>
      </c>
      <c r="J17" s="11">
        <v>1.86</v>
      </c>
      <c r="K17" s="11">
        <v>2.0699999999999998</v>
      </c>
      <c r="L17" s="11">
        <v>1.21</v>
      </c>
      <c r="M17" s="11">
        <v>0</v>
      </c>
      <c r="N17" s="10">
        <v>0</v>
      </c>
      <c r="O17" s="11">
        <v>0</v>
      </c>
      <c r="P17" s="11">
        <v>3.13</v>
      </c>
      <c r="Q17" s="11">
        <v>5.76</v>
      </c>
      <c r="R17" s="18">
        <v>398</v>
      </c>
      <c r="S17" s="18">
        <v>174</v>
      </c>
      <c r="T17" s="12">
        <v>98.7</v>
      </c>
      <c r="U17" s="11">
        <v>2.4</v>
      </c>
      <c r="V17" s="11">
        <v>1.02</v>
      </c>
      <c r="W17" s="11">
        <v>0</v>
      </c>
      <c r="X17" s="11">
        <v>0</v>
      </c>
      <c r="Y17" s="11">
        <v>0</v>
      </c>
      <c r="Z17" s="11">
        <v>0</v>
      </c>
      <c r="AA17" s="11">
        <v>0</v>
      </c>
      <c r="AB17" s="11">
        <v>0</v>
      </c>
      <c r="AC17">
        <v>0</v>
      </c>
      <c r="AD17">
        <v>0</v>
      </c>
      <c r="AE17">
        <v>0</v>
      </c>
      <c r="AF17">
        <v>0</v>
      </c>
      <c r="AG17" s="11">
        <v>0</v>
      </c>
      <c r="AH17" s="11">
        <v>0.55600000000000005</v>
      </c>
      <c r="AI17" s="18">
        <v>126</v>
      </c>
      <c r="AJ17" s="18">
        <v>549</v>
      </c>
      <c r="AK17" s="18">
        <v>333</v>
      </c>
      <c r="AL17" s="12">
        <v>24.4</v>
      </c>
      <c r="AM17" s="11">
        <v>9.09</v>
      </c>
      <c r="AN17" s="11">
        <v>2.59</v>
      </c>
      <c r="AO17" s="4">
        <f t="shared" si="0"/>
        <v>9.6999999999999993</v>
      </c>
      <c r="AP17" s="4">
        <f t="shared" si="1"/>
        <v>0</v>
      </c>
      <c r="AQ17" s="4">
        <f t="shared" si="2"/>
        <v>683.01</v>
      </c>
      <c r="AR17" s="4">
        <f t="shared" si="3"/>
        <v>1044.636</v>
      </c>
      <c r="AS17" s="4">
        <f t="shared" si="4"/>
        <v>9.6999999999999993</v>
      </c>
      <c r="AT17" s="4">
        <f t="shared" si="5"/>
        <v>1054.336</v>
      </c>
      <c r="AU17" s="4">
        <f t="shared" si="6"/>
        <v>692.71</v>
      </c>
      <c r="AV17" s="4">
        <f t="shared" si="7"/>
        <v>1044.636</v>
      </c>
    </row>
    <row r="18" spans="1:48" x14ac:dyDescent="0.25">
      <c r="A18" s="2">
        <v>45128</v>
      </c>
      <c r="B18" t="s">
        <v>39</v>
      </c>
      <c r="C18" s="11">
        <v>0</v>
      </c>
      <c r="D18" s="11">
        <v>0</v>
      </c>
      <c r="E18" s="11">
        <v>0</v>
      </c>
      <c r="F18" s="11">
        <v>0</v>
      </c>
      <c r="G18" s="11">
        <v>0</v>
      </c>
      <c r="H18" s="11">
        <v>0</v>
      </c>
      <c r="I18" s="11">
        <v>2.88</v>
      </c>
      <c r="J18" s="11">
        <v>1.78</v>
      </c>
      <c r="K18" s="11">
        <v>2.2000000000000002</v>
      </c>
      <c r="L18" s="11">
        <v>1.27</v>
      </c>
      <c r="M18" s="11">
        <v>0</v>
      </c>
      <c r="N18" s="10">
        <v>0</v>
      </c>
      <c r="O18" s="11">
        <v>0</v>
      </c>
      <c r="P18" s="11">
        <v>3.69</v>
      </c>
      <c r="Q18" s="11">
        <v>5.71</v>
      </c>
      <c r="R18" s="18">
        <v>365</v>
      </c>
      <c r="S18" s="18">
        <v>184</v>
      </c>
      <c r="T18" s="18">
        <v>120</v>
      </c>
      <c r="U18" s="11">
        <v>2.69</v>
      </c>
      <c r="V18" s="11">
        <v>1.35</v>
      </c>
      <c r="W18" s="11">
        <v>0</v>
      </c>
      <c r="X18" s="11">
        <v>0</v>
      </c>
      <c r="Y18" s="11">
        <v>0</v>
      </c>
      <c r="Z18" s="11">
        <v>0</v>
      </c>
      <c r="AA18" s="11">
        <v>0</v>
      </c>
      <c r="AB18" s="11">
        <v>0</v>
      </c>
      <c r="AC18">
        <v>0</v>
      </c>
      <c r="AD18">
        <v>0</v>
      </c>
      <c r="AE18">
        <v>0</v>
      </c>
      <c r="AF18">
        <v>0</v>
      </c>
      <c r="AG18" s="11">
        <v>0</v>
      </c>
      <c r="AH18" s="11">
        <v>0.58899999999999997</v>
      </c>
      <c r="AI18" s="18">
        <v>117</v>
      </c>
      <c r="AJ18" s="18">
        <v>526</v>
      </c>
      <c r="AK18" s="18">
        <v>357</v>
      </c>
      <c r="AL18" s="12">
        <v>25.7</v>
      </c>
      <c r="AM18" s="11">
        <v>6.76</v>
      </c>
      <c r="AN18" s="11">
        <v>1.26</v>
      </c>
      <c r="AO18" s="4">
        <f t="shared" si="0"/>
        <v>8.1300000000000008</v>
      </c>
      <c r="AP18" s="4">
        <f t="shared" si="1"/>
        <v>0</v>
      </c>
      <c r="AQ18" s="4">
        <f t="shared" si="2"/>
        <v>682.44</v>
      </c>
      <c r="AR18" s="4">
        <f t="shared" si="3"/>
        <v>1034.309</v>
      </c>
      <c r="AS18" s="4">
        <f t="shared" si="4"/>
        <v>8.1300000000000008</v>
      </c>
      <c r="AT18" s="4">
        <f t="shared" si="5"/>
        <v>1042.4390000000001</v>
      </c>
      <c r="AU18" s="4">
        <f t="shared" si="6"/>
        <v>690.57</v>
      </c>
      <c r="AV18" s="4">
        <f t="shared" si="7"/>
        <v>1034.309</v>
      </c>
    </row>
    <row r="19" spans="1:48" x14ac:dyDescent="0.25">
      <c r="B19" t="s">
        <v>40</v>
      </c>
      <c r="C19" s="11">
        <v>0</v>
      </c>
      <c r="D19" s="11">
        <v>0</v>
      </c>
      <c r="E19" s="11">
        <v>0</v>
      </c>
      <c r="F19" s="11">
        <v>0</v>
      </c>
      <c r="G19" s="11">
        <v>0</v>
      </c>
      <c r="H19" s="11">
        <v>0</v>
      </c>
      <c r="I19" s="11">
        <v>2.2000000000000002</v>
      </c>
      <c r="J19" s="11">
        <v>1.23</v>
      </c>
      <c r="K19" s="11">
        <v>1.52</v>
      </c>
      <c r="L19" s="11">
        <v>0.75</v>
      </c>
      <c r="M19" s="11">
        <v>0</v>
      </c>
      <c r="N19" s="10">
        <v>0</v>
      </c>
      <c r="O19" s="11">
        <v>0</v>
      </c>
      <c r="P19" s="11">
        <v>2.2400000000000002</v>
      </c>
      <c r="Q19" s="11">
        <v>3.6</v>
      </c>
      <c r="R19" s="18">
        <v>290</v>
      </c>
      <c r="S19" s="18">
        <v>118</v>
      </c>
      <c r="T19" s="12">
        <v>85.7</v>
      </c>
      <c r="U19" s="11">
        <v>1.52</v>
      </c>
      <c r="V19" s="11">
        <v>0.58199999999999996</v>
      </c>
      <c r="W19" s="11">
        <v>0</v>
      </c>
      <c r="X19" s="11">
        <v>0</v>
      </c>
      <c r="Y19" s="11">
        <v>0</v>
      </c>
      <c r="Z19" s="11">
        <v>0</v>
      </c>
      <c r="AA19" s="11">
        <v>0</v>
      </c>
      <c r="AB19" s="11">
        <v>0</v>
      </c>
      <c r="AC19">
        <v>0</v>
      </c>
      <c r="AD19">
        <v>0</v>
      </c>
      <c r="AE19">
        <v>0</v>
      </c>
      <c r="AF19">
        <v>0</v>
      </c>
      <c r="AG19" s="11">
        <v>0</v>
      </c>
      <c r="AH19" s="11">
        <v>0</v>
      </c>
      <c r="AI19" s="12">
        <v>81.7</v>
      </c>
      <c r="AJ19" s="18">
        <v>372</v>
      </c>
      <c r="AK19" s="18">
        <v>218</v>
      </c>
      <c r="AL19" s="12">
        <v>14.1</v>
      </c>
      <c r="AM19" s="11">
        <v>3.08</v>
      </c>
      <c r="AN19" s="11">
        <v>0.55400000000000005</v>
      </c>
      <c r="AO19" s="4">
        <f t="shared" si="0"/>
        <v>5.7</v>
      </c>
      <c r="AP19" s="4">
        <f t="shared" si="1"/>
        <v>0</v>
      </c>
      <c r="AQ19" s="4">
        <f t="shared" si="2"/>
        <v>501.64199999999994</v>
      </c>
      <c r="AR19" s="4">
        <f t="shared" si="3"/>
        <v>689.43400000000008</v>
      </c>
      <c r="AS19" s="4">
        <f t="shared" si="4"/>
        <v>5.7</v>
      </c>
      <c r="AT19" s="4">
        <f t="shared" si="5"/>
        <v>695.13400000000013</v>
      </c>
      <c r="AU19" s="4">
        <f t="shared" si="6"/>
        <v>507.34199999999993</v>
      </c>
      <c r="AV19" s="4">
        <f t="shared" si="7"/>
        <v>689.43400000000008</v>
      </c>
    </row>
    <row r="20" spans="1:48" x14ac:dyDescent="0.25">
      <c r="B20" t="s">
        <v>41</v>
      </c>
      <c r="C20" s="11">
        <v>0</v>
      </c>
      <c r="D20" s="11">
        <v>0</v>
      </c>
      <c r="E20" s="11">
        <v>0</v>
      </c>
      <c r="F20" s="11">
        <v>0</v>
      </c>
      <c r="G20" s="11">
        <v>0</v>
      </c>
      <c r="H20" s="11">
        <v>0</v>
      </c>
      <c r="I20" s="11">
        <v>2.35</v>
      </c>
      <c r="J20" s="11">
        <v>1.42</v>
      </c>
      <c r="K20" s="11">
        <v>1.55</v>
      </c>
      <c r="L20" s="11">
        <v>0.65900000000000003</v>
      </c>
      <c r="M20" s="11">
        <v>0</v>
      </c>
      <c r="N20" s="10">
        <v>0</v>
      </c>
      <c r="O20" s="11">
        <v>0</v>
      </c>
      <c r="P20" s="11">
        <v>1.58</v>
      </c>
      <c r="Q20" s="11">
        <v>4.21</v>
      </c>
      <c r="R20" s="18">
        <v>324</v>
      </c>
      <c r="S20" s="18">
        <v>142</v>
      </c>
      <c r="T20" s="12">
        <v>76.2</v>
      </c>
      <c r="U20" s="11">
        <v>1.42</v>
      </c>
      <c r="V20" s="11">
        <v>0.68200000000000005</v>
      </c>
      <c r="W20" s="11">
        <v>0</v>
      </c>
      <c r="X20" s="11">
        <v>0</v>
      </c>
      <c r="Y20" s="11">
        <v>0</v>
      </c>
      <c r="Z20" s="11">
        <v>0</v>
      </c>
      <c r="AA20" s="11">
        <v>0</v>
      </c>
      <c r="AB20" s="11">
        <v>0</v>
      </c>
      <c r="AC20">
        <v>0</v>
      </c>
      <c r="AD20">
        <v>0</v>
      </c>
      <c r="AE20">
        <v>0</v>
      </c>
      <c r="AF20">
        <v>0</v>
      </c>
      <c r="AG20" s="11">
        <v>0</v>
      </c>
      <c r="AH20" s="11">
        <v>0</v>
      </c>
      <c r="AI20" s="18">
        <v>108</v>
      </c>
      <c r="AJ20" s="18">
        <v>472</v>
      </c>
      <c r="AK20" s="18">
        <v>256</v>
      </c>
      <c r="AL20" s="12">
        <v>12.7</v>
      </c>
      <c r="AM20" s="11">
        <v>2.78</v>
      </c>
      <c r="AN20" s="11">
        <v>0.51900000000000002</v>
      </c>
      <c r="AO20" s="4">
        <f t="shared" si="0"/>
        <v>5.9790000000000001</v>
      </c>
      <c r="AP20" s="4">
        <f t="shared" si="1"/>
        <v>0</v>
      </c>
      <c r="AQ20" s="4">
        <f t="shared" si="2"/>
        <v>550.09199999999998</v>
      </c>
      <c r="AR20" s="4">
        <f t="shared" si="3"/>
        <v>851.99900000000002</v>
      </c>
      <c r="AS20" s="4">
        <f t="shared" si="4"/>
        <v>5.9790000000000001</v>
      </c>
      <c r="AT20" s="4">
        <f t="shared" si="5"/>
        <v>857.97800000000007</v>
      </c>
      <c r="AU20" s="4">
        <f t="shared" si="6"/>
        <v>556.07100000000003</v>
      </c>
      <c r="AV20" s="4">
        <f t="shared" si="7"/>
        <v>851.99900000000002</v>
      </c>
    </row>
    <row r="21" spans="1:48" x14ac:dyDescent="0.25">
      <c r="A21" s="2">
        <v>45140</v>
      </c>
      <c r="B21" t="s">
        <v>39</v>
      </c>
      <c r="C21" s="11">
        <v>0</v>
      </c>
      <c r="D21" s="11">
        <v>0</v>
      </c>
      <c r="E21" s="11">
        <v>0</v>
      </c>
      <c r="F21" s="11">
        <v>0</v>
      </c>
      <c r="G21" s="11">
        <v>0</v>
      </c>
      <c r="H21" s="11">
        <v>0</v>
      </c>
      <c r="I21" s="11">
        <v>1.86</v>
      </c>
      <c r="J21" s="11">
        <v>1.17</v>
      </c>
      <c r="K21" s="11">
        <v>1.2</v>
      </c>
      <c r="L21" s="11">
        <v>0</v>
      </c>
      <c r="M21" s="11">
        <v>0</v>
      </c>
      <c r="N21" s="10">
        <v>0</v>
      </c>
      <c r="O21" s="11">
        <v>0</v>
      </c>
      <c r="P21" s="11">
        <v>0.995</v>
      </c>
      <c r="Q21" s="11">
        <v>3.08</v>
      </c>
      <c r="R21" s="18">
        <v>245</v>
      </c>
      <c r="S21" s="12">
        <v>97.9</v>
      </c>
      <c r="T21" s="12">
        <v>68.8</v>
      </c>
      <c r="U21" s="11">
        <v>1.0900000000000001</v>
      </c>
      <c r="V21" s="11">
        <v>0.51</v>
      </c>
      <c r="W21" s="11">
        <v>0</v>
      </c>
      <c r="X21" s="11">
        <v>0</v>
      </c>
      <c r="Y21" s="11">
        <v>0</v>
      </c>
      <c r="Z21" s="11">
        <v>0</v>
      </c>
      <c r="AA21" s="11">
        <v>0</v>
      </c>
      <c r="AB21" s="11">
        <v>0</v>
      </c>
      <c r="AC21">
        <v>0</v>
      </c>
      <c r="AD21">
        <v>0</v>
      </c>
      <c r="AE21">
        <v>0</v>
      </c>
      <c r="AF21">
        <v>0</v>
      </c>
      <c r="AG21" s="11">
        <v>0</v>
      </c>
      <c r="AH21" s="11">
        <v>0</v>
      </c>
      <c r="AI21" s="12">
        <v>75.7</v>
      </c>
      <c r="AJ21" s="18">
        <v>348</v>
      </c>
      <c r="AK21" s="18">
        <v>176</v>
      </c>
      <c r="AL21" s="11">
        <v>6.9</v>
      </c>
      <c r="AM21" s="11">
        <v>1.1200000000000001</v>
      </c>
      <c r="AN21" s="11">
        <v>0</v>
      </c>
      <c r="AO21" s="4">
        <f t="shared" si="0"/>
        <v>4.2300000000000004</v>
      </c>
      <c r="AP21" s="4">
        <f t="shared" si="1"/>
        <v>0</v>
      </c>
      <c r="AQ21" s="4">
        <f t="shared" si="2"/>
        <v>417.375</v>
      </c>
      <c r="AR21" s="4">
        <f t="shared" si="3"/>
        <v>607.72</v>
      </c>
      <c r="AS21" s="4">
        <f t="shared" si="4"/>
        <v>4.2300000000000004</v>
      </c>
      <c r="AT21" s="4">
        <f t="shared" si="5"/>
        <v>611.95000000000005</v>
      </c>
      <c r="AU21" s="4">
        <f t="shared" si="6"/>
        <v>421.60500000000002</v>
      </c>
      <c r="AV21" s="4">
        <f t="shared" si="7"/>
        <v>607.72</v>
      </c>
    </row>
    <row r="22" spans="1:48" x14ac:dyDescent="0.25">
      <c r="B22" t="s">
        <v>40</v>
      </c>
      <c r="C22" s="11">
        <v>0</v>
      </c>
      <c r="D22" s="11">
        <v>0</v>
      </c>
      <c r="E22" s="11">
        <v>0</v>
      </c>
      <c r="F22" s="11">
        <v>0</v>
      </c>
      <c r="G22" s="11">
        <v>0</v>
      </c>
      <c r="H22" s="11">
        <v>0</v>
      </c>
      <c r="I22" s="11">
        <v>1.4</v>
      </c>
      <c r="J22" s="11">
        <v>0.74299999999999999</v>
      </c>
      <c r="K22" s="11">
        <v>0.8</v>
      </c>
      <c r="L22" s="11">
        <v>0</v>
      </c>
      <c r="M22" s="11">
        <v>0</v>
      </c>
      <c r="N22" s="10">
        <v>0</v>
      </c>
      <c r="O22" s="11">
        <v>0</v>
      </c>
      <c r="P22" s="11">
        <v>0</v>
      </c>
      <c r="Q22" s="11">
        <v>1.8</v>
      </c>
      <c r="R22" s="18">
        <v>181</v>
      </c>
      <c r="S22" s="12">
        <v>65.599999999999994</v>
      </c>
      <c r="T22" s="12">
        <v>33.5</v>
      </c>
      <c r="U22" s="11">
        <v>0.58699999999999997</v>
      </c>
      <c r="V22" s="11">
        <v>0</v>
      </c>
      <c r="W22" s="11">
        <v>0</v>
      </c>
      <c r="X22" s="11">
        <v>0</v>
      </c>
      <c r="Y22" s="11">
        <v>0</v>
      </c>
      <c r="Z22" s="11">
        <v>0</v>
      </c>
      <c r="AA22" s="11">
        <v>0</v>
      </c>
      <c r="AB22" s="11">
        <v>0</v>
      </c>
      <c r="AC22">
        <v>0</v>
      </c>
      <c r="AD22">
        <v>0</v>
      </c>
      <c r="AE22">
        <v>0</v>
      </c>
      <c r="AF22">
        <v>0</v>
      </c>
      <c r="AG22" s="11">
        <v>0</v>
      </c>
      <c r="AH22" s="11">
        <v>0</v>
      </c>
      <c r="AI22" s="12">
        <v>51.4</v>
      </c>
      <c r="AJ22" s="18">
        <v>229</v>
      </c>
      <c r="AK22" s="12">
        <v>94.8</v>
      </c>
      <c r="AL22" s="11">
        <v>4.12</v>
      </c>
      <c r="AM22" s="11">
        <v>0.63700000000000001</v>
      </c>
      <c r="AN22" s="11">
        <v>0</v>
      </c>
      <c r="AO22" s="4">
        <f t="shared" si="0"/>
        <v>2.9429999999999996</v>
      </c>
      <c r="AP22" s="4">
        <f t="shared" si="1"/>
        <v>0</v>
      </c>
      <c r="AQ22" s="4">
        <f t="shared" si="2"/>
        <v>282.48699999999997</v>
      </c>
      <c r="AR22" s="4">
        <f t="shared" si="3"/>
        <v>379.95699999999999</v>
      </c>
      <c r="AS22" s="4">
        <f t="shared" si="4"/>
        <v>2.9429999999999996</v>
      </c>
      <c r="AT22" s="4">
        <f t="shared" si="5"/>
        <v>382.9</v>
      </c>
      <c r="AU22" s="4">
        <f t="shared" si="6"/>
        <v>285.42999999999995</v>
      </c>
      <c r="AV22" s="4">
        <f t="shared" si="7"/>
        <v>379.95699999999999</v>
      </c>
    </row>
    <row r="23" spans="1:48" x14ac:dyDescent="0.25">
      <c r="B23" t="s">
        <v>41</v>
      </c>
      <c r="C23" s="11">
        <v>0</v>
      </c>
      <c r="D23" s="11">
        <v>0</v>
      </c>
      <c r="E23" s="11">
        <v>0</v>
      </c>
      <c r="F23" s="11">
        <v>0</v>
      </c>
      <c r="G23" s="11">
        <v>0</v>
      </c>
      <c r="H23" s="11">
        <v>0</v>
      </c>
      <c r="I23" s="11">
        <v>1.56</v>
      </c>
      <c r="J23" s="11">
        <v>0.90500000000000003</v>
      </c>
      <c r="K23" s="11">
        <v>0.75900000000000001</v>
      </c>
      <c r="L23" s="11">
        <v>0</v>
      </c>
      <c r="M23" s="11">
        <v>0</v>
      </c>
      <c r="N23" s="10">
        <v>0</v>
      </c>
      <c r="O23" s="11">
        <v>0</v>
      </c>
      <c r="P23" s="11">
        <v>0</v>
      </c>
      <c r="Q23" s="11">
        <v>1.97</v>
      </c>
      <c r="R23" s="18">
        <v>216</v>
      </c>
      <c r="S23" s="12">
        <v>79.099999999999994</v>
      </c>
      <c r="T23" s="12">
        <v>33.299999999999997</v>
      </c>
      <c r="U23" s="11">
        <v>0</v>
      </c>
      <c r="V23" s="11">
        <v>0</v>
      </c>
      <c r="W23" s="11">
        <v>0</v>
      </c>
      <c r="X23" s="11">
        <v>0</v>
      </c>
      <c r="Y23" s="11">
        <v>0</v>
      </c>
      <c r="Z23" s="11">
        <v>0</v>
      </c>
      <c r="AA23" s="11">
        <v>0</v>
      </c>
      <c r="AB23" s="11">
        <v>0</v>
      </c>
      <c r="AC23">
        <v>0</v>
      </c>
      <c r="AD23">
        <v>0</v>
      </c>
      <c r="AE23">
        <v>0</v>
      </c>
      <c r="AF23">
        <v>0</v>
      </c>
      <c r="AG23" s="11">
        <v>0</v>
      </c>
      <c r="AH23" s="11">
        <v>0</v>
      </c>
      <c r="AI23" s="12">
        <v>66.7</v>
      </c>
      <c r="AJ23" s="18">
        <v>290</v>
      </c>
      <c r="AK23" s="18">
        <v>118</v>
      </c>
      <c r="AL23" s="11">
        <v>3.6</v>
      </c>
      <c r="AM23" s="11">
        <v>0.58299999999999996</v>
      </c>
      <c r="AN23" s="11">
        <v>0</v>
      </c>
      <c r="AO23" s="4">
        <f t="shared" si="0"/>
        <v>3.2239999999999998</v>
      </c>
      <c r="AP23" s="4">
        <f t="shared" si="1"/>
        <v>0</v>
      </c>
      <c r="AQ23" s="4">
        <f t="shared" si="2"/>
        <v>330.37</v>
      </c>
      <c r="AR23" s="4">
        <f t="shared" si="3"/>
        <v>478.88300000000004</v>
      </c>
      <c r="AS23" s="4">
        <f t="shared" si="4"/>
        <v>3.2239999999999998</v>
      </c>
      <c r="AT23" s="4">
        <f t="shared" si="5"/>
        <v>482.10700000000003</v>
      </c>
      <c r="AU23" s="4">
        <f t="shared" si="6"/>
        <v>333.59399999999999</v>
      </c>
      <c r="AV23" s="4">
        <f t="shared" si="7"/>
        <v>478.88300000000004</v>
      </c>
    </row>
    <row r="24" spans="1:48" x14ac:dyDescent="0.25">
      <c r="A24" s="2">
        <v>45168</v>
      </c>
      <c r="B24" t="s">
        <v>39</v>
      </c>
      <c r="C24" s="11">
        <v>0</v>
      </c>
      <c r="D24" s="11">
        <v>0</v>
      </c>
      <c r="E24" s="11">
        <v>0</v>
      </c>
      <c r="F24" s="11">
        <v>0</v>
      </c>
      <c r="G24" s="11">
        <v>0</v>
      </c>
      <c r="H24" s="11">
        <v>0</v>
      </c>
      <c r="I24" s="11">
        <v>0.85099999999999998</v>
      </c>
      <c r="J24" s="11">
        <v>0</v>
      </c>
      <c r="K24" s="11">
        <v>0</v>
      </c>
      <c r="L24" s="11">
        <v>0</v>
      </c>
      <c r="M24" s="11">
        <v>0</v>
      </c>
      <c r="N24" s="10">
        <v>0</v>
      </c>
      <c r="O24" s="11">
        <v>0</v>
      </c>
      <c r="P24" s="11">
        <v>0</v>
      </c>
      <c r="Q24" s="11">
        <v>0.85499999999999998</v>
      </c>
      <c r="R24" s="12">
        <v>99.1</v>
      </c>
      <c r="S24" s="12">
        <v>27.6</v>
      </c>
      <c r="T24" s="12">
        <v>12.5</v>
      </c>
      <c r="U24" s="11">
        <v>0</v>
      </c>
      <c r="V24" s="11">
        <v>0</v>
      </c>
      <c r="W24" s="11">
        <v>0</v>
      </c>
      <c r="X24" s="11">
        <v>0</v>
      </c>
      <c r="Y24" s="11">
        <v>0</v>
      </c>
      <c r="Z24" s="11">
        <v>0</v>
      </c>
      <c r="AA24" s="11">
        <v>0</v>
      </c>
      <c r="AB24" s="11">
        <v>0</v>
      </c>
      <c r="AC24">
        <v>0</v>
      </c>
      <c r="AD24">
        <v>0</v>
      </c>
      <c r="AE24">
        <v>0</v>
      </c>
      <c r="AF24">
        <v>0</v>
      </c>
      <c r="AG24" s="11">
        <v>0</v>
      </c>
      <c r="AH24" s="11">
        <v>0</v>
      </c>
      <c r="AI24" s="12">
        <v>33.799999999999997</v>
      </c>
      <c r="AJ24" s="18">
        <v>122</v>
      </c>
      <c r="AK24" s="12">
        <v>33.1</v>
      </c>
      <c r="AL24" s="11">
        <v>1.63</v>
      </c>
      <c r="AM24" s="11">
        <v>0</v>
      </c>
      <c r="AN24" s="11">
        <v>0</v>
      </c>
      <c r="AO24" s="4">
        <f t="shared" si="0"/>
        <v>0.85099999999999998</v>
      </c>
      <c r="AP24" s="4">
        <f t="shared" si="1"/>
        <v>0</v>
      </c>
      <c r="AQ24" s="4">
        <f t="shared" si="2"/>
        <v>140.05500000000001</v>
      </c>
      <c r="AR24" s="4">
        <f t="shared" si="3"/>
        <v>190.53</v>
      </c>
      <c r="AS24" s="4">
        <f t="shared" si="4"/>
        <v>0.85099999999999998</v>
      </c>
      <c r="AT24" s="4">
        <f t="shared" si="5"/>
        <v>191.381</v>
      </c>
      <c r="AU24" s="4">
        <f t="shared" si="6"/>
        <v>140.90600000000001</v>
      </c>
      <c r="AV24" s="4">
        <f t="shared" si="7"/>
        <v>190.53</v>
      </c>
    </row>
    <row r="25" spans="1:48" x14ac:dyDescent="0.25">
      <c r="B25" t="s">
        <v>40</v>
      </c>
      <c r="C25" s="11">
        <v>0</v>
      </c>
      <c r="D25" s="11">
        <v>0</v>
      </c>
      <c r="E25" s="11">
        <v>0</v>
      </c>
      <c r="F25" s="11">
        <v>0</v>
      </c>
      <c r="G25" s="11">
        <v>0</v>
      </c>
      <c r="H25" s="11">
        <v>0</v>
      </c>
      <c r="I25" s="11">
        <v>0.66100000000000003</v>
      </c>
      <c r="J25" s="11">
        <v>0</v>
      </c>
      <c r="K25" s="11">
        <v>0</v>
      </c>
      <c r="L25" s="11">
        <v>0</v>
      </c>
      <c r="M25" s="11">
        <v>0</v>
      </c>
      <c r="N25" s="10">
        <v>0</v>
      </c>
      <c r="O25" s="11">
        <v>0</v>
      </c>
      <c r="P25" s="11">
        <v>0</v>
      </c>
      <c r="Q25" s="11">
        <v>0</v>
      </c>
      <c r="R25" s="12">
        <v>89.2</v>
      </c>
      <c r="S25" s="12">
        <v>23.3</v>
      </c>
      <c r="T25" s="11">
        <v>7.11</v>
      </c>
      <c r="U25" s="11">
        <v>0</v>
      </c>
      <c r="V25" s="11">
        <v>0</v>
      </c>
      <c r="W25" s="11">
        <v>0</v>
      </c>
      <c r="X25" s="11">
        <v>0</v>
      </c>
      <c r="Y25" s="11">
        <v>0</v>
      </c>
      <c r="Z25" s="11">
        <v>0</v>
      </c>
      <c r="AA25" s="11">
        <v>0</v>
      </c>
      <c r="AB25" s="11">
        <v>0</v>
      </c>
      <c r="AC25">
        <v>0</v>
      </c>
      <c r="AD25">
        <v>0</v>
      </c>
      <c r="AE25">
        <v>0</v>
      </c>
      <c r="AF25">
        <v>0</v>
      </c>
      <c r="AG25" s="11">
        <v>0</v>
      </c>
      <c r="AH25" s="11">
        <v>0</v>
      </c>
      <c r="AI25" s="12">
        <v>26.6</v>
      </c>
      <c r="AJ25" s="18">
        <v>113</v>
      </c>
      <c r="AK25" s="12">
        <v>26.1</v>
      </c>
      <c r="AL25" s="11">
        <v>1.04</v>
      </c>
      <c r="AM25" s="11">
        <v>0</v>
      </c>
      <c r="AN25" s="11">
        <v>0</v>
      </c>
      <c r="AO25" s="4">
        <f t="shared" si="0"/>
        <v>0.66100000000000003</v>
      </c>
      <c r="AP25" s="4">
        <f t="shared" si="1"/>
        <v>0</v>
      </c>
      <c r="AQ25" s="4">
        <f t="shared" si="2"/>
        <v>119.61</v>
      </c>
      <c r="AR25" s="4">
        <f t="shared" si="3"/>
        <v>166.73999999999998</v>
      </c>
      <c r="AS25" s="4">
        <f t="shared" si="4"/>
        <v>0.66100000000000003</v>
      </c>
      <c r="AT25" s="4">
        <f t="shared" si="5"/>
        <v>167.40099999999998</v>
      </c>
      <c r="AU25" s="4">
        <f t="shared" si="6"/>
        <v>120.271</v>
      </c>
      <c r="AV25" s="4">
        <f t="shared" si="7"/>
        <v>166.73999999999998</v>
      </c>
    </row>
    <row r="26" spans="1:48" x14ac:dyDescent="0.25">
      <c r="B26" t="s">
        <v>41</v>
      </c>
      <c r="C26" s="11">
        <v>0</v>
      </c>
      <c r="D26" s="11">
        <v>0</v>
      </c>
      <c r="E26" s="11">
        <v>0</v>
      </c>
      <c r="F26" s="11">
        <v>0</v>
      </c>
      <c r="G26" s="11">
        <v>0</v>
      </c>
      <c r="H26" s="11">
        <v>0</v>
      </c>
      <c r="I26" s="11">
        <v>0.64700000000000002</v>
      </c>
      <c r="J26" s="11">
        <v>0</v>
      </c>
      <c r="K26" s="11">
        <v>0</v>
      </c>
      <c r="L26" s="11">
        <v>0</v>
      </c>
      <c r="M26" s="11">
        <v>0</v>
      </c>
      <c r="N26" s="10">
        <v>0</v>
      </c>
      <c r="O26" s="11">
        <v>0</v>
      </c>
      <c r="P26" s="11">
        <v>0</v>
      </c>
      <c r="Q26" s="11">
        <v>0</v>
      </c>
      <c r="R26" s="12">
        <v>99.9</v>
      </c>
      <c r="S26" s="12">
        <v>22.2</v>
      </c>
      <c r="T26" s="11">
        <v>5.09</v>
      </c>
      <c r="U26" s="11">
        <v>0</v>
      </c>
      <c r="V26" s="11">
        <v>0</v>
      </c>
      <c r="W26" s="11">
        <v>0</v>
      </c>
      <c r="X26" s="11">
        <v>0</v>
      </c>
      <c r="Y26" s="11">
        <v>0</v>
      </c>
      <c r="Z26" s="11">
        <v>0</v>
      </c>
      <c r="AA26" s="11">
        <v>0</v>
      </c>
      <c r="AB26" s="11">
        <v>0</v>
      </c>
      <c r="AC26">
        <v>0</v>
      </c>
      <c r="AD26">
        <v>0</v>
      </c>
      <c r="AE26">
        <v>0</v>
      </c>
      <c r="AF26">
        <v>0</v>
      </c>
      <c r="AG26" s="11">
        <v>0</v>
      </c>
      <c r="AH26" s="11">
        <v>0</v>
      </c>
      <c r="AI26" s="12">
        <v>31.7</v>
      </c>
      <c r="AJ26" s="18">
        <v>119</v>
      </c>
      <c r="AK26" s="12">
        <v>25.4</v>
      </c>
      <c r="AL26" s="11">
        <v>1.1399999999999999</v>
      </c>
      <c r="AM26" s="11">
        <v>0</v>
      </c>
      <c r="AN26" s="11">
        <v>0</v>
      </c>
      <c r="AO26" s="4">
        <f t="shared" si="0"/>
        <v>0.64700000000000002</v>
      </c>
      <c r="AP26" s="4">
        <f t="shared" si="1"/>
        <v>0</v>
      </c>
      <c r="AQ26" s="4">
        <f t="shared" si="2"/>
        <v>127.19000000000001</v>
      </c>
      <c r="AR26" s="4">
        <f t="shared" si="3"/>
        <v>177.23999999999998</v>
      </c>
      <c r="AS26" s="4">
        <f t="shared" si="4"/>
        <v>0.64700000000000002</v>
      </c>
      <c r="AT26" s="4">
        <f t="shared" si="5"/>
        <v>177.88699999999997</v>
      </c>
      <c r="AU26" s="4">
        <f t="shared" si="6"/>
        <v>127.83700000000002</v>
      </c>
      <c r="AV26" s="4">
        <f t="shared" si="7"/>
        <v>177.23999999999998</v>
      </c>
    </row>
    <row r="27" spans="1:48" x14ac:dyDescent="0.25">
      <c r="A27" s="2">
        <v>45203</v>
      </c>
      <c r="B27" t="s">
        <v>39</v>
      </c>
      <c r="C27" s="11">
        <v>0</v>
      </c>
      <c r="D27" s="11">
        <v>0</v>
      </c>
      <c r="E27" s="11">
        <v>0</v>
      </c>
      <c r="F27" s="11">
        <v>0</v>
      </c>
      <c r="G27" s="11">
        <v>0</v>
      </c>
      <c r="H27" s="11">
        <v>0</v>
      </c>
      <c r="I27" s="11">
        <v>0</v>
      </c>
      <c r="J27" s="11">
        <v>0</v>
      </c>
      <c r="K27" s="11">
        <v>0</v>
      </c>
      <c r="L27" s="11">
        <v>0</v>
      </c>
      <c r="M27" s="11">
        <v>0</v>
      </c>
      <c r="N27" s="10">
        <v>0</v>
      </c>
      <c r="O27" s="11">
        <v>0</v>
      </c>
      <c r="P27" s="11">
        <v>0</v>
      </c>
      <c r="Q27" s="11">
        <v>0</v>
      </c>
      <c r="R27" s="12">
        <v>45.6</v>
      </c>
      <c r="S27" s="12">
        <v>7.15</v>
      </c>
      <c r="T27" s="11">
        <v>1.5</v>
      </c>
      <c r="U27" s="11">
        <v>0</v>
      </c>
      <c r="V27" s="11">
        <v>0</v>
      </c>
      <c r="W27" s="11">
        <v>0</v>
      </c>
      <c r="X27" s="11">
        <v>0</v>
      </c>
      <c r="Y27" s="11">
        <v>0</v>
      </c>
      <c r="Z27" s="11">
        <v>0</v>
      </c>
      <c r="AA27" s="11">
        <v>0</v>
      </c>
      <c r="AB27" s="11">
        <v>0</v>
      </c>
      <c r="AC27">
        <v>0</v>
      </c>
      <c r="AD27">
        <v>0</v>
      </c>
      <c r="AE27">
        <v>0</v>
      </c>
      <c r="AF27">
        <v>0</v>
      </c>
      <c r="AG27" s="11">
        <v>0</v>
      </c>
      <c r="AH27" s="11">
        <v>0</v>
      </c>
      <c r="AI27" s="12">
        <v>16.7</v>
      </c>
      <c r="AJ27" s="18">
        <v>54.5</v>
      </c>
      <c r="AK27" s="12">
        <v>8.68</v>
      </c>
      <c r="AL27" s="11">
        <v>0.81899999999999995</v>
      </c>
      <c r="AM27" s="11">
        <v>0</v>
      </c>
      <c r="AN27" s="11">
        <v>0</v>
      </c>
      <c r="AO27" s="4">
        <f t="shared" si="0"/>
        <v>0</v>
      </c>
      <c r="AP27" s="4">
        <f t="shared" si="1"/>
        <v>0</v>
      </c>
      <c r="AQ27" s="4">
        <f t="shared" si="2"/>
        <v>54.25</v>
      </c>
      <c r="AR27" s="4">
        <f t="shared" si="3"/>
        <v>80.698999999999998</v>
      </c>
      <c r="AS27" s="4">
        <f t="shared" si="4"/>
        <v>0</v>
      </c>
      <c r="AT27" s="4">
        <f t="shared" si="5"/>
        <v>80.698999999999998</v>
      </c>
      <c r="AU27" s="4">
        <f t="shared" si="6"/>
        <v>54.25</v>
      </c>
      <c r="AV27" s="4">
        <f t="shared" si="7"/>
        <v>80.698999999999998</v>
      </c>
    </row>
    <row r="28" spans="1:48" x14ac:dyDescent="0.25">
      <c r="B28" t="s">
        <v>40</v>
      </c>
      <c r="C28" s="11">
        <v>0</v>
      </c>
      <c r="D28" s="11">
        <v>0</v>
      </c>
      <c r="E28" s="11">
        <v>0</v>
      </c>
      <c r="F28" s="11">
        <v>0</v>
      </c>
      <c r="G28" s="11">
        <v>0</v>
      </c>
      <c r="H28" s="11">
        <v>0</v>
      </c>
      <c r="I28" s="11">
        <v>0</v>
      </c>
      <c r="J28" s="11">
        <v>0</v>
      </c>
      <c r="K28" s="11">
        <v>0</v>
      </c>
      <c r="L28" s="11">
        <v>0</v>
      </c>
      <c r="M28" s="11">
        <v>0</v>
      </c>
      <c r="N28" s="10">
        <v>0</v>
      </c>
      <c r="O28" s="11">
        <v>0</v>
      </c>
      <c r="P28" s="11">
        <v>0</v>
      </c>
      <c r="Q28" s="11">
        <v>0</v>
      </c>
      <c r="R28" s="12">
        <v>35.6</v>
      </c>
      <c r="S28" s="11">
        <v>4.28</v>
      </c>
      <c r="T28" s="11">
        <v>0</v>
      </c>
      <c r="U28" s="11">
        <v>0</v>
      </c>
      <c r="V28" s="11">
        <v>0</v>
      </c>
      <c r="W28" s="11">
        <v>0</v>
      </c>
      <c r="X28" s="11">
        <v>0</v>
      </c>
      <c r="Y28" s="11">
        <v>0</v>
      </c>
      <c r="Z28" s="11">
        <v>0</v>
      </c>
      <c r="AA28" s="11">
        <v>0</v>
      </c>
      <c r="AB28" s="11">
        <v>0</v>
      </c>
      <c r="AC28">
        <v>0</v>
      </c>
      <c r="AD28">
        <v>0</v>
      </c>
      <c r="AE28">
        <v>0</v>
      </c>
      <c r="AF28">
        <v>0</v>
      </c>
      <c r="AG28" s="11">
        <v>0</v>
      </c>
      <c r="AH28" s="11">
        <v>0</v>
      </c>
      <c r="AI28" s="12">
        <v>10.6</v>
      </c>
      <c r="AJ28" s="12">
        <v>38.299999999999997</v>
      </c>
      <c r="AK28" s="11">
        <v>4.76</v>
      </c>
      <c r="AL28" s="11">
        <v>0</v>
      </c>
      <c r="AM28" s="11">
        <v>0</v>
      </c>
      <c r="AN28" s="11">
        <v>0</v>
      </c>
      <c r="AO28" s="4">
        <f t="shared" si="0"/>
        <v>0</v>
      </c>
      <c r="AP28" s="4">
        <f t="shared" si="1"/>
        <v>0</v>
      </c>
      <c r="AQ28" s="4">
        <f t="shared" si="2"/>
        <v>39.880000000000003</v>
      </c>
      <c r="AR28" s="4">
        <f t="shared" si="3"/>
        <v>53.66</v>
      </c>
      <c r="AS28" s="4">
        <f t="shared" si="4"/>
        <v>0</v>
      </c>
      <c r="AT28" s="4">
        <f t="shared" si="5"/>
        <v>53.66</v>
      </c>
      <c r="AU28" s="4">
        <f t="shared" si="6"/>
        <v>39.880000000000003</v>
      </c>
      <c r="AV28" s="4">
        <f t="shared" si="7"/>
        <v>53.66</v>
      </c>
    </row>
    <row r="29" spans="1:48" x14ac:dyDescent="0.25">
      <c r="B29" t="s">
        <v>41</v>
      </c>
      <c r="C29" s="11">
        <v>0</v>
      </c>
      <c r="D29" s="11">
        <v>0</v>
      </c>
      <c r="E29" s="11">
        <v>0</v>
      </c>
      <c r="F29" s="11">
        <v>0</v>
      </c>
      <c r="G29" s="11">
        <v>0</v>
      </c>
      <c r="H29" s="11">
        <v>0</v>
      </c>
      <c r="I29" s="11">
        <v>0</v>
      </c>
      <c r="J29" s="11">
        <v>0</v>
      </c>
      <c r="K29" s="11">
        <v>0</v>
      </c>
      <c r="L29" s="11">
        <v>0</v>
      </c>
      <c r="M29" s="11">
        <v>0</v>
      </c>
      <c r="N29" s="10">
        <v>0</v>
      </c>
      <c r="O29" s="11">
        <v>0</v>
      </c>
      <c r="P29" s="11">
        <v>0</v>
      </c>
      <c r="Q29" s="11">
        <v>0</v>
      </c>
      <c r="R29" s="12">
        <v>54.4</v>
      </c>
      <c r="S29" s="11">
        <v>5.21</v>
      </c>
      <c r="T29" s="11">
        <v>0.64900000000000002</v>
      </c>
      <c r="U29" s="11">
        <v>0</v>
      </c>
      <c r="V29" s="11">
        <v>0</v>
      </c>
      <c r="W29" s="11">
        <v>0</v>
      </c>
      <c r="X29" s="11">
        <v>0</v>
      </c>
      <c r="Y29" s="11">
        <v>0</v>
      </c>
      <c r="Z29" s="11">
        <v>0</v>
      </c>
      <c r="AA29" s="11">
        <v>0</v>
      </c>
      <c r="AB29" s="11">
        <v>0</v>
      </c>
      <c r="AC29">
        <v>0</v>
      </c>
      <c r="AD29">
        <v>0</v>
      </c>
      <c r="AE29">
        <v>0</v>
      </c>
      <c r="AF29">
        <v>0</v>
      </c>
      <c r="AG29" s="11">
        <v>0</v>
      </c>
      <c r="AH29" s="11">
        <v>0</v>
      </c>
      <c r="AI29" s="12">
        <v>15.9</v>
      </c>
      <c r="AJ29" s="12">
        <v>66.099999999999994</v>
      </c>
      <c r="AK29" s="11">
        <v>7.78</v>
      </c>
      <c r="AL29" s="11">
        <v>0</v>
      </c>
      <c r="AM29" s="11">
        <v>0</v>
      </c>
      <c r="AN29" s="11">
        <v>0</v>
      </c>
      <c r="AO29" s="4">
        <f t="shared" si="0"/>
        <v>0</v>
      </c>
      <c r="AP29" s="4">
        <f t="shared" si="1"/>
        <v>0</v>
      </c>
      <c r="AQ29" s="4">
        <f t="shared" si="2"/>
        <v>60.259</v>
      </c>
      <c r="AR29" s="4">
        <f t="shared" si="3"/>
        <v>89.78</v>
      </c>
      <c r="AS29" s="4">
        <f t="shared" si="4"/>
        <v>0</v>
      </c>
      <c r="AT29" s="4">
        <f t="shared" si="5"/>
        <v>89.78</v>
      </c>
      <c r="AU29" s="4">
        <f t="shared" si="6"/>
        <v>60.259</v>
      </c>
      <c r="AV29" s="4">
        <f t="shared" si="7"/>
        <v>89.78</v>
      </c>
    </row>
    <row r="30" spans="1:48" x14ac:dyDescent="0.25">
      <c r="A30" s="2" t="s">
        <v>110</v>
      </c>
      <c r="B30">
        <v>1</v>
      </c>
      <c r="C30">
        <f>LN(C15)</f>
        <v>1.1537315878891892</v>
      </c>
      <c r="D30" t="e">
        <f t="shared" ref="D30:AM30" si="8">LN(D15)</f>
        <v>#NUM!</v>
      </c>
      <c r="E30" t="e">
        <f t="shared" si="8"/>
        <v>#NUM!</v>
      </c>
      <c r="F30" t="e">
        <f t="shared" si="8"/>
        <v>#NUM!</v>
      </c>
      <c r="G30">
        <f t="shared" si="8"/>
        <v>0.8586616190375187</v>
      </c>
      <c r="H30" t="e">
        <f t="shared" si="8"/>
        <v>#NUM!</v>
      </c>
      <c r="I30">
        <f t="shared" si="8"/>
        <v>1.199964782928397</v>
      </c>
      <c r="J30">
        <f t="shared" si="8"/>
        <v>0.72270598280148979</v>
      </c>
      <c r="K30">
        <f t="shared" si="8"/>
        <v>0.96317431777300555</v>
      </c>
      <c r="L30">
        <f t="shared" si="8"/>
        <v>0.70309751141311339</v>
      </c>
      <c r="M30">
        <f t="shared" si="8"/>
        <v>-0.19479907830506729</v>
      </c>
      <c r="N30" t="e">
        <f t="shared" si="8"/>
        <v>#NUM!</v>
      </c>
      <c r="O30" t="e">
        <f t="shared" si="8"/>
        <v>#NUM!</v>
      </c>
      <c r="P30">
        <f t="shared" si="8"/>
        <v>1.6154199841116479</v>
      </c>
      <c r="Q30">
        <f t="shared" si="8"/>
        <v>1.8946168546677629</v>
      </c>
      <c r="R30">
        <f t="shared" si="8"/>
        <v>6.0282785202306979</v>
      </c>
      <c r="S30">
        <f t="shared" si="8"/>
        <v>5.3082676974012051</v>
      </c>
      <c r="T30">
        <f t="shared" si="8"/>
        <v>5.0106352940962555</v>
      </c>
      <c r="U30">
        <f t="shared" si="8"/>
        <v>1.4609379041156563</v>
      </c>
      <c r="V30">
        <f t="shared" si="8"/>
        <v>0.66268797307523675</v>
      </c>
      <c r="W30" t="e">
        <f t="shared" si="8"/>
        <v>#NUM!</v>
      </c>
      <c r="X30" t="e">
        <f t="shared" si="8"/>
        <v>#NUM!</v>
      </c>
      <c r="Y30" t="e">
        <f t="shared" si="8"/>
        <v>#NUM!</v>
      </c>
      <c r="Z30" t="e">
        <f t="shared" si="8"/>
        <v>#NUM!</v>
      </c>
      <c r="AA30" t="e">
        <f t="shared" si="8"/>
        <v>#NUM!</v>
      </c>
      <c r="AB30" t="e">
        <f t="shared" si="8"/>
        <v>#NUM!</v>
      </c>
      <c r="AC30" t="e">
        <f t="shared" si="8"/>
        <v>#NUM!</v>
      </c>
      <c r="AD30" t="e">
        <f t="shared" si="8"/>
        <v>#NUM!</v>
      </c>
      <c r="AE30" t="e">
        <f t="shared" si="8"/>
        <v>#NUM!</v>
      </c>
      <c r="AF30" t="e">
        <f t="shared" si="8"/>
        <v>#NUM!</v>
      </c>
      <c r="AG30" t="e">
        <f t="shared" si="8"/>
        <v>#NUM!</v>
      </c>
      <c r="AH30">
        <f t="shared" si="8"/>
        <v>-0.2836900511822435</v>
      </c>
      <c r="AI30">
        <f t="shared" si="8"/>
        <v>4.8598124043616719</v>
      </c>
      <c r="AJ30">
        <f t="shared" si="8"/>
        <v>6.4199949281471422</v>
      </c>
      <c r="AK30">
        <f t="shared" si="8"/>
        <v>6.0591231955817966</v>
      </c>
      <c r="AL30">
        <f t="shared" si="8"/>
        <v>3.6988297849671046</v>
      </c>
      <c r="AM30">
        <f t="shared" si="8"/>
        <v>2.8094026953624978</v>
      </c>
      <c r="AN30">
        <f>LN(AN15)</f>
        <v>1.5129270120532565</v>
      </c>
      <c r="AO30">
        <f t="shared" ref="AO30:AV30" si="9">LN(AO15)</f>
        <v>2.7956336366573553</v>
      </c>
      <c r="AP30" t="e">
        <f t="shared" si="9"/>
        <v>#NUM!</v>
      </c>
      <c r="AQ30">
        <f t="shared" si="9"/>
        <v>6.6655945418318296</v>
      </c>
      <c r="AR30">
        <f t="shared" si="9"/>
        <v>7.1174431067267587</v>
      </c>
      <c r="AS30">
        <f t="shared" si="9"/>
        <v>2.7956336366573553</v>
      </c>
      <c r="AT30">
        <f t="shared" si="9"/>
        <v>7.1306315945920664</v>
      </c>
      <c r="AU30">
        <f t="shared" si="9"/>
        <v>6.6862391526931528</v>
      </c>
      <c r="AV30">
        <f t="shared" si="9"/>
        <v>7.1174431067267587</v>
      </c>
    </row>
    <row r="31" spans="1:48" x14ac:dyDescent="0.25">
      <c r="B31">
        <v>5</v>
      </c>
      <c r="C31" t="e">
        <f t="shared" ref="C31:AN31" si="10">LN(C18)</f>
        <v>#NUM!</v>
      </c>
      <c r="D31" t="e">
        <f t="shared" si="10"/>
        <v>#NUM!</v>
      </c>
      <c r="E31" t="e">
        <f t="shared" si="10"/>
        <v>#NUM!</v>
      </c>
      <c r="F31" t="e">
        <f t="shared" si="10"/>
        <v>#NUM!</v>
      </c>
      <c r="G31" t="e">
        <f t="shared" si="10"/>
        <v>#NUM!</v>
      </c>
      <c r="H31" t="e">
        <f t="shared" si="10"/>
        <v>#NUM!</v>
      </c>
      <c r="I31">
        <f t="shared" si="10"/>
        <v>1.0577902941478545</v>
      </c>
      <c r="J31">
        <f t="shared" si="10"/>
        <v>0.57661336430399379</v>
      </c>
      <c r="K31">
        <f t="shared" si="10"/>
        <v>0.78845736036427028</v>
      </c>
      <c r="L31">
        <f t="shared" si="10"/>
        <v>0.23901690047049992</v>
      </c>
      <c r="M31" t="e">
        <f t="shared" si="10"/>
        <v>#NUM!</v>
      </c>
      <c r="N31" t="e">
        <f t="shared" si="10"/>
        <v>#NUM!</v>
      </c>
      <c r="O31" t="e">
        <f t="shared" si="10"/>
        <v>#NUM!</v>
      </c>
      <c r="P31">
        <f t="shared" si="10"/>
        <v>1.3056264580524357</v>
      </c>
      <c r="Q31">
        <f t="shared" si="10"/>
        <v>1.7422190236679189</v>
      </c>
      <c r="R31">
        <f t="shared" si="10"/>
        <v>5.8998973535824915</v>
      </c>
      <c r="S31">
        <f t="shared" si="10"/>
        <v>5.2149357576089859</v>
      </c>
      <c r="T31">
        <f t="shared" si="10"/>
        <v>4.7874917427820458</v>
      </c>
      <c r="U31">
        <f t="shared" si="10"/>
        <v>0.9895411936137477</v>
      </c>
      <c r="V31">
        <f t="shared" si="10"/>
        <v>0.30010459245033816</v>
      </c>
      <c r="W31" t="e">
        <f t="shared" si="10"/>
        <v>#NUM!</v>
      </c>
      <c r="X31" t="e">
        <f t="shared" si="10"/>
        <v>#NUM!</v>
      </c>
      <c r="Y31" t="e">
        <f t="shared" si="10"/>
        <v>#NUM!</v>
      </c>
      <c r="Z31" t="e">
        <f t="shared" si="10"/>
        <v>#NUM!</v>
      </c>
      <c r="AA31" t="e">
        <f t="shared" si="10"/>
        <v>#NUM!</v>
      </c>
      <c r="AB31" t="e">
        <f t="shared" si="10"/>
        <v>#NUM!</v>
      </c>
      <c r="AC31" t="e">
        <f t="shared" si="10"/>
        <v>#NUM!</v>
      </c>
      <c r="AD31" t="e">
        <f t="shared" si="10"/>
        <v>#NUM!</v>
      </c>
      <c r="AE31" t="e">
        <f t="shared" si="10"/>
        <v>#NUM!</v>
      </c>
      <c r="AF31" t="e">
        <f t="shared" si="10"/>
        <v>#NUM!</v>
      </c>
      <c r="AG31" t="e">
        <f t="shared" si="10"/>
        <v>#NUM!</v>
      </c>
      <c r="AH31">
        <f t="shared" si="10"/>
        <v>-0.52932909533055039</v>
      </c>
      <c r="AI31">
        <f t="shared" si="10"/>
        <v>4.7621739347977563</v>
      </c>
      <c r="AJ31">
        <f t="shared" si="10"/>
        <v>6.2653012127377101</v>
      </c>
      <c r="AK31">
        <f t="shared" si="10"/>
        <v>5.8777357817796387</v>
      </c>
      <c r="AL31">
        <f t="shared" si="10"/>
        <v>3.2464909919011742</v>
      </c>
      <c r="AM31">
        <f t="shared" si="10"/>
        <v>1.9110228900548727</v>
      </c>
      <c r="AN31">
        <f t="shared" si="10"/>
        <v>0.23111172096338664</v>
      </c>
      <c r="AO31">
        <f t="shared" ref="AO31:AV31" si="11">LN(AO18)</f>
        <v>2.0955609235597192</v>
      </c>
      <c r="AP31" t="e">
        <f t="shared" si="11"/>
        <v>#NUM!</v>
      </c>
      <c r="AQ31">
        <f t="shared" si="11"/>
        <v>6.5256746111067088</v>
      </c>
      <c r="AR31">
        <f t="shared" si="11"/>
        <v>6.9414888498831715</v>
      </c>
      <c r="AS31">
        <f t="shared" si="11"/>
        <v>2.0955609235597192</v>
      </c>
      <c r="AT31">
        <f t="shared" si="11"/>
        <v>6.9493184387715443</v>
      </c>
      <c r="AU31">
        <f t="shared" si="11"/>
        <v>6.5375173435257929</v>
      </c>
      <c r="AV31">
        <f t="shared" si="11"/>
        <v>6.9414888498831715</v>
      </c>
    </row>
    <row r="32" spans="1:48" x14ac:dyDescent="0.25">
      <c r="B32">
        <v>17</v>
      </c>
      <c r="C32" t="e">
        <f t="shared" ref="C32:AN32" si="12">LN(C21)</f>
        <v>#NUM!</v>
      </c>
      <c r="D32" t="e">
        <f t="shared" si="12"/>
        <v>#NUM!</v>
      </c>
      <c r="E32" t="e">
        <f t="shared" si="12"/>
        <v>#NUM!</v>
      </c>
      <c r="F32" t="e">
        <f t="shared" si="12"/>
        <v>#NUM!</v>
      </c>
      <c r="G32" t="e">
        <f t="shared" si="12"/>
        <v>#NUM!</v>
      </c>
      <c r="H32" t="e">
        <f t="shared" si="12"/>
        <v>#NUM!</v>
      </c>
      <c r="I32">
        <f t="shared" si="12"/>
        <v>0.62057648772510998</v>
      </c>
      <c r="J32">
        <f t="shared" si="12"/>
        <v>0.15700374880966469</v>
      </c>
      <c r="K32">
        <f t="shared" si="12"/>
        <v>0.18232155679395459</v>
      </c>
      <c r="L32" t="e">
        <f t="shared" si="12"/>
        <v>#NUM!</v>
      </c>
      <c r="M32" t="e">
        <f t="shared" si="12"/>
        <v>#NUM!</v>
      </c>
      <c r="N32" t="e">
        <f t="shared" si="12"/>
        <v>#NUM!</v>
      </c>
      <c r="O32" t="e">
        <f t="shared" si="12"/>
        <v>#NUM!</v>
      </c>
      <c r="P32">
        <f t="shared" si="12"/>
        <v>-5.0125418235442863E-3</v>
      </c>
      <c r="Q32">
        <f t="shared" si="12"/>
        <v>1.1249295969854831</v>
      </c>
      <c r="R32">
        <f t="shared" si="12"/>
        <v>5.5012582105447274</v>
      </c>
      <c r="S32">
        <f t="shared" si="12"/>
        <v>4.5839465495364644</v>
      </c>
      <c r="T32">
        <f t="shared" si="12"/>
        <v>4.2312037449392976</v>
      </c>
      <c r="U32">
        <f t="shared" si="12"/>
        <v>8.6177696241052412E-2</v>
      </c>
      <c r="V32">
        <f t="shared" si="12"/>
        <v>-0.67334455326376563</v>
      </c>
      <c r="W32" t="e">
        <f t="shared" si="12"/>
        <v>#NUM!</v>
      </c>
      <c r="X32" t="e">
        <f t="shared" si="12"/>
        <v>#NUM!</v>
      </c>
      <c r="Y32" t="e">
        <f t="shared" si="12"/>
        <v>#NUM!</v>
      </c>
      <c r="Z32" t="e">
        <f t="shared" si="12"/>
        <v>#NUM!</v>
      </c>
      <c r="AA32" t="e">
        <f t="shared" si="12"/>
        <v>#NUM!</v>
      </c>
      <c r="AB32" t="e">
        <f t="shared" si="12"/>
        <v>#NUM!</v>
      </c>
      <c r="AC32" t="e">
        <f t="shared" si="12"/>
        <v>#NUM!</v>
      </c>
      <c r="AD32" t="e">
        <f t="shared" si="12"/>
        <v>#NUM!</v>
      </c>
      <c r="AE32" t="e">
        <f t="shared" si="12"/>
        <v>#NUM!</v>
      </c>
      <c r="AF32" t="e">
        <f t="shared" si="12"/>
        <v>#NUM!</v>
      </c>
      <c r="AG32" t="e">
        <f t="shared" si="12"/>
        <v>#NUM!</v>
      </c>
      <c r="AH32" t="e">
        <f t="shared" si="12"/>
        <v>#NUM!</v>
      </c>
      <c r="AI32">
        <f t="shared" si="12"/>
        <v>4.3267781604434035</v>
      </c>
      <c r="AJ32">
        <f t="shared" si="12"/>
        <v>5.8522024797744745</v>
      </c>
      <c r="AK32">
        <f t="shared" si="12"/>
        <v>5.1704839950381514</v>
      </c>
      <c r="AL32">
        <f t="shared" si="12"/>
        <v>1.9315214116032138</v>
      </c>
      <c r="AM32">
        <f t="shared" si="12"/>
        <v>0.11332868530700327</v>
      </c>
      <c r="AN32" t="e">
        <f t="shared" si="12"/>
        <v>#NUM!</v>
      </c>
      <c r="AO32">
        <f t="shared" ref="AO32:AV32" si="13">LN(AO21)</f>
        <v>1.4422019930581866</v>
      </c>
      <c r="AP32" t="e">
        <f t="shared" si="13"/>
        <v>#NUM!</v>
      </c>
      <c r="AQ32">
        <f t="shared" si="13"/>
        <v>6.0339850982638188</v>
      </c>
      <c r="AR32">
        <f t="shared" si="13"/>
        <v>6.4097142495755657</v>
      </c>
      <c r="AS32">
        <f t="shared" si="13"/>
        <v>1.4422019930581866</v>
      </c>
      <c r="AT32">
        <f t="shared" si="13"/>
        <v>6.4166505798283477</v>
      </c>
      <c r="AU32">
        <f t="shared" si="13"/>
        <v>6.0440688567393712</v>
      </c>
      <c r="AV32">
        <f t="shared" si="13"/>
        <v>6.4097142495755657</v>
      </c>
    </row>
    <row r="33" spans="1:48" x14ac:dyDescent="0.25">
      <c r="A33" s="2"/>
      <c r="B33">
        <v>45</v>
      </c>
      <c r="C33" t="e">
        <f t="shared" ref="C33:AN33" si="14">LN(C24)</f>
        <v>#NUM!</v>
      </c>
      <c r="D33" t="e">
        <f t="shared" si="14"/>
        <v>#NUM!</v>
      </c>
      <c r="E33" t="e">
        <f t="shared" si="14"/>
        <v>#NUM!</v>
      </c>
      <c r="F33" t="e">
        <f t="shared" si="14"/>
        <v>#NUM!</v>
      </c>
      <c r="G33" t="e">
        <f t="shared" si="14"/>
        <v>#NUM!</v>
      </c>
      <c r="H33" t="e">
        <f t="shared" si="14"/>
        <v>#NUM!</v>
      </c>
      <c r="I33">
        <f t="shared" si="14"/>
        <v>-0.16134315040876293</v>
      </c>
      <c r="J33" t="e">
        <f t="shared" si="14"/>
        <v>#NUM!</v>
      </c>
      <c r="K33" t="e">
        <f t="shared" si="14"/>
        <v>#NUM!</v>
      </c>
      <c r="L33" t="e">
        <f t="shared" si="14"/>
        <v>#NUM!</v>
      </c>
      <c r="M33" t="e">
        <f t="shared" si="14"/>
        <v>#NUM!</v>
      </c>
      <c r="N33" t="e">
        <f t="shared" si="14"/>
        <v>#NUM!</v>
      </c>
      <c r="O33" t="e">
        <f t="shared" si="14"/>
        <v>#NUM!</v>
      </c>
      <c r="P33" t="e">
        <f t="shared" si="14"/>
        <v>#NUM!</v>
      </c>
      <c r="Q33">
        <f t="shared" si="14"/>
        <v>-0.15665381004537685</v>
      </c>
      <c r="R33">
        <f t="shared" si="14"/>
        <v>4.5961294413359424</v>
      </c>
      <c r="S33">
        <f t="shared" si="14"/>
        <v>3.3178157727231046</v>
      </c>
      <c r="T33">
        <f t="shared" si="14"/>
        <v>2.5257286443082556</v>
      </c>
      <c r="U33" t="e">
        <f t="shared" si="14"/>
        <v>#NUM!</v>
      </c>
      <c r="V33" t="e">
        <f t="shared" si="14"/>
        <v>#NUM!</v>
      </c>
      <c r="W33" t="e">
        <f t="shared" si="14"/>
        <v>#NUM!</v>
      </c>
      <c r="X33" t="e">
        <f t="shared" si="14"/>
        <v>#NUM!</v>
      </c>
      <c r="Y33" t="e">
        <f t="shared" si="14"/>
        <v>#NUM!</v>
      </c>
      <c r="Z33" t="e">
        <f t="shared" si="14"/>
        <v>#NUM!</v>
      </c>
      <c r="AA33" t="e">
        <f t="shared" si="14"/>
        <v>#NUM!</v>
      </c>
      <c r="AB33" t="e">
        <f t="shared" si="14"/>
        <v>#NUM!</v>
      </c>
      <c r="AC33" t="e">
        <f t="shared" si="14"/>
        <v>#NUM!</v>
      </c>
      <c r="AD33" t="e">
        <f t="shared" si="14"/>
        <v>#NUM!</v>
      </c>
      <c r="AE33" t="e">
        <f t="shared" si="14"/>
        <v>#NUM!</v>
      </c>
      <c r="AF33" t="e">
        <f t="shared" si="14"/>
        <v>#NUM!</v>
      </c>
      <c r="AG33" t="e">
        <f t="shared" si="14"/>
        <v>#NUM!</v>
      </c>
      <c r="AH33" t="e">
        <f t="shared" si="14"/>
        <v>#NUM!</v>
      </c>
      <c r="AI33">
        <f t="shared" si="14"/>
        <v>3.520460802488973</v>
      </c>
      <c r="AJ33">
        <f t="shared" si="14"/>
        <v>4.8040210447332568</v>
      </c>
      <c r="AK33">
        <f t="shared" si="14"/>
        <v>3.4995332823830174</v>
      </c>
      <c r="AL33">
        <f t="shared" si="14"/>
        <v>0.48858001481867092</v>
      </c>
      <c r="AM33" t="e">
        <f t="shared" si="14"/>
        <v>#NUM!</v>
      </c>
      <c r="AN33" t="e">
        <f t="shared" si="14"/>
        <v>#NUM!</v>
      </c>
      <c r="AO33">
        <f t="shared" ref="AO33:AV33" si="15">LN(AO24)</f>
        <v>-0.16134315040876293</v>
      </c>
      <c r="AP33" t="e">
        <f t="shared" si="15"/>
        <v>#NUM!</v>
      </c>
      <c r="AQ33">
        <f t="shared" si="15"/>
        <v>4.9420352026039991</v>
      </c>
      <c r="AR33">
        <f t="shared" si="15"/>
        <v>5.2498096624829929</v>
      </c>
      <c r="AS33">
        <f t="shared" si="15"/>
        <v>-0.16134315040876293</v>
      </c>
      <c r="AT33">
        <f t="shared" si="15"/>
        <v>5.2542662055438614</v>
      </c>
      <c r="AU33">
        <f t="shared" si="15"/>
        <v>4.9480930013904647</v>
      </c>
      <c r="AV33">
        <f t="shared" si="15"/>
        <v>5.2498096624829929</v>
      </c>
    </row>
    <row r="34" spans="1:48" x14ac:dyDescent="0.25">
      <c r="B34">
        <v>80</v>
      </c>
      <c r="C34" t="e">
        <f t="shared" ref="C34:AN34" si="16">LN(C27)</f>
        <v>#NUM!</v>
      </c>
      <c r="D34" t="e">
        <f t="shared" si="16"/>
        <v>#NUM!</v>
      </c>
      <c r="E34" t="e">
        <f t="shared" si="16"/>
        <v>#NUM!</v>
      </c>
      <c r="F34" t="e">
        <f t="shared" si="16"/>
        <v>#NUM!</v>
      </c>
      <c r="G34" t="e">
        <f t="shared" si="16"/>
        <v>#NUM!</v>
      </c>
      <c r="H34" t="e">
        <f t="shared" si="16"/>
        <v>#NUM!</v>
      </c>
      <c r="I34" t="e">
        <f t="shared" si="16"/>
        <v>#NUM!</v>
      </c>
      <c r="J34" t="e">
        <f t="shared" si="16"/>
        <v>#NUM!</v>
      </c>
      <c r="K34" t="e">
        <f t="shared" si="16"/>
        <v>#NUM!</v>
      </c>
      <c r="L34" t="e">
        <f t="shared" si="16"/>
        <v>#NUM!</v>
      </c>
      <c r="M34" t="e">
        <f t="shared" si="16"/>
        <v>#NUM!</v>
      </c>
      <c r="N34" t="e">
        <f t="shared" si="16"/>
        <v>#NUM!</v>
      </c>
      <c r="O34" t="e">
        <f t="shared" si="16"/>
        <v>#NUM!</v>
      </c>
      <c r="P34" t="e">
        <f t="shared" si="16"/>
        <v>#NUM!</v>
      </c>
      <c r="Q34" t="e">
        <f t="shared" si="16"/>
        <v>#NUM!</v>
      </c>
      <c r="R34">
        <f t="shared" si="16"/>
        <v>3.8199077165203406</v>
      </c>
      <c r="S34">
        <f t="shared" si="16"/>
        <v>1.9671123567059163</v>
      </c>
      <c r="T34">
        <f t="shared" si="16"/>
        <v>0.40546510810816438</v>
      </c>
      <c r="U34" t="e">
        <f t="shared" si="16"/>
        <v>#NUM!</v>
      </c>
      <c r="V34" t="e">
        <f t="shared" si="16"/>
        <v>#NUM!</v>
      </c>
      <c r="W34" t="e">
        <f t="shared" si="16"/>
        <v>#NUM!</v>
      </c>
      <c r="X34" t="e">
        <f t="shared" si="16"/>
        <v>#NUM!</v>
      </c>
      <c r="Y34" t="e">
        <f t="shared" si="16"/>
        <v>#NUM!</v>
      </c>
      <c r="Z34" t="e">
        <f t="shared" si="16"/>
        <v>#NUM!</v>
      </c>
      <c r="AA34" t="e">
        <f t="shared" si="16"/>
        <v>#NUM!</v>
      </c>
      <c r="AB34" t="e">
        <f t="shared" si="16"/>
        <v>#NUM!</v>
      </c>
      <c r="AC34" t="e">
        <f t="shared" si="16"/>
        <v>#NUM!</v>
      </c>
      <c r="AD34" t="e">
        <f t="shared" si="16"/>
        <v>#NUM!</v>
      </c>
      <c r="AE34" t="e">
        <f t="shared" si="16"/>
        <v>#NUM!</v>
      </c>
      <c r="AF34" t="e">
        <f t="shared" si="16"/>
        <v>#NUM!</v>
      </c>
      <c r="AG34" t="e">
        <f t="shared" si="16"/>
        <v>#NUM!</v>
      </c>
      <c r="AH34" t="e">
        <f t="shared" si="16"/>
        <v>#NUM!</v>
      </c>
      <c r="AI34">
        <f t="shared" si="16"/>
        <v>2.8154087194227095</v>
      </c>
      <c r="AJ34">
        <f t="shared" si="16"/>
        <v>3.9982007016691985</v>
      </c>
      <c r="AK34">
        <f t="shared" si="16"/>
        <v>2.1610215286722587</v>
      </c>
      <c r="AL34">
        <f t="shared" si="16"/>
        <v>-0.1996711951290677</v>
      </c>
      <c r="AM34" t="e">
        <f t="shared" si="16"/>
        <v>#NUM!</v>
      </c>
      <c r="AN34" t="e">
        <f t="shared" si="16"/>
        <v>#NUM!</v>
      </c>
      <c r="AO34" t="e">
        <f t="shared" ref="AO34:AV34" si="17">LN(AO27)</f>
        <v>#NUM!</v>
      </c>
      <c r="AP34" t="e">
        <f t="shared" si="17"/>
        <v>#NUM!</v>
      </c>
      <c r="AQ34">
        <f t="shared" si="17"/>
        <v>3.9936029924205689</v>
      </c>
      <c r="AR34">
        <f t="shared" si="17"/>
        <v>4.3907261836253975</v>
      </c>
      <c r="AS34" t="e">
        <f t="shared" si="17"/>
        <v>#NUM!</v>
      </c>
      <c r="AT34">
        <f t="shared" si="17"/>
        <v>4.3907261836253975</v>
      </c>
      <c r="AU34">
        <f t="shared" si="17"/>
        <v>3.9936029924205689</v>
      </c>
      <c r="AV34">
        <f t="shared" si="17"/>
        <v>4.3907261836253975</v>
      </c>
    </row>
    <row r="35" spans="1:48" x14ac:dyDescent="0.25">
      <c r="B35" t="s">
        <v>106</v>
      </c>
      <c r="I35">
        <v>3.0800000000000001E-2</v>
      </c>
      <c r="J35">
        <v>3.5299999999999998E-2</v>
      </c>
      <c r="K35">
        <v>4.9200000000000001E-2</v>
      </c>
      <c r="L35" s="30">
        <v>0.11600000000000001</v>
      </c>
      <c r="P35">
        <v>0.1031</v>
      </c>
      <c r="Q35">
        <v>4.7E-2</v>
      </c>
      <c r="R35">
        <v>2.8299999999999999E-2</v>
      </c>
      <c r="S35">
        <v>4.2999999999999997E-2</v>
      </c>
      <c r="T35">
        <v>5.8500000000000003E-2</v>
      </c>
      <c r="U35">
        <v>8.3500000000000005E-2</v>
      </c>
      <c r="V35">
        <v>8.3000000000000004E-2</v>
      </c>
      <c r="AH35" s="30">
        <v>6.1400000000000003E-2</v>
      </c>
      <c r="AI35">
        <v>2.63E-2</v>
      </c>
      <c r="AJ35">
        <v>3.1199999999999999E-2</v>
      </c>
      <c r="AK35">
        <v>5.0500000000000003E-2</v>
      </c>
      <c r="AL35">
        <v>4.8800000000000003E-2</v>
      </c>
      <c r="AM35">
        <v>0.16420000000000001</v>
      </c>
      <c r="AN35" s="30">
        <v>0.32050000000000001</v>
      </c>
      <c r="AO35" s="30">
        <v>6.2799999999999995E-2</v>
      </c>
      <c r="AP35" s="30"/>
      <c r="AQ35" s="30">
        <v>3.44E-2</v>
      </c>
      <c r="AR35" s="30">
        <v>3.5099999999999999E-2</v>
      </c>
      <c r="AS35" s="30">
        <v>6.2799999999999995E-2</v>
      </c>
      <c r="AT35" s="30">
        <v>3.5200000000000002E-2</v>
      </c>
      <c r="AU35" s="30">
        <v>3.4599999999999999E-2</v>
      </c>
      <c r="AV35" s="30">
        <v>3.5099999999999999E-2</v>
      </c>
    </row>
    <row r="36" spans="1:48" x14ac:dyDescent="0.25">
      <c r="A36" s="2" t="s">
        <v>190</v>
      </c>
      <c r="B36">
        <v>1</v>
      </c>
      <c r="C36">
        <f t="shared" ref="C36:AN36" si="18">LN(C16)</f>
        <v>0.60976557162089429</v>
      </c>
      <c r="D36" t="e">
        <f t="shared" si="18"/>
        <v>#NUM!</v>
      </c>
      <c r="E36" t="e">
        <f t="shared" si="18"/>
        <v>#NUM!</v>
      </c>
      <c r="F36" t="e">
        <f t="shared" si="18"/>
        <v>#NUM!</v>
      </c>
      <c r="G36">
        <f t="shared" si="18"/>
        <v>0</v>
      </c>
      <c r="H36" t="e">
        <f t="shared" si="18"/>
        <v>#NUM!</v>
      </c>
      <c r="I36">
        <f t="shared" si="18"/>
        <v>0.95165787571144633</v>
      </c>
      <c r="J36">
        <f t="shared" si="18"/>
        <v>0.43825493093115531</v>
      </c>
      <c r="K36">
        <f t="shared" si="18"/>
        <v>0.59883650108870401</v>
      </c>
      <c r="L36">
        <f t="shared" si="18"/>
        <v>0.23901690047049992</v>
      </c>
      <c r="M36">
        <f t="shared" si="18"/>
        <v>-0.65971240447370794</v>
      </c>
      <c r="N36" t="e">
        <f t="shared" si="18"/>
        <v>#NUM!</v>
      </c>
      <c r="O36" t="e">
        <f t="shared" si="18"/>
        <v>#NUM!</v>
      </c>
      <c r="P36">
        <f t="shared" si="18"/>
        <v>1.1693813595563169</v>
      </c>
      <c r="Q36">
        <f t="shared" si="18"/>
        <v>1.536867219599265</v>
      </c>
      <c r="R36">
        <f t="shared" si="18"/>
        <v>5.7776523232226564</v>
      </c>
      <c r="S36">
        <f t="shared" si="18"/>
        <v>5.0106352940962555</v>
      </c>
      <c r="T36">
        <f t="shared" si="18"/>
        <v>4.6728288344619058</v>
      </c>
      <c r="U36">
        <f t="shared" si="18"/>
        <v>0.87962674750256364</v>
      </c>
      <c r="V36">
        <f t="shared" si="18"/>
        <v>0.14842000511827322</v>
      </c>
      <c r="W36" t="e">
        <f t="shared" si="18"/>
        <v>#NUM!</v>
      </c>
      <c r="X36" t="e">
        <f t="shared" si="18"/>
        <v>#NUM!</v>
      </c>
      <c r="Y36" t="e">
        <f t="shared" si="18"/>
        <v>#NUM!</v>
      </c>
      <c r="Z36" t="e">
        <f t="shared" si="18"/>
        <v>#NUM!</v>
      </c>
      <c r="AA36" t="e">
        <f t="shared" si="18"/>
        <v>#NUM!</v>
      </c>
      <c r="AB36" t="e">
        <f t="shared" si="18"/>
        <v>#NUM!</v>
      </c>
      <c r="AC36" t="e">
        <f t="shared" si="18"/>
        <v>#NUM!</v>
      </c>
      <c r="AD36" t="e">
        <f t="shared" si="18"/>
        <v>#NUM!</v>
      </c>
      <c r="AE36" t="e">
        <f t="shared" si="18"/>
        <v>#NUM!</v>
      </c>
      <c r="AF36" t="e">
        <f t="shared" si="18"/>
        <v>#NUM!</v>
      </c>
      <c r="AG36" t="e">
        <f t="shared" si="18"/>
        <v>#NUM!</v>
      </c>
      <c r="AH36" t="e">
        <f t="shared" si="18"/>
        <v>#NUM!</v>
      </c>
      <c r="AI36">
        <f t="shared" si="18"/>
        <v>4.6051701859880918</v>
      </c>
      <c r="AJ36">
        <f t="shared" si="18"/>
        <v>6.1377270540862341</v>
      </c>
      <c r="AK36">
        <f t="shared" si="18"/>
        <v>5.6801726090170677</v>
      </c>
      <c r="AL36">
        <f t="shared" si="18"/>
        <v>3.2771447329921766</v>
      </c>
      <c r="AM36">
        <f t="shared" si="18"/>
        <v>2.2925347571405443</v>
      </c>
      <c r="AN36">
        <f t="shared" si="18"/>
        <v>1.0986122886681098</v>
      </c>
      <c r="AO36">
        <f t="shared" ref="AO36:AV36" si="19">LN(AO16)</f>
        <v>2.3596268333612427</v>
      </c>
      <c r="AP36" t="e">
        <f t="shared" si="19"/>
        <v>#NUM!</v>
      </c>
      <c r="AQ36">
        <f t="shared" si="19"/>
        <v>6.3825602412488447</v>
      </c>
      <c r="AR36">
        <f t="shared" si="19"/>
        <v>6.7972705458068647</v>
      </c>
      <c r="AS36">
        <f t="shared" si="19"/>
        <v>2.3596268333612427</v>
      </c>
      <c r="AT36">
        <f t="shared" si="19"/>
        <v>6.8090249571541621</v>
      </c>
      <c r="AU36">
        <f t="shared" si="19"/>
        <v>6.4003022948014063</v>
      </c>
      <c r="AV36">
        <f t="shared" si="19"/>
        <v>6.7972705458068647</v>
      </c>
    </row>
    <row r="37" spans="1:48" x14ac:dyDescent="0.25">
      <c r="B37">
        <v>5</v>
      </c>
      <c r="C37" t="e">
        <f t="shared" ref="C37:AN37" si="20">LN(C19)</f>
        <v>#NUM!</v>
      </c>
      <c r="D37" t="e">
        <f t="shared" si="20"/>
        <v>#NUM!</v>
      </c>
      <c r="E37" t="e">
        <f t="shared" si="20"/>
        <v>#NUM!</v>
      </c>
      <c r="F37" t="e">
        <f t="shared" si="20"/>
        <v>#NUM!</v>
      </c>
      <c r="G37" t="e">
        <f t="shared" si="20"/>
        <v>#NUM!</v>
      </c>
      <c r="H37" t="e">
        <f t="shared" si="20"/>
        <v>#NUM!</v>
      </c>
      <c r="I37">
        <f t="shared" si="20"/>
        <v>0.78845736036427028</v>
      </c>
      <c r="J37">
        <f t="shared" si="20"/>
        <v>0.20701416938432612</v>
      </c>
      <c r="K37">
        <f t="shared" si="20"/>
        <v>0.41871033485818504</v>
      </c>
      <c r="L37">
        <f t="shared" si="20"/>
        <v>-0.2876820724517809</v>
      </c>
      <c r="M37" t="e">
        <f t="shared" si="20"/>
        <v>#NUM!</v>
      </c>
      <c r="N37" t="e">
        <f t="shared" si="20"/>
        <v>#NUM!</v>
      </c>
      <c r="O37" t="e">
        <f t="shared" si="20"/>
        <v>#NUM!</v>
      </c>
      <c r="P37">
        <f t="shared" si="20"/>
        <v>0.80647586586694853</v>
      </c>
      <c r="Q37">
        <f t="shared" si="20"/>
        <v>1.2809338454620642</v>
      </c>
      <c r="R37">
        <f t="shared" si="20"/>
        <v>5.6698809229805196</v>
      </c>
      <c r="S37">
        <f t="shared" si="20"/>
        <v>4.7706846244656651</v>
      </c>
      <c r="T37">
        <f t="shared" si="20"/>
        <v>4.4508528256037341</v>
      </c>
      <c r="U37">
        <f t="shared" si="20"/>
        <v>0.41871033485818504</v>
      </c>
      <c r="V37">
        <f t="shared" si="20"/>
        <v>-0.54128483125069926</v>
      </c>
      <c r="W37" t="e">
        <f t="shared" si="20"/>
        <v>#NUM!</v>
      </c>
      <c r="X37" t="e">
        <f t="shared" si="20"/>
        <v>#NUM!</v>
      </c>
      <c r="Y37" t="e">
        <f t="shared" si="20"/>
        <v>#NUM!</v>
      </c>
      <c r="Z37" t="e">
        <f t="shared" si="20"/>
        <v>#NUM!</v>
      </c>
      <c r="AA37" t="e">
        <f t="shared" si="20"/>
        <v>#NUM!</v>
      </c>
      <c r="AB37" t="e">
        <f t="shared" si="20"/>
        <v>#NUM!</v>
      </c>
      <c r="AC37" t="e">
        <f t="shared" si="20"/>
        <v>#NUM!</v>
      </c>
      <c r="AD37" t="e">
        <f t="shared" si="20"/>
        <v>#NUM!</v>
      </c>
      <c r="AE37" t="e">
        <f t="shared" si="20"/>
        <v>#NUM!</v>
      </c>
      <c r="AF37" t="e">
        <f t="shared" si="20"/>
        <v>#NUM!</v>
      </c>
      <c r="AG37" t="e">
        <f t="shared" si="20"/>
        <v>#NUM!</v>
      </c>
      <c r="AH37" t="e">
        <f t="shared" si="20"/>
        <v>#NUM!</v>
      </c>
      <c r="AI37">
        <f t="shared" si="20"/>
        <v>4.4030540018659572</v>
      </c>
      <c r="AJ37">
        <f t="shared" si="20"/>
        <v>5.9188938542731462</v>
      </c>
      <c r="AK37">
        <f t="shared" si="20"/>
        <v>5.3844950627890888</v>
      </c>
      <c r="AL37">
        <f t="shared" si="20"/>
        <v>2.6461747973841225</v>
      </c>
      <c r="AM37">
        <f t="shared" si="20"/>
        <v>1.1249295969854831</v>
      </c>
      <c r="AN37">
        <f t="shared" si="20"/>
        <v>-0.59059059223485311</v>
      </c>
      <c r="AO37">
        <f t="shared" ref="AO37:AV37" si="21">LN(AO19)</f>
        <v>1.7404661748405046</v>
      </c>
      <c r="AP37" t="e">
        <f t="shared" si="21"/>
        <v>#NUM!</v>
      </c>
      <c r="AQ37">
        <f t="shared" si="21"/>
        <v>6.2178867178707939</v>
      </c>
      <c r="AR37">
        <f t="shared" si="21"/>
        <v>6.5358709711144121</v>
      </c>
      <c r="AS37">
        <f t="shared" si="21"/>
        <v>1.7404661748405046</v>
      </c>
      <c r="AT37">
        <f t="shared" si="21"/>
        <v>6.5441046327355474</v>
      </c>
      <c r="AU37">
        <f t="shared" si="21"/>
        <v>6.2291853323934205</v>
      </c>
      <c r="AV37">
        <f t="shared" si="21"/>
        <v>6.5358709711144121</v>
      </c>
    </row>
    <row r="38" spans="1:48" x14ac:dyDescent="0.25">
      <c r="B38">
        <v>17</v>
      </c>
      <c r="C38" t="e">
        <f t="shared" ref="C38:AN38" si="22">LN(C22)</f>
        <v>#NUM!</v>
      </c>
      <c r="D38" t="e">
        <f t="shared" si="22"/>
        <v>#NUM!</v>
      </c>
      <c r="E38" t="e">
        <f t="shared" si="22"/>
        <v>#NUM!</v>
      </c>
      <c r="F38" t="e">
        <f t="shared" si="22"/>
        <v>#NUM!</v>
      </c>
      <c r="G38" t="e">
        <f t="shared" si="22"/>
        <v>#NUM!</v>
      </c>
      <c r="H38" t="e">
        <f t="shared" si="22"/>
        <v>#NUM!</v>
      </c>
      <c r="I38">
        <f t="shared" si="22"/>
        <v>0.33647223662121289</v>
      </c>
      <c r="J38">
        <f t="shared" si="22"/>
        <v>-0.29705923426437791</v>
      </c>
      <c r="K38">
        <f t="shared" si="22"/>
        <v>-0.22314355131420971</v>
      </c>
      <c r="L38" t="e">
        <f t="shared" si="22"/>
        <v>#NUM!</v>
      </c>
      <c r="M38" t="e">
        <f t="shared" si="22"/>
        <v>#NUM!</v>
      </c>
      <c r="N38" t="e">
        <f t="shared" si="22"/>
        <v>#NUM!</v>
      </c>
      <c r="O38" t="e">
        <f t="shared" si="22"/>
        <v>#NUM!</v>
      </c>
      <c r="P38" t="e">
        <f t="shared" si="22"/>
        <v>#NUM!</v>
      </c>
      <c r="Q38">
        <f t="shared" si="22"/>
        <v>0.58778666490211906</v>
      </c>
      <c r="R38">
        <f t="shared" si="22"/>
        <v>5.1984970312658261</v>
      </c>
      <c r="S38">
        <f t="shared" si="22"/>
        <v>4.1835756959500436</v>
      </c>
      <c r="T38">
        <f t="shared" si="22"/>
        <v>3.5115454388310208</v>
      </c>
      <c r="U38">
        <f t="shared" si="22"/>
        <v>-0.53273045915404071</v>
      </c>
      <c r="V38" t="e">
        <f t="shared" si="22"/>
        <v>#NUM!</v>
      </c>
      <c r="W38" t="e">
        <f t="shared" si="22"/>
        <v>#NUM!</v>
      </c>
      <c r="X38" t="e">
        <f t="shared" si="22"/>
        <v>#NUM!</v>
      </c>
      <c r="Y38" t="e">
        <f t="shared" si="22"/>
        <v>#NUM!</v>
      </c>
      <c r="Z38" t="e">
        <f t="shared" si="22"/>
        <v>#NUM!</v>
      </c>
      <c r="AA38" t="e">
        <f t="shared" si="22"/>
        <v>#NUM!</v>
      </c>
      <c r="AB38" t="e">
        <f t="shared" si="22"/>
        <v>#NUM!</v>
      </c>
      <c r="AC38" t="e">
        <f t="shared" si="22"/>
        <v>#NUM!</v>
      </c>
      <c r="AD38" t="e">
        <f t="shared" si="22"/>
        <v>#NUM!</v>
      </c>
      <c r="AE38" t="e">
        <f t="shared" si="22"/>
        <v>#NUM!</v>
      </c>
      <c r="AF38" t="e">
        <f t="shared" si="22"/>
        <v>#NUM!</v>
      </c>
      <c r="AG38" t="e">
        <f t="shared" si="22"/>
        <v>#NUM!</v>
      </c>
      <c r="AH38" t="e">
        <f t="shared" si="22"/>
        <v>#NUM!</v>
      </c>
      <c r="AI38">
        <f t="shared" si="22"/>
        <v>3.9396381724611196</v>
      </c>
      <c r="AJ38">
        <f t="shared" si="22"/>
        <v>5.43372200355424</v>
      </c>
      <c r="AK38">
        <f t="shared" si="22"/>
        <v>4.5517694092609764</v>
      </c>
      <c r="AL38">
        <f t="shared" si="22"/>
        <v>1.4158531633614351</v>
      </c>
      <c r="AM38">
        <f t="shared" si="22"/>
        <v>-0.45098562340997367</v>
      </c>
      <c r="AN38" t="e">
        <f t="shared" si="22"/>
        <v>#NUM!</v>
      </c>
      <c r="AO38">
        <f t="shared" ref="AO38:AV38" si="23">LN(AO22)</f>
        <v>1.0794294692513355</v>
      </c>
      <c r="AP38" t="e">
        <f t="shared" si="23"/>
        <v>#NUM!</v>
      </c>
      <c r="AQ38">
        <f t="shared" si="23"/>
        <v>5.6436325318285334</v>
      </c>
      <c r="AR38">
        <f t="shared" si="23"/>
        <v>5.9400580884228571</v>
      </c>
      <c r="AS38">
        <f t="shared" si="23"/>
        <v>1.0794294692513355</v>
      </c>
      <c r="AT38">
        <f t="shared" si="23"/>
        <v>5.9477738584832487</v>
      </c>
      <c r="AU38">
        <f t="shared" si="23"/>
        <v>5.653996815145665</v>
      </c>
      <c r="AV38">
        <f t="shared" si="23"/>
        <v>5.9400580884228571</v>
      </c>
    </row>
    <row r="39" spans="1:48" x14ac:dyDescent="0.25">
      <c r="A39" s="2"/>
      <c r="B39">
        <v>45</v>
      </c>
      <c r="C39" t="e">
        <f t="shared" ref="C39:AN39" si="24">LN(C25)</f>
        <v>#NUM!</v>
      </c>
      <c r="D39" t="e">
        <f t="shared" si="24"/>
        <v>#NUM!</v>
      </c>
      <c r="E39" t="e">
        <f t="shared" si="24"/>
        <v>#NUM!</v>
      </c>
      <c r="F39" t="e">
        <f t="shared" si="24"/>
        <v>#NUM!</v>
      </c>
      <c r="G39" t="e">
        <f t="shared" si="24"/>
        <v>#NUM!</v>
      </c>
      <c r="H39" t="e">
        <f t="shared" si="24"/>
        <v>#NUM!</v>
      </c>
      <c r="I39">
        <f t="shared" si="24"/>
        <v>-0.41400143913045073</v>
      </c>
      <c r="J39" t="e">
        <f t="shared" si="24"/>
        <v>#NUM!</v>
      </c>
      <c r="K39" t="e">
        <f t="shared" si="24"/>
        <v>#NUM!</v>
      </c>
      <c r="L39" t="e">
        <f t="shared" si="24"/>
        <v>#NUM!</v>
      </c>
      <c r="M39" t="e">
        <f t="shared" si="24"/>
        <v>#NUM!</v>
      </c>
      <c r="N39" t="e">
        <f t="shared" si="24"/>
        <v>#NUM!</v>
      </c>
      <c r="O39" t="e">
        <f t="shared" si="24"/>
        <v>#NUM!</v>
      </c>
      <c r="P39" t="e">
        <f t="shared" si="24"/>
        <v>#NUM!</v>
      </c>
      <c r="Q39" t="e">
        <f t="shared" si="24"/>
        <v>#NUM!</v>
      </c>
      <c r="R39">
        <f t="shared" si="24"/>
        <v>4.4908810395859637</v>
      </c>
      <c r="S39">
        <f t="shared" si="24"/>
        <v>3.1484533605716547</v>
      </c>
      <c r="T39">
        <f t="shared" si="24"/>
        <v>1.9615022438151495</v>
      </c>
      <c r="U39" t="e">
        <f t="shared" si="24"/>
        <v>#NUM!</v>
      </c>
      <c r="V39" t="e">
        <f t="shared" si="24"/>
        <v>#NUM!</v>
      </c>
      <c r="W39" t="e">
        <f t="shared" si="24"/>
        <v>#NUM!</v>
      </c>
      <c r="X39" t="e">
        <f t="shared" si="24"/>
        <v>#NUM!</v>
      </c>
      <c r="Y39" t="e">
        <f t="shared" si="24"/>
        <v>#NUM!</v>
      </c>
      <c r="Z39" t="e">
        <f t="shared" si="24"/>
        <v>#NUM!</v>
      </c>
      <c r="AA39" t="e">
        <f t="shared" si="24"/>
        <v>#NUM!</v>
      </c>
      <c r="AB39" t="e">
        <f t="shared" si="24"/>
        <v>#NUM!</v>
      </c>
      <c r="AC39" t="e">
        <f t="shared" si="24"/>
        <v>#NUM!</v>
      </c>
      <c r="AD39" t="e">
        <f t="shared" si="24"/>
        <v>#NUM!</v>
      </c>
      <c r="AE39" t="e">
        <f t="shared" si="24"/>
        <v>#NUM!</v>
      </c>
      <c r="AF39" t="e">
        <f t="shared" si="24"/>
        <v>#NUM!</v>
      </c>
      <c r="AG39" t="e">
        <f t="shared" si="24"/>
        <v>#NUM!</v>
      </c>
      <c r="AH39" t="e">
        <f t="shared" si="24"/>
        <v>#NUM!</v>
      </c>
      <c r="AI39">
        <f t="shared" si="24"/>
        <v>3.2809112157876537</v>
      </c>
      <c r="AJ39">
        <f t="shared" si="24"/>
        <v>4.7273878187123408</v>
      </c>
      <c r="AK39">
        <f t="shared" si="24"/>
        <v>3.2619353143286478</v>
      </c>
      <c r="AL39">
        <f t="shared" si="24"/>
        <v>3.9220713153281329E-2</v>
      </c>
      <c r="AM39" t="e">
        <f t="shared" si="24"/>
        <v>#NUM!</v>
      </c>
      <c r="AN39" t="e">
        <f t="shared" si="24"/>
        <v>#NUM!</v>
      </c>
      <c r="AO39">
        <f t="shared" ref="AO39:AV39" si="25">LN(AO25)</f>
        <v>-0.41400143913045073</v>
      </c>
      <c r="AP39" t="e">
        <f t="shared" si="25"/>
        <v>#NUM!</v>
      </c>
      <c r="AQ39">
        <f t="shared" si="25"/>
        <v>4.784236450061373</v>
      </c>
      <c r="AR39">
        <f t="shared" si="25"/>
        <v>5.1164357129824669</v>
      </c>
      <c r="AS39">
        <f t="shared" si="25"/>
        <v>-0.41400143913045073</v>
      </c>
      <c r="AT39">
        <f t="shared" si="25"/>
        <v>5.1203921317531833</v>
      </c>
      <c r="AU39">
        <f t="shared" si="25"/>
        <v>4.7897475299133854</v>
      </c>
      <c r="AV39">
        <f t="shared" si="25"/>
        <v>5.1164357129824669</v>
      </c>
    </row>
    <row r="40" spans="1:48" x14ac:dyDescent="0.25">
      <c r="B40">
        <v>80</v>
      </c>
      <c r="C40" t="e">
        <f t="shared" ref="C40:AN40" si="26">LN(C28)</f>
        <v>#NUM!</v>
      </c>
      <c r="D40" t="e">
        <f t="shared" si="26"/>
        <v>#NUM!</v>
      </c>
      <c r="E40" t="e">
        <f t="shared" si="26"/>
        <v>#NUM!</v>
      </c>
      <c r="F40" t="e">
        <f t="shared" si="26"/>
        <v>#NUM!</v>
      </c>
      <c r="G40" t="e">
        <f t="shared" si="26"/>
        <v>#NUM!</v>
      </c>
      <c r="H40" t="e">
        <f t="shared" si="26"/>
        <v>#NUM!</v>
      </c>
      <c r="I40" t="e">
        <f t="shared" si="26"/>
        <v>#NUM!</v>
      </c>
      <c r="J40" t="e">
        <f t="shared" si="26"/>
        <v>#NUM!</v>
      </c>
      <c r="K40" t="e">
        <f t="shared" si="26"/>
        <v>#NUM!</v>
      </c>
      <c r="L40" t="e">
        <f t="shared" si="26"/>
        <v>#NUM!</v>
      </c>
      <c r="M40" t="e">
        <f t="shared" si="26"/>
        <v>#NUM!</v>
      </c>
      <c r="N40" t="e">
        <f t="shared" si="26"/>
        <v>#NUM!</v>
      </c>
      <c r="O40" t="e">
        <f t="shared" si="26"/>
        <v>#NUM!</v>
      </c>
      <c r="P40" t="e">
        <f t="shared" si="26"/>
        <v>#NUM!</v>
      </c>
      <c r="Q40" t="e">
        <f t="shared" si="26"/>
        <v>#NUM!</v>
      </c>
      <c r="R40">
        <f t="shared" si="26"/>
        <v>3.572345637857985</v>
      </c>
      <c r="S40">
        <f t="shared" si="26"/>
        <v>1.4539530095937054</v>
      </c>
      <c r="T40" t="e">
        <f t="shared" si="26"/>
        <v>#NUM!</v>
      </c>
      <c r="U40" t="e">
        <f t="shared" si="26"/>
        <v>#NUM!</v>
      </c>
      <c r="V40" t="e">
        <f t="shared" si="26"/>
        <v>#NUM!</v>
      </c>
      <c r="W40" t="e">
        <f t="shared" si="26"/>
        <v>#NUM!</v>
      </c>
      <c r="X40" t="e">
        <f t="shared" si="26"/>
        <v>#NUM!</v>
      </c>
      <c r="Y40" t="e">
        <f t="shared" si="26"/>
        <v>#NUM!</v>
      </c>
      <c r="Z40" t="e">
        <f t="shared" si="26"/>
        <v>#NUM!</v>
      </c>
      <c r="AA40" t="e">
        <f t="shared" si="26"/>
        <v>#NUM!</v>
      </c>
      <c r="AB40" t="e">
        <f t="shared" si="26"/>
        <v>#NUM!</v>
      </c>
      <c r="AC40" t="e">
        <f t="shared" si="26"/>
        <v>#NUM!</v>
      </c>
      <c r="AD40" t="e">
        <f t="shared" si="26"/>
        <v>#NUM!</v>
      </c>
      <c r="AE40" t="e">
        <f t="shared" si="26"/>
        <v>#NUM!</v>
      </c>
      <c r="AF40" t="e">
        <f t="shared" si="26"/>
        <v>#NUM!</v>
      </c>
      <c r="AG40" t="e">
        <f t="shared" si="26"/>
        <v>#NUM!</v>
      </c>
      <c r="AH40" t="e">
        <f t="shared" si="26"/>
        <v>#NUM!</v>
      </c>
      <c r="AI40">
        <f t="shared" si="26"/>
        <v>2.3608540011180215</v>
      </c>
      <c r="AJ40">
        <f t="shared" si="26"/>
        <v>3.6454498961866002</v>
      </c>
      <c r="AK40">
        <f t="shared" si="26"/>
        <v>1.5602476682433286</v>
      </c>
      <c r="AL40" t="e">
        <f t="shared" si="26"/>
        <v>#NUM!</v>
      </c>
      <c r="AM40" t="e">
        <f t="shared" si="26"/>
        <v>#NUM!</v>
      </c>
      <c r="AN40" t="e">
        <f t="shared" si="26"/>
        <v>#NUM!</v>
      </c>
      <c r="AO40" t="e">
        <f t="shared" ref="AO40:AV40" si="27">LN(AO28)</f>
        <v>#NUM!</v>
      </c>
      <c r="AP40" t="e">
        <f t="shared" si="27"/>
        <v>#NUM!</v>
      </c>
      <c r="AQ40">
        <f t="shared" si="27"/>
        <v>3.6858749450936377</v>
      </c>
      <c r="AR40">
        <f t="shared" si="27"/>
        <v>3.9826678449974779</v>
      </c>
      <c r="AS40" t="e">
        <f t="shared" si="27"/>
        <v>#NUM!</v>
      </c>
      <c r="AT40">
        <f t="shared" si="27"/>
        <v>3.9826678449974779</v>
      </c>
      <c r="AU40">
        <f t="shared" si="27"/>
        <v>3.6858749450936377</v>
      </c>
      <c r="AV40">
        <f t="shared" si="27"/>
        <v>3.9826678449974779</v>
      </c>
    </row>
    <row r="41" spans="1:48" x14ac:dyDescent="0.25">
      <c r="B41" t="s">
        <v>106</v>
      </c>
      <c r="I41">
        <v>3.0599999999999999E-2</v>
      </c>
      <c r="J41">
        <v>4.4999999999999998E-2</v>
      </c>
      <c r="K41">
        <v>5.1900000000000002E-2</v>
      </c>
      <c r="L41" s="30">
        <v>0.13170000000000001</v>
      </c>
      <c r="P41" s="30">
        <v>9.0700000000000003E-2</v>
      </c>
      <c r="Q41">
        <v>5.8999999999999997E-2</v>
      </c>
      <c r="R41">
        <v>2.7799999999999998E-2</v>
      </c>
      <c r="S41">
        <v>4.3999999999999997E-2</v>
      </c>
      <c r="T41">
        <v>6.1899999999999997E-2</v>
      </c>
      <c r="U41">
        <v>8.6199999999999999E-2</v>
      </c>
      <c r="V41" s="30">
        <v>0.1724</v>
      </c>
      <c r="AI41">
        <v>2.76E-2</v>
      </c>
      <c r="AJ41">
        <v>3.0499999999999999E-2</v>
      </c>
      <c r="AK41">
        <v>5.1200000000000002E-2</v>
      </c>
      <c r="AL41">
        <v>7.0199999999999999E-2</v>
      </c>
      <c r="AM41">
        <v>0.16220000000000001</v>
      </c>
      <c r="AN41" s="30">
        <v>0.42230000000000001</v>
      </c>
      <c r="AO41" s="30">
        <v>5.9299999999999999E-2</v>
      </c>
      <c r="AP41" s="30"/>
      <c r="AQ41" s="30">
        <v>3.3799999999999997E-2</v>
      </c>
      <c r="AR41" s="30">
        <v>3.4500000000000003E-2</v>
      </c>
      <c r="AS41" s="30">
        <v>5.9299999999999999E-2</v>
      </c>
      <c r="AT41" s="30">
        <v>3.4700000000000002E-2</v>
      </c>
      <c r="AU41" s="30">
        <v>3.4000000000000002E-2</v>
      </c>
      <c r="AV41" s="30">
        <v>3.4500000000000003E-2</v>
      </c>
    </row>
    <row r="42" spans="1:48" x14ac:dyDescent="0.25">
      <c r="A42" s="2" t="s">
        <v>191</v>
      </c>
      <c r="B42">
        <v>1</v>
      </c>
      <c r="C42">
        <f t="shared" ref="C42:AN42" si="28">LN(C17)</f>
        <v>0.44468582126144574</v>
      </c>
      <c r="D42" t="e">
        <f t="shared" si="28"/>
        <v>#NUM!</v>
      </c>
      <c r="E42" t="e">
        <f t="shared" si="28"/>
        <v>#NUM!</v>
      </c>
      <c r="F42" t="e">
        <f t="shared" si="28"/>
        <v>#NUM!</v>
      </c>
      <c r="G42" t="e">
        <f t="shared" si="28"/>
        <v>#NUM!</v>
      </c>
      <c r="H42" t="e">
        <f t="shared" si="28"/>
        <v>#NUM!</v>
      </c>
      <c r="I42">
        <f t="shared" si="28"/>
        <v>1.0986122886681098</v>
      </c>
      <c r="J42">
        <f t="shared" si="28"/>
        <v>0.62057648772510998</v>
      </c>
      <c r="K42">
        <f t="shared" si="28"/>
        <v>0.72754860727727766</v>
      </c>
      <c r="L42">
        <f t="shared" si="28"/>
        <v>0.1906203596086497</v>
      </c>
      <c r="M42" t="e">
        <f t="shared" si="28"/>
        <v>#NUM!</v>
      </c>
      <c r="N42" t="e">
        <f t="shared" si="28"/>
        <v>#NUM!</v>
      </c>
      <c r="O42" t="e">
        <f t="shared" si="28"/>
        <v>#NUM!</v>
      </c>
      <c r="P42">
        <f t="shared" si="28"/>
        <v>1.1410330045520618</v>
      </c>
      <c r="Q42">
        <f t="shared" si="28"/>
        <v>1.7509374747077999</v>
      </c>
      <c r="R42">
        <f t="shared" si="28"/>
        <v>5.9864520052844377</v>
      </c>
      <c r="S42">
        <f t="shared" si="28"/>
        <v>5.1590552992145291</v>
      </c>
      <c r="T42">
        <f t="shared" si="28"/>
        <v>4.592084946439436</v>
      </c>
      <c r="U42">
        <f t="shared" si="28"/>
        <v>0.87546873735389985</v>
      </c>
      <c r="V42">
        <f t="shared" si="28"/>
        <v>1.980262729617973E-2</v>
      </c>
      <c r="W42" t="e">
        <f t="shared" si="28"/>
        <v>#NUM!</v>
      </c>
      <c r="X42" t="e">
        <f t="shared" si="28"/>
        <v>#NUM!</v>
      </c>
      <c r="Y42" t="e">
        <f t="shared" si="28"/>
        <v>#NUM!</v>
      </c>
      <c r="Z42" t="e">
        <f t="shared" si="28"/>
        <v>#NUM!</v>
      </c>
      <c r="AA42" t="e">
        <f t="shared" si="28"/>
        <v>#NUM!</v>
      </c>
      <c r="AB42" t="e">
        <f t="shared" si="28"/>
        <v>#NUM!</v>
      </c>
      <c r="AC42" t="e">
        <f t="shared" si="28"/>
        <v>#NUM!</v>
      </c>
      <c r="AD42" t="e">
        <f t="shared" si="28"/>
        <v>#NUM!</v>
      </c>
      <c r="AE42" t="e">
        <f t="shared" si="28"/>
        <v>#NUM!</v>
      </c>
      <c r="AF42" t="e">
        <f t="shared" si="28"/>
        <v>#NUM!</v>
      </c>
      <c r="AG42" t="e">
        <f t="shared" si="28"/>
        <v>#NUM!</v>
      </c>
      <c r="AH42">
        <f t="shared" si="28"/>
        <v>-0.58698698473155464</v>
      </c>
      <c r="AI42">
        <f t="shared" si="28"/>
        <v>4.836281906951478</v>
      </c>
      <c r="AJ42">
        <f t="shared" si="28"/>
        <v>6.3080984415095305</v>
      </c>
      <c r="AK42">
        <f t="shared" si="28"/>
        <v>5.8081424899804439</v>
      </c>
      <c r="AL42">
        <f t="shared" si="28"/>
        <v>3.1945831322991562</v>
      </c>
      <c r="AM42">
        <f t="shared" si="28"/>
        <v>2.2071749081893874</v>
      </c>
      <c r="AN42">
        <f t="shared" si="28"/>
        <v>0.95165787571144633</v>
      </c>
      <c r="AO42">
        <f t="shared" ref="AO42:AV42" si="29">LN(AO17)</f>
        <v>2.2721258855093369</v>
      </c>
      <c r="AP42" t="e">
        <f t="shared" si="29"/>
        <v>#NUM!</v>
      </c>
      <c r="AQ42">
        <f t="shared" si="29"/>
        <v>6.5265095007520406</v>
      </c>
      <c r="AR42">
        <f t="shared" si="29"/>
        <v>6.9514237783606907</v>
      </c>
      <c r="AS42">
        <f t="shared" si="29"/>
        <v>2.2721258855093369</v>
      </c>
      <c r="AT42">
        <f t="shared" si="29"/>
        <v>6.960666463878729</v>
      </c>
      <c r="AU42">
        <f t="shared" si="29"/>
        <v>6.5406114411882523</v>
      </c>
      <c r="AV42">
        <f t="shared" si="29"/>
        <v>6.9514237783606907</v>
      </c>
    </row>
    <row r="43" spans="1:48" x14ac:dyDescent="0.25">
      <c r="B43">
        <v>5</v>
      </c>
      <c r="C43" t="e">
        <f t="shared" ref="C43:AN43" si="30">LN(C20)</f>
        <v>#NUM!</v>
      </c>
      <c r="D43" t="e">
        <f t="shared" si="30"/>
        <v>#NUM!</v>
      </c>
      <c r="E43" t="e">
        <f t="shared" si="30"/>
        <v>#NUM!</v>
      </c>
      <c r="F43" t="e">
        <f t="shared" si="30"/>
        <v>#NUM!</v>
      </c>
      <c r="G43" t="e">
        <f t="shared" si="30"/>
        <v>#NUM!</v>
      </c>
      <c r="H43" t="e">
        <f t="shared" si="30"/>
        <v>#NUM!</v>
      </c>
      <c r="I43">
        <f t="shared" si="30"/>
        <v>0.85441532815606758</v>
      </c>
      <c r="J43">
        <f t="shared" si="30"/>
        <v>0.35065687161316933</v>
      </c>
      <c r="K43">
        <f t="shared" si="30"/>
        <v>0.43825493093115531</v>
      </c>
      <c r="L43">
        <f t="shared" si="30"/>
        <v>-0.41703174447962976</v>
      </c>
      <c r="M43" t="e">
        <f t="shared" si="30"/>
        <v>#NUM!</v>
      </c>
      <c r="N43" t="e">
        <f t="shared" si="30"/>
        <v>#NUM!</v>
      </c>
      <c r="O43" t="e">
        <f t="shared" si="30"/>
        <v>#NUM!</v>
      </c>
      <c r="P43">
        <f t="shared" si="30"/>
        <v>0.45742484703887548</v>
      </c>
      <c r="Q43">
        <f t="shared" si="30"/>
        <v>1.43746264769429</v>
      </c>
      <c r="R43">
        <f t="shared" si="30"/>
        <v>5.780743515792329</v>
      </c>
      <c r="S43">
        <f t="shared" si="30"/>
        <v>4.9558270576012609</v>
      </c>
      <c r="T43">
        <f t="shared" si="30"/>
        <v>4.3333614626926007</v>
      </c>
      <c r="U43">
        <f t="shared" si="30"/>
        <v>0.35065687161316933</v>
      </c>
      <c r="V43">
        <f t="shared" si="30"/>
        <v>-0.38272562113867487</v>
      </c>
      <c r="W43" t="e">
        <f t="shared" si="30"/>
        <v>#NUM!</v>
      </c>
      <c r="X43" t="e">
        <f t="shared" si="30"/>
        <v>#NUM!</v>
      </c>
      <c r="Y43" t="e">
        <f t="shared" si="30"/>
        <v>#NUM!</v>
      </c>
      <c r="Z43" t="e">
        <f t="shared" si="30"/>
        <v>#NUM!</v>
      </c>
      <c r="AA43" t="e">
        <f t="shared" si="30"/>
        <v>#NUM!</v>
      </c>
      <c r="AB43" t="e">
        <f t="shared" si="30"/>
        <v>#NUM!</v>
      </c>
      <c r="AC43" t="e">
        <f t="shared" si="30"/>
        <v>#NUM!</v>
      </c>
      <c r="AD43" t="e">
        <f t="shared" si="30"/>
        <v>#NUM!</v>
      </c>
      <c r="AE43" t="e">
        <f t="shared" si="30"/>
        <v>#NUM!</v>
      </c>
      <c r="AF43" t="e">
        <f t="shared" si="30"/>
        <v>#NUM!</v>
      </c>
      <c r="AG43" t="e">
        <f t="shared" si="30"/>
        <v>#NUM!</v>
      </c>
      <c r="AH43" t="e">
        <f t="shared" si="30"/>
        <v>#NUM!</v>
      </c>
      <c r="AI43">
        <f t="shared" si="30"/>
        <v>4.6821312271242199</v>
      </c>
      <c r="AJ43">
        <f t="shared" si="30"/>
        <v>6.156978985585555</v>
      </c>
      <c r="AK43">
        <f t="shared" si="30"/>
        <v>5.5451774444795623</v>
      </c>
      <c r="AL43">
        <f t="shared" si="30"/>
        <v>2.5416019934645457</v>
      </c>
      <c r="AM43">
        <f t="shared" si="30"/>
        <v>1.0224509277025455</v>
      </c>
      <c r="AN43">
        <f t="shared" si="30"/>
        <v>-0.65585139581624841</v>
      </c>
      <c r="AO43">
        <f t="shared" ref="AO43:AV43" si="31">LN(AO20)</f>
        <v>1.7882533298987673</v>
      </c>
      <c r="AP43" t="e">
        <f t="shared" si="31"/>
        <v>#NUM!</v>
      </c>
      <c r="AQ43">
        <f t="shared" si="31"/>
        <v>6.3100855369652669</v>
      </c>
      <c r="AR43">
        <f t="shared" si="31"/>
        <v>6.7475853531197068</v>
      </c>
      <c r="AS43">
        <f t="shared" si="31"/>
        <v>1.7882533298987673</v>
      </c>
      <c r="AT43">
        <f t="shared" si="31"/>
        <v>6.7545784581335848</v>
      </c>
      <c r="AU43">
        <f t="shared" si="31"/>
        <v>6.3208959839396339</v>
      </c>
      <c r="AV43">
        <f t="shared" si="31"/>
        <v>6.7475853531197068</v>
      </c>
    </row>
    <row r="44" spans="1:48" x14ac:dyDescent="0.25">
      <c r="B44">
        <v>17</v>
      </c>
      <c r="C44" t="e">
        <f t="shared" ref="C44:AN44" si="32">LN(C23)</f>
        <v>#NUM!</v>
      </c>
      <c r="D44" t="e">
        <f t="shared" si="32"/>
        <v>#NUM!</v>
      </c>
      <c r="E44" t="e">
        <f t="shared" si="32"/>
        <v>#NUM!</v>
      </c>
      <c r="F44" t="e">
        <f t="shared" si="32"/>
        <v>#NUM!</v>
      </c>
      <c r="G44" t="e">
        <f t="shared" si="32"/>
        <v>#NUM!</v>
      </c>
      <c r="H44" t="e">
        <f t="shared" si="32"/>
        <v>#NUM!</v>
      </c>
      <c r="I44">
        <f t="shared" si="32"/>
        <v>0.44468582126144574</v>
      </c>
      <c r="J44">
        <f t="shared" si="32"/>
        <v>-9.9820335282210904E-2</v>
      </c>
      <c r="K44">
        <f t="shared" si="32"/>
        <v>-0.27575350158650713</v>
      </c>
      <c r="L44" t="e">
        <f t="shared" si="32"/>
        <v>#NUM!</v>
      </c>
      <c r="M44" t="e">
        <f t="shared" si="32"/>
        <v>#NUM!</v>
      </c>
      <c r="N44" t="e">
        <f t="shared" si="32"/>
        <v>#NUM!</v>
      </c>
      <c r="O44" t="e">
        <f t="shared" si="32"/>
        <v>#NUM!</v>
      </c>
      <c r="P44" t="e">
        <f t="shared" si="32"/>
        <v>#NUM!</v>
      </c>
      <c r="Q44">
        <f t="shared" si="32"/>
        <v>0.67803354274989713</v>
      </c>
      <c r="R44">
        <f t="shared" si="32"/>
        <v>5.3752784076841653</v>
      </c>
      <c r="S44">
        <f t="shared" si="32"/>
        <v>4.3707128747736084</v>
      </c>
      <c r="T44">
        <f t="shared" si="32"/>
        <v>3.505557396986398</v>
      </c>
      <c r="U44" t="e">
        <f t="shared" si="32"/>
        <v>#NUM!</v>
      </c>
      <c r="V44" t="e">
        <f t="shared" si="32"/>
        <v>#NUM!</v>
      </c>
      <c r="W44" t="e">
        <f t="shared" si="32"/>
        <v>#NUM!</v>
      </c>
      <c r="X44" t="e">
        <f t="shared" si="32"/>
        <v>#NUM!</v>
      </c>
      <c r="Y44" t="e">
        <f t="shared" si="32"/>
        <v>#NUM!</v>
      </c>
      <c r="Z44" t="e">
        <f t="shared" si="32"/>
        <v>#NUM!</v>
      </c>
      <c r="AA44" t="e">
        <f t="shared" si="32"/>
        <v>#NUM!</v>
      </c>
      <c r="AB44" t="e">
        <f t="shared" si="32"/>
        <v>#NUM!</v>
      </c>
      <c r="AC44" t="e">
        <f t="shared" si="32"/>
        <v>#NUM!</v>
      </c>
      <c r="AD44" t="e">
        <f t="shared" si="32"/>
        <v>#NUM!</v>
      </c>
      <c r="AE44" t="e">
        <f t="shared" si="32"/>
        <v>#NUM!</v>
      </c>
      <c r="AF44" t="e">
        <f t="shared" si="32"/>
        <v>#NUM!</v>
      </c>
      <c r="AG44" t="e">
        <f t="shared" si="32"/>
        <v>#NUM!</v>
      </c>
      <c r="AH44" t="e">
        <f t="shared" si="32"/>
        <v>#NUM!</v>
      </c>
      <c r="AI44">
        <f t="shared" si="32"/>
        <v>4.2002049529215784</v>
      </c>
      <c r="AJ44">
        <f t="shared" si="32"/>
        <v>5.6698809229805196</v>
      </c>
      <c r="AK44">
        <f t="shared" si="32"/>
        <v>4.7706846244656651</v>
      </c>
      <c r="AL44">
        <f t="shared" si="32"/>
        <v>1.2809338454620642</v>
      </c>
      <c r="AM44">
        <f t="shared" si="32"/>
        <v>-0.53956809263164474</v>
      </c>
      <c r="AN44" t="e">
        <f t="shared" si="32"/>
        <v>#NUM!</v>
      </c>
      <c r="AO44">
        <f t="shared" ref="AO44:AV44" si="33">LN(AO23)</f>
        <v>1.1706228246443817</v>
      </c>
      <c r="AP44" t="e">
        <f t="shared" si="33"/>
        <v>#NUM!</v>
      </c>
      <c r="AQ44">
        <f t="shared" si="33"/>
        <v>5.8002132384928649</v>
      </c>
      <c r="AR44">
        <f t="shared" si="33"/>
        <v>6.171456308702207</v>
      </c>
      <c r="AS44">
        <f t="shared" si="33"/>
        <v>1.1706228246443817</v>
      </c>
      <c r="AT44">
        <f t="shared" si="33"/>
        <v>6.1781660811153332</v>
      </c>
      <c r="AU44">
        <f t="shared" si="33"/>
        <v>5.8099246847113379</v>
      </c>
      <c r="AV44">
        <f t="shared" si="33"/>
        <v>6.171456308702207</v>
      </c>
    </row>
    <row r="45" spans="1:48" x14ac:dyDescent="0.25">
      <c r="A45" s="2"/>
      <c r="B45">
        <v>45</v>
      </c>
      <c r="C45" t="e">
        <f t="shared" ref="C45:AN45" si="34">LN(C26)</f>
        <v>#NUM!</v>
      </c>
      <c r="D45" t="e">
        <f t="shared" si="34"/>
        <v>#NUM!</v>
      </c>
      <c r="E45" t="e">
        <f t="shared" si="34"/>
        <v>#NUM!</v>
      </c>
      <c r="F45" t="e">
        <f t="shared" si="34"/>
        <v>#NUM!</v>
      </c>
      <c r="G45" t="e">
        <f t="shared" si="34"/>
        <v>#NUM!</v>
      </c>
      <c r="H45" t="e">
        <f t="shared" si="34"/>
        <v>#NUM!</v>
      </c>
      <c r="I45">
        <f t="shared" si="34"/>
        <v>-0.43540898448123644</v>
      </c>
      <c r="J45" t="e">
        <f t="shared" si="34"/>
        <v>#NUM!</v>
      </c>
      <c r="K45" t="e">
        <f t="shared" si="34"/>
        <v>#NUM!</v>
      </c>
      <c r="L45" t="e">
        <f t="shared" si="34"/>
        <v>#NUM!</v>
      </c>
      <c r="M45" t="e">
        <f t="shared" si="34"/>
        <v>#NUM!</v>
      </c>
      <c r="N45" t="e">
        <f t="shared" si="34"/>
        <v>#NUM!</v>
      </c>
      <c r="O45" t="e">
        <f t="shared" si="34"/>
        <v>#NUM!</v>
      </c>
      <c r="P45" t="e">
        <f t="shared" si="34"/>
        <v>#NUM!</v>
      </c>
      <c r="Q45" t="e">
        <f t="shared" si="34"/>
        <v>#NUM!</v>
      </c>
      <c r="R45">
        <f t="shared" si="34"/>
        <v>4.604169685654508</v>
      </c>
      <c r="S45">
        <f t="shared" si="34"/>
        <v>3.1000922888782338</v>
      </c>
      <c r="T45">
        <f t="shared" si="34"/>
        <v>1.6272778305624314</v>
      </c>
      <c r="U45" t="e">
        <f t="shared" si="34"/>
        <v>#NUM!</v>
      </c>
      <c r="V45" t="e">
        <f t="shared" si="34"/>
        <v>#NUM!</v>
      </c>
      <c r="W45" t="e">
        <f t="shared" si="34"/>
        <v>#NUM!</v>
      </c>
      <c r="X45" t="e">
        <f t="shared" si="34"/>
        <v>#NUM!</v>
      </c>
      <c r="Y45" t="e">
        <f t="shared" si="34"/>
        <v>#NUM!</v>
      </c>
      <c r="Z45" t="e">
        <f t="shared" si="34"/>
        <v>#NUM!</v>
      </c>
      <c r="AA45" t="e">
        <f t="shared" si="34"/>
        <v>#NUM!</v>
      </c>
      <c r="AB45" t="e">
        <f t="shared" si="34"/>
        <v>#NUM!</v>
      </c>
      <c r="AC45" t="e">
        <f t="shared" si="34"/>
        <v>#NUM!</v>
      </c>
      <c r="AD45" t="e">
        <f t="shared" si="34"/>
        <v>#NUM!</v>
      </c>
      <c r="AE45" t="e">
        <f t="shared" si="34"/>
        <v>#NUM!</v>
      </c>
      <c r="AF45" t="e">
        <f t="shared" si="34"/>
        <v>#NUM!</v>
      </c>
      <c r="AG45" t="e">
        <f t="shared" si="34"/>
        <v>#NUM!</v>
      </c>
      <c r="AH45" t="e">
        <f t="shared" si="34"/>
        <v>#NUM!</v>
      </c>
      <c r="AI45">
        <f t="shared" si="34"/>
        <v>3.4563166808832348</v>
      </c>
      <c r="AJ45">
        <f t="shared" si="34"/>
        <v>4.7791234931115296</v>
      </c>
      <c r="AK45">
        <f t="shared" si="34"/>
        <v>3.2347491740244907</v>
      </c>
      <c r="AL45">
        <f t="shared" si="34"/>
        <v>0.131028262406404</v>
      </c>
      <c r="AM45" t="e">
        <f t="shared" si="34"/>
        <v>#NUM!</v>
      </c>
      <c r="AN45" t="e">
        <f t="shared" si="34"/>
        <v>#NUM!</v>
      </c>
      <c r="AO45">
        <f t="shared" ref="AO45:AV45" si="35">LN(AO26)</f>
        <v>-0.43540898448123644</v>
      </c>
      <c r="AP45" t="e">
        <f t="shared" si="35"/>
        <v>#NUM!</v>
      </c>
      <c r="AQ45">
        <f t="shared" si="35"/>
        <v>4.8456820314633928</v>
      </c>
      <c r="AR45">
        <f t="shared" si="35"/>
        <v>5.1775047463312882</v>
      </c>
      <c r="AS45">
        <f t="shared" si="35"/>
        <v>-0.43540898448123644</v>
      </c>
      <c r="AT45">
        <f t="shared" si="35"/>
        <v>5.1811485172405973</v>
      </c>
      <c r="AU45">
        <f t="shared" si="35"/>
        <v>4.8507560149090727</v>
      </c>
      <c r="AV45">
        <f t="shared" si="35"/>
        <v>5.1775047463312882</v>
      </c>
    </row>
    <row r="46" spans="1:48" x14ac:dyDescent="0.25">
      <c r="B46">
        <v>80</v>
      </c>
      <c r="C46" t="e">
        <f t="shared" ref="C46:AN46" si="36">LN(C29)</f>
        <v>#NUM!</v>
      </c>
      <c r="D46" t="e">
        <f t="shared" si="36"/>
        <v>#NUM!</v>
      </c>
      <c r="E46" t="e">
        <f t="shared" si="36"/>
        <v>#NUM!</v>
      </c>
      <c r="F46" t="e">
        <f t="shared" si="36"/>
        <v>#NUM!</v>
      </c>
      <c r="G46" t="e">
        <f t="shared" si="36"/>
        <v>#NUM!</v>
      </c>
      <c r="H46" t="e">
        <f t="shared" si="36"/>
        <v>#NUM!</v>
      </c>
      <c r="I46" t="e">
        <f t="shared" si="36"/>
        <v>#NUM!</v>
      </c>
      <c r="J46" t="e">
        <f t="shared" si="36"/>
        <v>#NUM!</v>
      </c>
      <c r="K46" t="e">
        <f t="shared" si="36"/>
        <v>#NUM!</v>
      </c>
      <c r="L46" t="e">
        <f t="shared" si="36"/>
        <v>#NUM!</v>
      </c>
      <c r="M46" t="e">
        <f t="shared" si="36"/>
        <v>#NUM!</v>
      </c>
      <c r="N46" t="e">
        <f t="shared" si="36"/>
        <v>#NUM!</v>
      </c>
      <c r="O46" t="e">
        <f t="shared" si="36"/>
        <v>#NUM!</v>
      </c>
      <c r="P46" t="e">
        <f t="shared" si="36"/>
        <v>#NUM!</v>
      </c>
      <c r="Q46" t="e">
        <f t="shared" si="36"/>
        <v>#NUM!</v>
      </c>
      <c r="R46">
        <f t="shared" si="36"/>
        <v>3.9963641538618968</v>
      </c>
      <c r="S46">
        <f t="shared" si="36"/>
        <v>1.6505798557652755</v>
      </c>
      <c r="T46">
        <f t="shared" si="36"/>
        <v>-0.43232256227804705</v>
      </c>
      <c r="U46" t="e">
        <f t="shared" si="36"/>
        <v>#NUM!</v>
      </c>
      <c r="V46" t="e">
        <f t="shared" si="36"/>
        <v>#NUM!</v>
      </c>
      <c r="W46" t="e">
        <f t="shared" si="36"/>
        <v>#NUM!</v>
      </c>
      <c r="X46" t="e">
        <f t="shared" si="36"/>
        <v>#NUM!</v>
      </c>
      <c r="Y46" t="e">
        <f t="shared" si="36"/>
        <v>#NUM!</v>
      </c>
      <c r="Z46" t="e">
        <f t="shared" si="36"/>
        <v>#NUM!</v>
      </c>
      <c r="AA46" t="e">
        <f t="shared" si="36"/>
        <v>#NUM!</v>
      </c>
      <c r="AB46" t="e">
        <f t="shared" si="36"/>
        <v>#NUM!</v>
      </c>
      <c r="AC46" t="e">
        <f t="shared" si="36"/>
        <v>#NUM!</v>
      </c>
      <c r="AD46" t="e">
        <f t="shared" si="36"/>
        <v>#NUM!</v>
      </c>
      <c r="AE46" t="e">
        <f t="shared" si="36"/>
        <v>#NUM!</v>
      </c>
      <c r="AF46" t="e">
        <f t="shared" si="36"/>
        <v>#NUM!</v>
      </c>
      <c r="AG46" t="e">
        <f t="shared" si="36"/>
        <v>#NUM!</v>
      </c>
      <c r="AH46" t="e">
        <f t="shared" si="36"/>
        <v>#NUM!</v>
      </c>
      <c r="AI46">
        <f t="shared" si="36"/>
        <v>2.7663191092261861</v>
      </c>
      <c r="AJ46">
        <f t="shared" si="36"/>
        <v>4.1911687468576408</v>
      </c>
      <c r="AK46">
        <f t="shared" si="36"/>
        <v>2.0515563381903004</v>
      </c>
      <c r="AL46" t="e">
        <f t="shared" si="36"/>
        <v>#NUM!</v>
      </c>
      <c r="AM46" t="e">
        <f t="shared" si="36"/>
        <v>#NUM!</v>
      </c>
      <c r="AN46" t="e">
        <f t="shared" si="36"/>
        <v>#NUM!</v>
      </c>
      <c r="AO46" t="e">
        <f t="shared" ref="AO46:AV46" si="37">LN(AO29)</f>
        <v>#NUM!</v>
      </c>
      <c r="AP46" t="e">
        <f t="shared" si="37"/>
        <v>#NUM!</v>
      </c>
      <c r="AQ46">
        <f t="shared" si="37"/>
        <v>4.0986519388084037</v>
      </c>
      <c r="AR46">
        <f t="shared" si="37"/>
        <v>4.4973622333537859</v>
      </c>
      <c r="AS46" t="e">
        <f t="shared" si="37"/>
        <v>#NUM!</v>
      </c>
      <c r="AT46">
        <f t="shared" si="37"/>
        <v>4.4973622333537859</v>
      </c>
      <c r="AU46">
        <f t="shared" si="37"/>
        <v>4.0986519388084037</v>
      </c>
      <c r="AV46">
        <f t="shared" si="37"/>
        <v>4.4973622333537859</v>
      </c>
    </row>
    <row r="47" spans="1:48" x14ac:dyDescent="0.25">
      <c r="B47" t="s">
        <v>106</v>
      </c>
      <c r="I47">
        <v>3.3799999999999997E-2</v>
      </c>
      <c r="J47">
        <v>4.3299999999999998E-2</v>
      </c>
      <c r="K47">
        <v>6.2E-2</v>
      </c>
      <c r="L47" s="30">
        <v>0.15190000000000001</v>
      </c>
      <c r="P47" s="30">
        <v>0.1709</v>
      </c>
      <c r="Q47">
        <v>6.6199999999999995E-2</v>
      </c>
      <c r="R47">
        <v>2.5000000000000001E-2</v>
      </c>
      <c r="S47">
        <v>4.4400000000000002E-2</v>
      </c>
      <c r="T47">
        <v>6.4000000000000001E-2</v>
      </c>
      <c r="U47" s="30">
        <v>0.13120000000000001</v>
      </c>
      <c r="V47" s="30">
        <v>0.10059999999999999</v>
      </c>
      <c r="AI47">
        <v>2.6100000000000002E-2</v>
      </c>
      <c r="AJ47">
        <v>2.7199999999999998E-2</v>
      </c>
      <c r="AK47">
        <v>4.8000000000000001E-2</v>
      </c>
      <c r="AL47">
        <v>6.5799999999999997E-2</v>
      </c>
      <c r="AM47">
        <v>0.16209999999999999</v>
      </c>
      <c r="AN47" s="30">
        <v>0.40189999999999998</v>
      </c>
      <c r="AO47" s="30">
        <v>5.91E-2</v>
      </c>
      <c r="AP47" s="30"/>
      <c r="AQ47" s="30">
        <v>3.0700000000000002E-2</v>
      </c>
      <c r="AR47" s="30">
        <v>3.1199999999999999E-2</v>
      </c>
      <c r="AS47" s="30">
        <v>5.91E-2</v>
      </c>
      <c r="AT47" s="30">
        <v>3.1300000000000001E-2</v>
      </c>
      <c r="AU47" s="30">
        <v>3.09E-2</v>
      </c>
      <c r="AV47" s="30">
        <v>3.1199999999999999E-2</v>
      </c>
    </row>
    <row r="48" spans="1:48" x14ac:dyDescent="0.25">
      <c r="A48" t="s">
        <v>109</v>
      </c>
      <c r="B48" t="s">
        <v>39</v>
      </c>
      <c r="C48" t="e">
        <f>LN(2)/C35</f>
        <v>#DIV/0!</v>
      </c>
      <c r="D48" t="e">
        <f t="shared" ref="D48:AN48" si="38">LN(2)/D35</f>
        <v>#DIV/0!</v>
      </c>
      <c r="E48" t="e">
        <f t="shared" si="38"/>
        <v>#DIV/0!</v>
      </c>
      <c r="F48" t="e">
        <f t="shared" si="38"/>
        <v>#DIV/0!</v>
      </c>
      <c r="G48" t="e">
        <f t="shared" si="38"/>
        <v>#DIV/0!</v>
      </c>
      <c r="H48" t="e">
        <f t="shared" si="38"/>
        <v>#DIV/0!</v>
      </c>
      <c r="I48">
        <f t="shared" si="38"/>
        <v>22.504778589608613</v>
      </c>
      <c r="J48">
        <f t="shared" si="38"/>
        <v>19.635897466287403</v>
      </c>
      <c r="K48">
        <f t="shared" si="38"/>
        <v>14.088357328454173</v>
      </c>
      <c r="L48" s="30">
        <f t="shared" si="38"/>
        <v>5.9754067289650452</v>
      </c>
      <c r="M48" t="e">
        <f t="shared" si="38"/>
        <v>#DIV/0!</v>
      </c>
      <c r="N48" t="e">
        <f t="shared" si="38"/>
        <v>#DIV/0!</v>
      </c>
      <c r="O48" t="e">
        <f t="shared" si="38"/>
        <v>#DIV/0!</v>
      </c>
      <c r="P48">
        <f t="shared" si="38"/>
        <v>6.7230570374388483</v>
      </c>
      <c r="Q48">
        <f t="shared" si="38"/>
        <v>14.747812352339261</v>
      </c>
      <c r="R48">
        <f t="shared" si="38"/>
        <v>24.492833235333755</v>
      </c>
      <c r="S48">
        <f t="shared" si="38"/>
        <v>16.119701873487102</v>
      </c>
      <c r="T48">
        <f t="shared" si="38"/>
        <v>11.848669753161458</v>
      </c>
      <c r="U48">
        <f t="shared" si="38"/>
        <v>8.3011638390412603</v>
      </c>
      <c r="V48">
        <f t="shared" si="38"/>
        <v>8.3511708501198214</v>
      </c>
      <c r="W48" t="e">
        <f t="shared" si="38"/>
        <v>#DIV/0!</v>
      </c>
      <c r="X48" t="e">
        <f t="shared" si="38"/>
        <v>#DIV/0!</v>
      </c>
      <c r="Y48" t="e">
        <f t="shared" si="38"/>
        <v>#DIV/0!</v>
      </c>
      <c r="Z48" t="e">
        <f t="shared" si="38"/>
        <v>#DIV/0!</v>
      </c>
      <c r="AA48" t="e">
        <f t="shared" si="38"/>
        <v>#DIV/0!</v>
      </c>
      <c r="AB48" t="e">
        <f t="shared" si="38"/>
        <v>#DIV/0!</v>
      </c>
      <c r="AC48" t="e">
        <f t="shared" si="38"/>
        <v>#DIV/0!</v>
      </c>
      <c r="AD48" t="e">
        <f t="shared" si="38"/>
        <v>#DIV/0!</v>
      </c>
      <c r="AE48" t="e">
        <f t="shared" si="38"/>
        <v>#DIV/0!</v>
      </c>
      <c r="AF48" t="e">
        <f t="shared" si="38"/>
        <v>#DIV/0!</v>
      </c>
      <c r="AG48" t="e">
        <f t="shared" si="38"/>
        <v>#DIV/0!</v>
      </c>
      <c r="AH48" s="30">
        <f t="shared" si="38"/>
        <v>11.289042028663603</v>
      </c>
      <c r="AI48">
        <f t="shared" si="38"/>
        <v>26.355406104940887</v>
      </c>
      <c r="AJ48">
        <f t="shared" si="38"/>
        <v>22.216255787177733</v>
      </c>
      <c r="AK48">
        <f t="shared" si="38"/>
        <v>13.725686743761292</v>
      </c>
      <c r="AL48">
        <f t="shared" si="38"/>
        <v>14.203835667211992</v>
      </c>
      <c r="AM48">
        <f t="shared" si="38"/>
        <v>4.221359199512456</v>
      </c>
      <c r="AN48" s="30">
        <f t="shared" si="38"/>
        <v>2.1627057115754922</v>
      </c>
      <c r="AO48" s="30">
        <f t="shared" ref="AO48:AV48" si="39">LN(2)/AO35</f>
        <v>11.037375486623333</v>
      </c>
      <c r="AP48" s="30" t="e">
        <f t="shared" si="39"/>
        <v>#DIV/0!</v>
      </c>
      <c r="AQ48" s="30">
        <f t="shared" si="39"/>
        <v>20.149627341858874</v>
      </c>
      <c r="AR48" s="30">
        <f t="shared" si="39"/>
        <v>19.747782921935762</v>
      </c>
      <c r="AS48" s="30">
        <f t="shared" si="39"/>
        <v>11.037375486623333</v>
      </c>
      <c r="AT48" s="30">
        <f t="shared" si="39"/>
        <v>19.691681265907537</v>
      </c>
      <c r="AU48" s="30">
        <f t="shared" si="39"/>
        <v>20.03315550751287</v>
      </c>
      <c r="AV48" s="30">
        <f t="shared" si="39"/>
        <v>19.747782921935762</v>
      </c>
    </row>
    <row r="49" spans="2:48" x14ac:dyDescent="0.25">
      <c r="B49" t="s">
        <v>40</v>
      </c>
      <c r="C49" t="e">
        <f>LN(2)/C41</f>
        <v>#DIV/0!</v>
      </c>
      <c r="D49" t="e">
        <f t="shared" ref="D49:AN49" si="40">LN(2)/D41</f>
        <v>#DIV/0!</v>
      </c>
      <c r="E49" t="e">
        <f t="shared" si="40"/>
        <v>#DIV/0!</v>
      </c>
      <c r="F49" t="e">
        <f t="shared" si="40"/>
        <v>#DIV/0!</v>
      </c>
      <c r="G49" t="e">
        <f t="shared" si="40"/>
        <v>#DIV/0!</v>
      </c>
      <c r="H49" t="e">
        <f t="shared" si="40"/>
        <v>#DIV/0!</v>
      </c>
      <c r="I49">
        <f t="shared" si="40"/>
        <v>22.651868645749847</v>
      </c>
      <c r="J49">
        <f t="shared" si="40"/>
        <v>15.403270679109896</v>
      </c>
      <c r="K49">
        <f t="shared" si="40"/>
        <v>13.355437005008579</v>
      </c>
      <c r="L49" s="30">
        <f t="shared" si="40"/>
        <v>5.2630765418370933</v>
      </c>
      <c r="M49" t="e">
        <f t="shared" si="40"/>
        <v>#DIV/0!</v>
      </c>
      <c r="N49" t="e">
        <f t="shared" si="40"/>
        <v>#DIV/0!</v>
      </c>
      <c r="O49" t="e">
        <f t="shared" si="40"/>
        <v>#DIV/0!</v>
      </c>
      <c r="P49" s="30">
        <f t="shared" si="40"/>
        <v>7.6421960370446005</v>
      </c>
      <c r="Q49">
        <f t="shared" si="40"/>
        <v>11.748257297626193</v>
      </c>
      <c r="R49">
        <f t="shared" si="40"/>
        <v>24.93335181870307</v>
      </c>
      <c r="S49">
        <f t="shared" si="40"/>
        <v>15.753345012726029</v>
      </c>
      <c r="T49">
        <f t="shared" si="40"/>
        <v>11.197854290144512</v>
      </c>
      <c r="U49">
        <f t="shared" si="40"/>
        <v>8.0411505865422885</v>
      </c>
      <c r="V49" s="30">
        <f t="shared" si="40"/>
        <v>4.0205752932711443</v>
      </c>
      <c r="W49" t="e">
        <f t="shared" si="40"/>
        <v>#DIV/0!</v>
      </c>
      <c r="X49" t="e">
        <f t="shared" si="40"/>
        <v>#DIV/0!</v>
      </c>
      <c r="Y49" t="e">
        <f t="shared" si="40"/>
        <v>#DIV/0!</v>
      </c>
      <c r="Z49" t="e">
        <f t="shared" si="40"/>
        <v>#DIV/0!</v>
      </c>
      <c r="AA49" t="e">
        <f t="shared" si="40"/>
        <v>#DIV/0!</v>
      </c>
      <c r="AB49" t="e">
        <f t="shared" si="40"/>
        <v>#DIV/0!</v>
      </c>
      <c r="AC49" t="e">
        <f t="shared" si="40"/>
        <v>#DIV/0!</v>
      </c>
      <c r="AD49" t="e">
        <f t="shared" si="40"/>
        <v>#DIV/0!</v>
      </c>
      <c r="AE49" t="e">
        <f t="shared" si="40"/>
        <v>#DIV/0!</v>
      </c>
      <c r="AF49" t="e">
        <f t="shared" si="40"/>
        <v>#DIV/0!</v>
      </c>
      <c r="AG49" t="e">
        <f t="shared" si="40"/>
        <v>#DIV/0!</v>
      </c>
      <c r="AH49" t="e">
        <f t="shared" si="40"/>
        <v>#DIV/0!</v>
      </c>
      <c r="AI49">
        <f t="shared" si="40"/>
        <v>25.114028281157438</v>
      </c>
      <c r="AJ49">
        <f t="shared" si="40"/>
        <v>22.726137067539192</v>
      </c>
      <c r="AK49">
        <f t="shared" si="40"/>
        <v>13.538030870311431</v>
      </c>
      <c r="AL49">
        <f t="shared" si="40"/>
        <v>9.8738914609678812</v>
      </c>
      <c r="AM49">
        <f t="shared" si="40"/>
        <v>4.2734104843399834</v>
      </c>
      <c r="AN49" s="30">
        <f t="shared" si="40"/>
        <v>1.6413620188490299</v>
      </c>
      <c r="AO49" s="30">
        <f t="shared" ref="AO49:AV49" si="41">LN(2)/AO41</f>
        <v>11.688822606407172</v>
      </c>
      <c r="AP49" s="30" t="e">
        <f t="shared" si="41"/>
        <v>#DIV/0!</v>
      </c>
      <c r="AQ49" s="30">
        <f t="shared" si="41"/>
        <v>20.50731303431791</v>
      </c>
      <c r="AR49" s="30">
        <f t="shared" si="41"/>
        <v>20.091222624925948</v>
      </c>
      <c r="AS49" s="30">
        <f t="shared" si="41"/>
        <v>11.688822606407172</v>
      </c>
      <c r="AT49" s="30">
        <f t="shared" si="41"/>
        <v>19.975423070891793</v>
      </c>
      <c r="AU49" s="30">
        <f t="shared" si="41"/>
        <v>20.386681781174861</v>
      </c>
      <c r="AV49" s="30">
        <f t="shared" si="41"/>
        <v>20.091222624925948</v>
      </c>
    </row>
    <row r="50" spans="2:48" x14ac:dyDescent="0.25">
      <c r="B50" t="s">
        <v>41</v>
      </c>
      <c r="C50" t="e">
        <f>LN(2)/C47</f>
        <v>#DIV/0!</v>
      </c>
      <c r="D50" t="e">
        <f t="shared" ref="D50:AN50" si="42">LN(2)/D47</f>
        <v>#DIV/0!</v>
      </c>
      <c r="E50" t="e">
        <f t="shared" si="42"/>
        <v>#DIV/0!</v>
      </c>
      <c r="F50" t="e">
        <f t="shared" si="42"/>
        <v>#DIV/0!</v>
      </c>
      <c r="G50" t="e">
        <f t="shared" si="42"/>
        <v>#DIV/0!</v>
      </c>
      <c r="H50" t="e">
        <f t="shared" si="42"/>
        <v>#DIV/0!</v>
      </c>
      <c r="I50">
        <f t="shared" si="42"/>
        <v>20.50731303431791</v>
      </c>
      <c r="J50">
        <f t="shared" si="42"/>
        <v>16.008018026788577</v>
      </c>
      <c r="K50">
        <f t="shared" si="42"/>
        <v>11.179793234837827</v>
      </c>
      <c r="L50" s="30">
        <f t="shared" si="42"/>
        <v>4.563180912178705</v>
      </c>
      <c r="M50" t="e">
        <f t="shared" si="42"/>
        <v>#DIV/0!</v>
      </c>
      <c r="N50" t="e">
        <f t="shared" si="42"/>
        <v>#DIV/0!</v>
      </c>
      <c r="O50" t="e">
        <f t="shared" si="42"/>
        <v>#DIV/0!</v>
      </c>
      <c r="P50" s="30">
        <f t="shared" si="42"/>
        <v>4.0558641343472512</v>
      </c>
      <c r="Q50">
        <f t="shared" si="42"/>
        <v>10.470501216917603</v>
      </c>
      <c r="R50">
        <f t="shared" si="42"/>
        <v>27.725887222397809</v>
      </c>
      <c r="S50">
        <f t="shared" si="42"/>
        <v>15.611422985584353</v>
      </c>
      <c r="T50">
        <f t="shared" si="42"/>
        <v>10.830424696249144</v>
      </c>
      <c r="U50" s="30">
        <f t="shared" si="42"/>
        <v>5.2831339981703138</v>
      </c>
      <c r="V50" s="30">
        <f t="shared" si="42"/>
        <v>6.890131019482558</v>
      </c>
      <c r="W50" t="e">
        <f t="shared" si="42"/>
        <v>#DIV/0!</v>
      </c>
      <c r="X50" t="e">
        <f t="shared" si="42"/>
        <v>#DIV/0!</v>
      </c>
      <c r="Y50" t="e">
        <f t="shared" si="42"/>
        <v>#DIV/0!</v>
      </c>
      <c r="Z50" t="e">
        <f t="shared" si="42"/>
        <v>#DIV/0!</v>
      </c>
      <c r="AA50" t="e">
        <f t="shared" si="42"/>
        <v>#DIV/0!</v>
      </c>
      <c r="AB50" t="e">
        <f t="shared" si="42"/>
        <v>#DIV/0!</v>
      </c>
      <c r="AC50" t="e">
        <f t="shared" si="42"/>
        <v>#DIV/0!</v>
      </c>
      <c r="AD50" t="e">
        <f t="shared" si="42"/>
        <v>#DIV/0!</v>
      </c>
      <c r="AE50" t="e">
        <f t="shared" si="42"/>
        <v>#DIV/0!</v>
      </c>
      <c r="AF50" t="e">
        <f t="shared" si="42"/>
        <v>#DIV/0!</v>
      </c>
      <c r="AG50" t="e">
        <f t="shared" si="42"/>
        <v>#DIV/0!</v>
      </c>
      <c r="AH50" t="e">
        <f t="shared" si="42"/>
        <v>#DIV/0!</v>
      </c>
      <c r="AI50">
        <f t="shared" si="42"/>
        <v>26.557363239844644</v>
      </c>
      <c r="AJ50">
        <f t="shared" si="42"/>
        <v>25.483352226468579</v>
      </c>
      <c r="AK50">
        <f t="shared" si="42"/>
        <v>14.440566261665527</v>
      </c>
      <c r="AL50">
        <f t="shared" si="42"/>
        <v>10.53415168024233</v>
      </c>
      <c r="AM50">
        <f t="shared" si="42"/>
        <v>4.2760467647128024</v>
      </c>
      <c r="AN50" s="30">
        <f t="shared" si="42"/>
        <v>1.7246757416271343</v>
      </c>
      <c r="AO50" s="30">
        <f t="shared" ref="AO50:AV50" si="43">LN(2)/AO47</f>
        <v>11.728378689677585</v>
      </c>
      <c r="AP50" s="30" t="e">
        <f t="shared" si="43"/>
        <v>#DIV/0!</v>
      </c>
      <c r="AQ50" s="30">
        <f t="shared" si="43"/>
        <v>22.578084057327207</v>
      </c>
      <c r="AR50" s="30">
        <f t="shared" si="43"/>
        <v>22.216255787177733</v>
      </c>
      <c r="AS50" s="30">
        <f t="shared" si="43"/>
        <v>11.728378689677585</v>
      </c>
      <c r="AT50" s="30">
        <f t="shared" si="43"/>
        <v>22.145277334183554</v>
      </c>
      <c r="AU50" s="30">
        <f t="shared" si="43"/>
        <v>22.431947590936741</v>
      </c>
      <c r="AV50" s="30">
        <f t="shared" si="43"/>
        <v>22.216255787177733</v>
      </c>
    </row>
    <row r="51" spans="2:48" x14ac:dyDescent="0.25">
      <c r="AO51">
        <f>AVERAGE(AO48:AO50)</f>
        <v>11.484858927569363</v>
      </c>
      <c r="AP51" t="e">
        <f>AVERAGE(AP48:AP50)</f>
        <v>#DIV/0!</v>
      </c>
      <c r="AQ51">
        <f>AVERAGE(AQ48:AQ50)</f>
        <v>21.078341477834666</v>
      </c>
      <c r="AR51">
        <f t="shared" ref="AR51:AV51" si="44">AVERAGE(AR48:AR50)</f>
        <v>20.68508711134648</v>
      </c>
      <c r="AS51">
        <f t="shared" si="44"/>
        <v>11.484858927569363</v>
      </c>
      <c r="AT51">
        <f t="shared" si="44"/>
        <v>20.60412722366096</v>
      </c>
      <c r="AU51">
        <f t="shared" si="44"/>
        <v>20.950594959874824</v>
      </c>
      <c r="AV51">
        <f t="shared" si="44"/>
        <v>20.68508711134648</v>
      </c>
    </row>
    <row r="54" spans="2:48" x14ac:dyDescent="0.25">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row>
  </sheetData>
  <phoneticPr fontId="4" type="noConversion"/>
  <conditionalFormatting sqref="C27:AB29 AG3:AN29">
    <cfRule type="notContainsText" dxfId="25" priority="7" operator="notContains" text="&lt;">
      <formula>ISERROR(SEARCH("&lt;",C3))</formula>
    </cfRule>
  </conditionalFormatting>
  <conditionalFormatting sqref="C3:AB5">
    <cfRule type="notContainsText" dxfId="24" priority="16" operator="notContains" text="&lt;">
      <formula>ISERROR(SEARCH("&lt;",C3))</formula>
    </cfRule>
  </conditionalFormatting>
  <conditionalFormatting sqref="C6:AB8">
    <cfRule type="notContainsText" dxfId="23" priority="15" operator="notContains" text="&lt;">
      <formula>ISERROR(SEARCH("&lt;",C6))</formula>
    </cfRule>
  </conditionalFormatting>
  <conditionalFormatting sqref="C9:AB11">
    <cfRule type="notContainsText" dxfId="22" priority="14" operator="notContains" text="&lt;">
      <formula>ISERROR(SEARCH("&lt;",C9))</formula>
    </cfRule>
  </conditionalFormatting>
  <conditionalFormatting sqref="C12:AB14">
    <cfRule type="notContainsText" dxfId="21" priority="13" operator="notContains" text="&lt;">
      <formula>ISERROR(SEARCH("&lt;",C12))</formula>
    </cfRule>
  </conditionalFormatting>
  <conditionalFormatting sqref="C15:AB17">
    <cfRule type="notContainsText" dxfId="20" priority="12" operator="notContains" text="&lt;">
      <formula>ISERROR(SEARCH("&lt;",C15))</formula>
    </cfRule>
  </conditionalFormatting>
  <conditionalFormatting sqref="C18:AB20">
    <cfRule type="notContainsText" dxfId="19" priority="11" operator="notContains" text="&lt;">
      <formula>ISERROR(SEARCH("&lt;",C18))</formula>
    </cfRule>
  </conditionalFormatting>
  <conditionalFormatting sqref="C21:AB23">
    <cfRule type="notContainsText" dxfId="18" priority="10" operator="notContains" text="&lt;">
      <formula>ISERROR(SEARCH("&lt;",C21))</formula>
    </cfRule>
  </conditionalFormatting>
  <conditionalFormatting sqref="C24:AB26">
    <cfRule type="notContainsText" dxfId="17" priority="9" operator="notContains" text="&lt;">
      <formula>ISERROR(SEARCH("&lt;",C24))</formula>
    </cfRule>
  </conditionalFormatting>
  <conditionalFormatting sqref="C55:AN55">
    <cfRule type="colorScale" priority="1">
      <colorScale>
        <cfvo type="min"/>
        <cfvo type="percentile" val="50"/>
        <cfvo type="max"/>
        <color rgb="FF63BE7B"/>
        <color rgb="FFFFEB84"/>
        <color rgb="FFF8696B"/>
      </colorScale>
    </cfRule>
  </conditionalFormatting>
  <pageMargins left="0.7" right="0.7" top="0.78740157499999996" bottom="0.78740157499999996"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69E11-C8F3-43DC-AA3F-D1E26C35F612}">
  <dimension ref="A1:AZ105"/>
  <sheetViews>
    <sheetView zoomScale="85" zoomScaleNormal="85" workbookViewId="0">
      <pane xSplit="3" ySplit="2" topLeftCell="AF3" activePane="bottomRight" state="frozen"/>
      <selection pane="topRight" activeCell="D1" sqref="D1"/>
      <selection pane="bottomLeft" activeCell="A3" sqref="A3"/>
      <selection pane="bottomRight" activeCell="A91" sqref="A91"/>
    </sheetView>
  </sheetViews>
  <sheetFormatPr baseColWidth="10" defaultRowHeight="15" x14ac:dyDescent="0.25"/>
  <sheetData>
    <row r="1" spans="1:49" x14ac:dyDescent="0.25">
      <c r="D1" t="s">
        <v>0</v>
      </c>
      <c r="Y1" t="s">
        <v>17</v>
      </c>
    </row>
    <row r="2" spans="1:49" x14ac:dyDescent="0.25">
      <c r="D2" t="s">
        <v>227</v>
      </c>
      <c r="E2" t="s">
        <v>236</v>
      </c>
      <c r="F2" t="s">
        <v>237</v>
      </c>
      <c r="G2" t="s">
        <v>238</v>
      </c>
      <c r="H2" t="s">
        <v>239</v>
      </c>
      <c r="I2" t="s">
        <v>240</v>
      </c>
      <c r="J2" t="s">
        <v>241</v>
      </c>
      <c r="K2" t="s">
        <v>242</v>
      </c>
      <c r="L2" t="s">
        <v>243</v>
      </c>
      <c r="M2" t="s">
        <v>244</v>
      </c>
      <c r="N2" t="s">
        <v>245</v>
      </c>
      <c r="O2" t="s">
        <v>246</v>
      </c>
      <c r="P2" t="s">
        <v>247</v>
      </c>
      <c r="Q2" t="s">
        <v>248</v>
      </c>
      <c r="R2" t="s">
        <v>249</v>
      </c>
      <c r="S2" t="s">
        <v>250</v>
      </c>
      <c r="T2" t="s">
        <v>251</v>
      </c>
      <c r="U2" t="s">
        <v>252</v>
      </c>
      <c r="V2" t="s">
        <v>253</v>
      </c>
      <c r="W2" t="s">
        <v>254</v>
      </c>
      <c r="X2" t="s">
        <v>255</v>
      </c>
      <c r="Y2" t="s">
        <v>256</v>
      </c>
      <c r="Z2" t="s">
        <v>238</v>
      </c>
      <c r="AA2" t="s">
        <v>239</v>
      </c>
      <c r="AB2" t="s">
        <v>240</v>
      </c>
      <c r="AC2" t="s">
        <v>241</v>
      </c>
      <c r="AD2" t="s">
        <v>242</v>
      </c>
      <c r="AE2" t="s">
        <v>243</v>
      </c>
      <c r="AF2" t="s">
        <v>244</v>
      </c>
      <c r="AG2" t="s">
        <v>245</v>
      </c>
      <c r="AH2" t="s">
        <v>267</v>
      </c>
      <c r="AI2" t="s">
        <v>257</v>
      </c>
      <c r="AJ2" t="s">
        <v>258</v>
      </c>
      <c r="AK2" t="s">
        <v>250</v>
      </c>
      <c r="AL2" t="s">
        <v>251</v>
      </c>
      <c r="AM2" t="s">
        <v>252</v>
      </c>
      <c r="AN2" t="s">
        <v>253</v>
      </c>
      <c r="AO2" t="s">
        <v>254</v>
      </c>
      <c r="AP2" t="s">
        <v>255</v>
      </c>
      <c r="AQ2" t="s">
        <v>86</v>
      </c>
      <c r="AR2" t="s">
        <v>272</v>
      </c>
      <c r="AS2" t="s">
        <v>88</v>
      </c>
      <c r="AT2" t="s">
        <v>131</v>
      </c>
      <c r="AU2" t="s">
        <v>132</v>
      </c>
      <c r="AV2" t="s">
        <v>133</v>
      </c>
      <c r="AW2" t="s">
        <v>176</v>
      </c>
    </row>
    <row r="3" spans="1:49" x14ac:dyDescent="0.25">
      <c r="A3" t="s">
        <v>67</v>
      </c>
      <c r="B3" t="s">
        <v>64</v>
      </c>
      <c r="C3" t="s">
        <v>83</v>
      </c>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f t="shared" ref="AQ3" si="0">SUM(D3:AP3)</f>
        <v>0</v>
      </c>
      <c r="AR3" s="33">
        <f t="shared" ref="AR3" si="1">SUM(D3:X3)</f>
        <v>0</v>
      </c>
      <c r="AS3" s="33">
        <f t="shared" ref="AS3" si="2">SUM(Y3:AP3)</f>
        <v>0</v>
      </c>
      <c r="AT3" s="33"/>
      <c r="AU3" s="33"/>
      <c r="AV3" s="33"/>
    </row>
    <row r="4" spans="1:49" x14ac:dyDescent="0.25">
      <c r="B4" t="s">
        <v>39</v>
      </c>
      <c r="C4">
        <v>0.33100000000000002</v>
      </c>
      <c r="D4" s="33"/>
      <c r="E4" s="33"/>
      <c r="F4" s="33"/>
      <c r="G4" s="33"/>
      <c r="H4" s="33"/>
      <c r="I4" s="33"/>
      <c r="J4" s="33"/>
      <c r="K4" s="33"/>
      <c r="L4" s="33"/>
      <c r="M4" s="33"/>
      <c r="N4" s="33"/>
      <c r="O4" s="33"/>
      <c r="P4" s="33"/>
      <c r="Q4" s="33"/>
      <c r="R4" s="33"/>
      <c r="S4" s="33">
        <v>11.7</v>
      </c>
      <c r="T4" s="33">
        <v>2.42</v>
      </c>
      <c r="U4" s="33">
        <v>0.91800000000000004</v>
      </c>
      <c r="V4" s="33"/>
      <c r="W4" s="33"/>
      <c r="X4" s="33"/>
      <c r="Y4" s="33"/>
      <c r="Z4" s="33"/>
      <c r="AA4" s="33"/>
      <c r="AB4" s="33"/>
      <c r="AC4" s="33"/>
      <c r="AD4" s="33"/>
      <c r="AE4" s="33"/>
      <c r="AF4" s="33"/>
      <c r="AG4" s="33"/>
      <c r="AH4" s="33"/>
      <c r="AI4" s="33"/>
      <c r="AJ4" s="33"/>
      <c r="AK4" s="33">
        <v>2.73</v>
      </c>
      <c r="AL4" s="33">
        <v>9.9700000000000006</v>
      </c>
      <c r="AM4" s="33">
        <v>1.22</v>
      </c>
      <c r="AN4" s="33"/>
      <c r="AO4" s="33"/>
      <c r="AP4" s="33"/>
      <c r="AQ4" s="33">
        <f>SUM(D4:AP4)</f>
        <v>28.957999999999998</v>
      </c>
      <c r="AR4" s="33">
        <f>SUM(D4:X4)</f>
        <v>15.037999999999998</v>
      </c>
      <c r="AS4" s="33">
        <f>SUM(Y4:AP4)</f>
        <v>13.920000000000002</v>
      </c>
      <c r="AT4" s="33"/>
      <c r="AU4" s="33"/>
      <c r="AV4" s="33"/>
    </row>
    <row r="5" spans="1:49" x14ac:dyDescent="0.25">
      <c r="B5" t="s">
        <v>40</v>
      </c>
      <c r="C5">
        <v>0.251</v>
      </c>
      <c r="D5" s="33"/>
      <c r="E5" s="33"/>
      <c r="F5" s="33"/>
      <c r="G5" s="33"/>
      <c r="H5" s="33"/>
      <c r="I5" s="33"/>
      <c r="J5" s="33"/>
      <c r="K5" s="33"/>
      <c r="L5" s="33"/>
      <c r="M5" s="33"/>
      <c r="N5" s="33"/>
      <c r="O5" s="33"/>
      <c r="P5" s="33"/>
      <c r="Q5" s="33"/>
      <c r="R5" s="33"/>
      <c r="S5" s="33">
        <v>9.85</v>
      </c>
      <c r="T5" s="33">
        <v>2.7</v>
      </c>
      <c r="U5" s="33">
        <v>0.51500000000000001</v>
      </c>
      <c r="V5" s="33"/>
      <c r="W5" s="33"/>
      <c r="X5" s="33"/>
      <c r="Y5" s="33"/>
      <c r="Z5" s="33"/>
      <c r="AA5" s="33"/>
      <c r="AB5" s="33"/>
      <c r="AC5" s="33"/>
      <c r="AD5" s="33"/>
      <c r="AE5" s="33"/>
      <c r="AF5" s="33"/>
      <c r="AG5" s="33"/>
      <c r="AH5" s="33"/>
      <c r="AI5" s="33"/>
      <c r="AJ5" s="33"/>
      <c r="AK5" s="33">
        <v>2.8</v>
      </c>
      <c r="AL5" s="33">
        <v>8.4</v>
      </c>
      <c r="AM5" s="33">
        <v>0.76700000000000002</v>
      </c>
      <c r="AN5" s="33"/>
      <c r="AO5" s="33"/>
      <c r="AP5" s="33"/>
      <c r="AQ5" s="33">
        <f t="shared" ref="AQ5:AQ30" si="3">SUM(D5:AP5)</f>
        <v>25.032</v>
      </c>
      <c r="AR5" s="33">
        <f t="shared" ref="AR5:AR30" si="4">SUM(D5:X5)</f>
        <v>13.065000000000001</v>
      </c>
      <c r="AS5" s="33">
        <f t="shared" ref="AS5:AS30" si="5">SUM(Y5:AP5)</f>
        <v>11.966999999999999</v>
      </c>
      <c r="AT5" s="33"/>
      <c r="AU5" s="33"/>
      <c r="AV5" s="33"/>
    </row>
    <row r="6" spans="1:49" x14ac:dyDescent="0.25">
      <c r="B6" t="s">
        <v>41</v>
      </c>
      <c r="C6">
        <v>0.25600000000000001</v>
      </c>
      <c r="D6" s="33"/>
      <c r="E6" s="33"/>
      <c r="F6" s="33"/>
      <c r="G6" s="33"/>
      <c r="H6" s="33"/>
      <c r="I6" s="33"/>
      <c r="J6" s="33"/>
      <c r="K6" s="33"/>
      <c r="L6" s="33"/>
      <c r="M6" s="33"/>
      <c r="N6" s="33"/>
      <c r="O6" s="33"/>
      <c r="P6" s="33"/>
      <c r="Q6" s="33"/>
      <c r="R6" s="33"/>
      <c r="S6" s="33">
        <v>12.7</v>
      </c>
      <c r="T6" s="33">
        <v>1.71</v>
      </c>
      <c r="U6" s="33">
        <v>0</v>
      </c>
      <c r="V6" s="33"/>
      <c r="W6" s="33"/>
      <c r="X6" s="33"/>
      <c r="Y6" s="33"/>
      <c r="Z6" s="33"/>
      <c r="AA6" s="33"/>
      <c r="AB6" s="33"/>
      <c r="AC6" s="33"/>
      <c r="AD6" s="33"/>
      <c r="AE6" s="33"/>
      <c r="AF6" s="33"/>
      <c r="AG6" s="33"/>
      <c r="AH6" s="33"/>
      <c r="AI6" s="33"/>
      <c r="AJ6" s="33"/>
      <c r="AK6" s="33">
        <v>2.9</v>
      </c>
      <c r="AL6" s="33">
        <v>11.3</v>
      </c>
      <c r="AM6" s="33">
        <v>1.5</v>
      </c>
      <c r="AN6" s="33"/>
      <c r="AO6" s="33"/>
      <c r="AP6" s="33"/>
      <c r="AQ6" s="33">
        <f t="shared" si="3"/>
        <v>30.11</v>
      </c>
      <c r="AR6" s="33">
        <f t="shared" si="4"/>
        <v>14.41</v>
      </c>
      <c r="AS6" s="33">
        <f t="shared" si="5"/>
        <v>15.700000000000001</v>
      </c>
      <c r="AT6" s="33"/>
      <c r="AU6" s="33"/>
      <c r="AV6" s="33"/>
    </row>
    <row r="7" spans="1:49" x14ac:dyDescent="0.25">
      <c r="A7" t="s">
        <v>69</v>
      </c>
      <c r="B7" t="s">
        <v>64</v>
      </c>
      <c r="D7" s="33"/>
      <c r="E7" s="33"/>
      <c r="F7" s="33"/>
      <c r="G7" s="33"/>
      <c r="H7" s="33">
        <v>13.4</v>
      </c>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f t="shared" si="3"/>
        <v>13.4</v>
      </c>
      <c r="AR7" s="33">
        <f t="shared" si="4"/>
        <v>13.4</v>
      </c>
      <c r="AS7" s="33">
        <f t="shared" si="5"/>
        <v>0</v>
      </c>
      <c r="AT7" s="33"/>
      <c r="AU7" s="33"/>
      <c r="AV7" s="33"/>
    </row>
    <row r="8" spans="1:49" x14ac:dyDescent="0.25">
      <c r="B8" t="s">
        <v>39</v>
      </c>
      <c r="C8">
        <v>9.0999999999999998E-2</v>
      </c>
      <c r="D8" s="33"/>
      <c r="E8" s="33"/>
      <c r="F8" s="33"/>
      <c r="G8" s="33"/>
      <c r="H8" s="33">
        <v>14</v>
      </c>
      <c r="I8" s="33"/>
      <c r="J8" s="33"/>
      <c r="K8" s="33"/>
      <c r="L8" s="33"/>
      <c r="M8" s="33"/>
      <c r="N8" s="33"/>
      <c r="O8" s="33"/>
      <c r="P8" s="33"/>
      <c r="Q8" s="33"/>
      <c r="R8" s="33"/>
      <c r="S8" s="33">
        <v>5.98</v>
      </c>
      <c r="T8" s="33">
        <v>3.4</v>
      </c>
      <c r="U8" s="33">
        <v>7.8</v>
      </c>
      <c r="V8" s="33">
        <v>1.93</v>
      </c>
      <c r="W8" s="33">
        <v>2.84</v>
      </c>
      <c r="X8" s="33">
        <v>0.59099999999999997</v>
      </c>
      <c r="Y8" s="33"/>
      <c r="Z8" s="33"/>
      <c r="AA8" s="33"/>
      <c r="AB8" s="33"/>
      <c r="AC8" s="33"/>
      <c r="AD8" s="33"/>
      <c r="AE8" s="33"/>
      <c r="AF8" s="33"/>
      <c r="AG8" s="33"/>
      <c r="AH8" s="33"/>
      <c r="AI8" s="33"/>
      <c r="AJ8" s="33"/>
      <c r="AK8" s="33">
        <v>0.52100000000000002</v>
      </c>
      <c r="AL8" s="33">
        <v>2.71</v>
      </c>
      <c r="AM8" s="33"/>
      <c r="AN8" s="33"/>
      <c r="AO8" s="33"/>
      <c r="AP8" s="33"/>
      <c r="AQ8" s="33">
        <f t="shared" si="3"/>
        <v>39.772000000000006</v>
      </c>
      <c r="AR8" s="33">
        <f t="shared" si="4"/>
        <v>36.541000000000004</v>
      </c>
      <c r="AS8" s="33">
        <f t="shared" si="5"/>
        <v>3.2309999999999999</v>
      </c>
      <c r="AT8" s="33"/>
      <c r="AU8" s="33"/>
      <c r="AV8" s="33"/>
    </row>
    <row r="9" spans="1:49" x14ac:dyDescent="0.25">
      <c r="B9" t="s">
        <v>40</v>
      </c>
      <c r="C9">
        <v>7.9000000000000001E-2</v>
      </c>
      <c r="D9" s="33"/>
      <c r="E9" s="33"/>
      <c r="F9" s="33"/>
      <c r="G9" s="33"/>
      <c r="H9" s="33">
        <v>5.99</v>
      </c>
      <c r="I9" s="33"/>
      <c r="J9" s="33"/>
      <c r="K9" s="33"/>
      <c r="L9" s="33"/>
      <c r="M9" s="33"/>
      <c r="N9" s="33"/>
      <c r="O9" s="33"/>
      <c r="P9" s="33"/>
      <c r="Q9" s="33"/>
      <c r="R9" s="33"/>
      <c r="S9" s="33">
        <v>4.6500000000000004</v>
      </c>
      <c r="T9" s="33">
        <v>2.7</v>
      </c>
      <c r="U9" s="33">
        <v>2.2200000000000002</v>
      </c>
      <c r="V9" s="33">
        <v>0.69099999999999995</v>
      </c>
      <c r="W9" s="33">
        <v>1.22</v>
      </c>
      <c r="X9" s="33">
        <v>0</v>
      </c>
      <c r="Y9" s="33"/>
      <c r="Z9" s="33"/>
      <c r="AA9" s="33"/>
      <c r="AB9" s="33"/>
      <c r="AC9" s="33"/>
      <c r="AD9" s="33"/>
      <c r="AE9" s="33"/>
      <c r="AF9" s="33"/>
      <c r="AG9" s="33"/>
      <c r="AH9" s="33"/>
      <c r="AI9" s="33"/>
      <c r="AJ9" s="33"/>
      <c r="AK9" s="33">
        <v>0</v>
      </c>
      <c r="AL9" s="33">
        <v>2.37</v>
      </c>
      <c r="AM9" s="33"/>
      <c r="AN9" s="33"/>
      <c r="AO9" s="33"/>
      <c r="AP9" s="33"/>
      <c r="AQ9" s="33">
        <f t="shared" si="3"/>
        <v>19.841000000000001</v>
      </c>
      <c r="AR9" s="33">
        <f t="shared" si="4"/>
        <v>17.471</v>
      </c>
      <c r="AS9" s="33">
        <f t="shared" si="5"/>
        <v>2.37</v>
      </c>
      <c r="AT9" s="33"/>
      <c r="AU9" s="33"/>
      <c r="AV9" s="33"/>
    </row>
    <row r="10" spans="1:49" x14ac:dyDescent="0.25">
      <c r="B10" t="s">
        <v>41</v>
      </c>
      <c r="C10">
        <v>9.0999999999999998E-2</v>
      </c>
      <c r="D10" s="33"/>
      <c r="E10" s="33"/>
      <c r="F10" s="33"/>
      <c r="G10" s="33"/>
      <c r="H10" s="33"/>
      <c r="I10" s="33"/>
      <c r="J10" s="33"/>
      <c r="K10" s="33"/>
      <c r="L10" s="33"/>
      <c r="M10" s="33"/>
      <c r="N10" s="33"/>
      <c r="O10" s="33"/>
      <c r="P10" s="33"/>
      <c r="Q10" s="33"/>
      <c r="R10" s="33"/>
      <c r="S10" s="33">
        <v>6.8</v>
      </c>
      <c r="T10" s="33">
        <v>2.41</v>
      </c>
      <c r="U10" s="33">
        <v>2.6</v>
      </c>
      <c r="V10" s="33">
        <v>0.69299999999999995</v>
      </c>
      <c r="W10" s="33">
        <v>1.25</v>
      </c>
      <c r="X10" s="33">
        <v>0</v>
      </c>
      <c r="Y10" s="33"/>
      <c r="Z10" s="33"/>
      <c r="AA10" s="33"/>
      <c r="AB10" s="33"/>
      <c r="AC10" s="33"/>
      <c r="AD10" s="33"/>
      <c r="AE10" s="33"/>
      <c r="AF10" s="33"/>
      <c r="AG10" s="33"/>
      <c r="AH10" s="33"/>
      <c r="AI10" s="33"/>
      <c r="AJ10" s="33"/>
      <c r="AK10" s="33">
        <v>0.53100000000000003</v>
      </c>
      <c r="AL10" s="33">
        <v>2.72</v>
      </c>
      <c r="AM10" s="33"/>
      <c r="AN10" s="33"/>
      <c r="AO10" s="33"/>
      <c r="AP10" s="33"/>
      <c r="AQ10" s="33">
        <f t="shared" si="3"/>
        <v>17.004000000000001</v>
      </c>
      <c r="AR10" s="33">
        <f t="shared" si="4"/>
        <v>13.753</v>
      </c>
      <c r="AS10" s="33">
        <f t="shared" si="5"/>
        <v>3.2510000000000003</v>
      </c>
      <c r="AT10" s="33"/>
      <c r="AU10" s="33"/>
      <c r="AV10" s="33"/>
    </row>
    <row r="11" spans="1:49" x14ac:dyDescent="0.25">
      <c r="A11" t="s">
        <v>70</v>
      </c>
      <c r="B11" t="s">
        <v>64</v>
      </c>
      <c r="D11" s="33"/>
      <c r="E11" s="33"/>
      <c r="F11" s="33"/>
      <c r="G11" s="33"/>
      <c r="H11" s="33"/>
      <c r="I11" s="33"/>
      <c r="J11" s="33">
        <v>0</v>
      </c>
      <c r="K11" s="33"/>
      <c r="L11" s="33"/>
      <c r="M11" s="33"/>
      <c r="N11" s="33"/>
      <c r="O11" s="33"/>
      <c r="P11" s="33"/>
      <c r="Q11" s="33"/>
      <c r="R11" s="33"/>
      <c r="S11" s="33">
        <v>0.89700000000000002</v>
      </c>
      <c r="T11" s="33"/>
      <c r="U11" s="33"/>
      <c r="V11" s="33"/>
      <c r="W11" s="33"/>
      <c r="X11" s="33"/>
      <c r="Y11" s="33"/>
      <c r="Z11" s="33"/>
      <c r="AA11" s="33"/>
      <c r="AB11" s="33"/>
      <c r="AC11" s="33"/>
      <c r="AD11" s="33"/>
      <c r="AE11" s="33"/>
      <c r="AF11" s="33"/>
      <c r="AG11" s="33"/>
      <c r="AH11" s="33"/>
      <c r="AI11" s="33"/>
      <c r="AJ11" s="33"/>
      <c r="AK11" s="33">
        <v>0.57799999999999996</v>
      </c>
      <c r="AL11" s="33"/>
      <c r="AM11" s="33"/>
      <c r="AN11" s="33"/>
      <c r="AO11" s="33"/>
      <c r="AP11" s="33"/>
      <c r="AQ11" s="33">
        <f t="shared" si="3"/>
        <v>1.4750000000000001</v>
      </c>
      <c r="AR11" s="33">
        <f t="shared" si="4"/>
        <v>0.89700000000000002</v>
      </c>
      <c r="AS11" s="33">
        <f t="shared" si="5"/>
        <v>0.57799999999999996</v>
      </c>
      <c r="AT11" s="33"/>
      <c r="AU11" s="33"/>
      <c r="AV11" s="33"/>
    </row>
    <row r="12" spans="1:49" x14ac:dyDescent="0.25">
      <c r="B12" t="s">
        <v>39</v>
      </c>
      <c r="C12">
        <v>0.75936999999999999</v>
      </c>
      <c r="D12" s="33"/>
      <c r="E12" s="33"/>
      <c r="F12" s="33"/>
      <c r="G12" s="33"/>
      <c r="H12" s="33"/>
      <c r="I12" s="33"/>
      <c r="J12" s="33">
        <v>0.85</v>
      </c>
      <c r="K12" s="33"/>
      <c r="L12" s="33"/>
      <c r="M12" s="33"/>
      <c r="N12" s="33"/>
      <c r="O12" s="33"/>
      <c r="P12" s="33"/>
      <c r="Q12" s="33"/>
      <c r="R12" s="33"/>
      <c r="S12" s="33">
        <v>177</v>
      </c>
      <c r="T12" s="33">
        <v>43.9</v>
      </c>
      <c r="U12" s="33">
        <v>16.5</v>
      </c>
      <c r="V12" s="33"/>
      <c r="W12" s="33"/>
      <c r="X12" s="33"/>
      <c r="Y12" s="33"/>
      <c r="Z12" s="33"/>
      <c r="AA12" s="33"/>
      <c r="AB12" s="33"/>
      <c r="AC12" s="33"/>
      <c r="AD12" s="33"/>
      <c r="AE12" s="33"/>
      <c r="AF12" s="33"/>
      <c r="AG12" s="33"/>
      <c r="AH12" s="33"/>
      <c r="AI12" s="33"/>
      <c r="AJ12" s="33"/>
      <c r="AK12" s="33">
        <v>47.3</v>
      </c>
      <c r="AL12" s="33">
        <v>211</v>
      </c>
      <c r="AM12" s="33">
        <v>35.5</v>
      </c>
      <c r="AN12" s="33">
        <v>1.35</v>
      </c>
      <c r="AO12" s="33"/>
      <c r="AP12" s="33"/>
      <c r="AQ12" s="33">
        <f t="shared" si="3"/>
        <v>533.4</v>
      </c>
      <c r="AR12" s="33">
        <f t="shared" si="4"/>
        <v>238.25</v>
      </c>
      <c r="AS12" s="33">
        <f t="shared" si="5"/>
        <v>295.15000000000003</v>
      </c>
      <c r="AT12" s="33"/>
      <c r="AU12" s="33"/>
      <c r="AV12" s="33"/>
    </row>
    <row r="13" spans="1:49" x14ac:dyDescent="0.25">
      <c r="B13" t="s">
        <v>40</v>
      </c>
      <c r="C13">
        <v>0.66339999999999999</v>
      </c>
      <c r="D13" s="33"/>
      <c r="E13" s="33"/>
      <c r="F13" s="33"/>
      <c r="G13" s="33"/>
      <c r="H13" s="33"/>
      <c r="I13" s="33"/>
      <c r="J13" s="33">
        <v>0.58899999999999997</v>
      </c>
      <c r="K13" s="33"/>
      <c r="L13" s="33"/>
      <c r="M13" s="33"/>
      <c r="N13" s="33"/>
      <c r="O13" s="33"/>
      <c r="P13" s="33"/>
      <c r="Q13" s="33"/>
      <c r="R13" s="33"/>
      <c r="S13" s="33">
        <v>132</v>
      </c>
      <c r="T13" s="33">
        <v>31.2</v>
      </c>
      <c r="U13" s="33">
        <v>6.82</v>
      </c>
      <c r="V13" s="33"/>
      <c r="W13" s="33"/>
      <c r="X13" s="33"/>
      <c r="Y13" s="33"/>
      <c r="Z13" s="33"/>
      <c r="AA13" s="33"/>
      <c r="AB13" s="33"/>
      <c r="AC13" s="33"/>
      <c r="AD13" s="33"/>
      <c r="AE13" s="33"/>
      <c r="AF13" s="33"/>
      <c r="AG13" s="33"/>
      <c r="AH13" s="33"/>
      <c r="AI13" s="33"/>
      <c r="AJ13" s="33"/>
      <c r="AK13" s="33">
        <v>32.6</v>
      </c>
      <c r="AL13" s="33">
        <v>154</v>
      </c>
      <c r="AM13" s="33">
        <v>23</v>
      </c>
      <c r="AN13" s="33">
        <v>0.64900000000000002</v>
      </c>
      <c r="AO13" s="33"/>
      <c r="AP13" s="33"/>
      <c r="AQ13" s="33">
        <f t="shared" si="3"/>
        <v>380.85799999999995</v>
      </c>
      <c r="AR13" s="33">
        <f t="shared" si="4"/>
        <v>170.60899999999998</v>
      </c>
      <c r="AS13" s="33">
        <f t="shared" si="5"/>
        <v>210.249</v>
      </c>
      <c r="AT13" s="33"/>
      <c r="AU13" s="33"/>
      <c r="AV13" s="33"/>
    </row>
    <row r="14" spans="1:49" x14ac:dyDescent="0.25">
      <c r="B14" t="s">
        <v>41</v>
      </c>
      <c r="C14">
        <v>0.56430000000000002</v>
      </c>
      <c r="D14" s="33"/>
      <c r="E14" s="33"/>
      <c r="F14" s="33"/>
      <c r="G14" s="33"/>
      <c r="H14" s="33"/>
      <c r="I14" s="33"/>
      <c r="J14" s="33"/>
      <c r="K14" s="33"/>
      <c r="L14" s="33"/>
      <c r="M14" s="33"/>
      <c r="N14" s="33"/>
      <c r="O14" s="33"/>
      <c r="P14" s="33"/>
      <c r="Q14" s="33"/>
      <c r="R14" s="33"/>
      <c r="S14" s="33">
        <v>136</v>
      </c>
      <c r="T14" s="33">
        <v>23.5</v>
      </c>
      <c r="U14" s="33">
        <v>4.1500000000000004</v>
      </c>
      <c r="V14" s="33"/>
      <c r="W14" s="33"/>
      <c r="X14" s="33"/>
      <c r="Y14" s="33"/>
      <c r="Z14" s="33"/>
      <c r="AA14" s="33"/>
      <c r="AB14" s="33"/>
      <c r="AC14" s="33"/>
      <c r="AD14" s="33"/>
      <c r="AE14" s="33"/>
      <c r="AF14" s="33"/>
      <c r="AG14" s="33"/>
      <c r="AH14" s="33"/>
      <c r="AI14" s="33"/>
      <c r="AJ14" s="33"/>
      <c r="AK14" s="33">
        <v>28.2</v>
      </c>
      <c r="AL14" s="33">
        <v>135</v>
      </c>
      <c r="AM14" s="33">
        <v>14.9</v>
      </c>
      <c r="AN14" s="33">
        <v>0</v>
      </c>
      <c r="AO14" s="33"/>
      <c r="AP14" s="33"/>
      <c r="AQ14" s="33">
        <f t="shared" si="3"/>
        <v>341.75</v>
      </c>
      <c r="AR14" s="33">
        <f t="shared" si="4"/>
        <v>163.65</v>
      </c>
      <c r="AS14" s="33">
        <f t="shared" si="5"/>
        <v>178.1</v>
      </c>
      <c r="AT14" s="33"/>
      <c r="AU14" s="33"/>
      <c r="AV14" s="33"/>
    </row>
    <row r="15" spans="1:49" x14ac:dyDescent="0.25">
      <c r="A15" t="s">
        <v>71</v>
      </c>
      <c r="B15" t="s">
        <v>64</v>
      </c>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f t="shared" si="3"/>
        <v>0</v>
      </c>
      <c r="AR15" s="33">
        <f t="shared" si="4"/>
        <v>0</v>
      </c>
      <c r="AS15" s="33">
        <f t="shared" si="5"/>
        <v>0</v>
      </c>
      <c r="AT15" s="33"/>
      <c r="AU15" s="33"/>
      <c r="AV15" s="33"/>
    </row>
    <row r="16" spans="1:49" x14ac:dyDescent="0.25">
      <c r="B16" t="s">
        <v>39</v>
      </c>
      <c r="C16">
        <v>0.36299999999999999</v>
      </c>
      <c r="D16" s="33"/>
      <c r="E16" s="33"/>
      <c r="F16" s="33"/>
      <c r="G16" s="33"/>
      <c r="H16" s="33"/>
      <c r="I16" s="33"/>
      <c r="J16" s="33"/>
      <c r="K16" s="33"/>
      <c r="L16" s="33"/>
      <c r="M16" s="33"/>
      <c r="N16" s="33"/>
      <c r="O16" s="33"/>
      <c r="P16" s="33"/>
      <c r="Q16" s="33"/>
      <c r="R16" s="33"/>
      <c r="S16" s="33">
        <v>24.6</v>
      </c>
      <c r="T16" s="33">
        <v>7.38</v>
      </c>
      <c r="U16" s="33">
        <v>3.22</v>
      </c>
      <c r="V16" s="33"/>
      <c r="W16" s="33"/>
      <c r="X16" s="33"/>
      <c r="Y16" s="33"/>
      <c r="Z16" s="33"/>
      <c r="AA16" s="33"/>
      <c r="AB16" s="33"/>
      <c r="AC16" s="33"/>
      <c r="AD16" s="33"/>
      <c r="AE16" s="33"/>
      <c r="AF16" s="33"/>
      <c r="AG16" s="33"/>
      <c r="AH16" s="33"/>
      <c r="AI16" s="33"/>
      <c r="AJ16" s="33"/>
      <c r="AK16" s="33">
        <v>4.4800000000000004</v>
      </c>
      <c r="AL16" s="33">
        <v>19.5</v>
      </c>
      <c r="AM16" s="33">
        <v>2.67</v>
      </c>
      <c r="AN16" s="33"/>
      <c r="AO16" s="33"/>
      <c r="AP16" s="33"/>
      <c r="AQ16" s="33">
        <f t="shared" si="3"/>
        <v>61.850000000000009</v>
      </c>
      <c r="AR16" s="33">
        <f t="shared" si="4"/>
        <v>35.200000000000003</v>
      </c>
      <c r="AS16" s="33">
        <f t="shared" si="5"/>
        <v>26.65</v>
      </c>
      <c r="AT16" s="33"/>
      <c r="AU16" s="33"/>
      <c r="AV16" s="33"/>
    </row>
    <row r="17" spans="1:48" x14ac:dyDescent="0.25">
      <c r="B17" t="s">
        <v>40</v>
      </c>
      <c r="C17">
        <v>0.29399999999999998</v>
      </c>
      <c r="D17" s="33"/>
      <c r="E17" s="33"/>
      <c r="F17" s="33"/>
      <c r="G17" s="33"/>
      <c r="H17" s="33"/>
      <c r="I17" s="33"/>
      <c r="J17" s="33"/>
      <c r="K17" s="33"/>
      <c r="L17" s="33"/>
      <c r="M17" s="33"/>
      <c r="N17" s="33"/>
      <c r="O17" s="33"/>
      <c r="P17" s="33"/>
      <c r="Q17" s="33"/>
      <c r="R17" s="33"/>
      <c r="S17" s="33">
        <v>18</v>
      </c>
      <c r="T17" s="33">
        <v>4.8099999999999996</v>
      </c>
      <c r="U17" s="33">
        <v>1.5</v>
      </c>
      <c r="V17" s="33"/>
      <c r="W17" s="33"/>
      <c r="X17" s="33"/>
      <c r="Y17" s="33"/>
      <c r="Z17" s="33"/>
      <c r="AA17" s="33"/>
      <c r="AB17" s="33"/>
      <c r="AC17" s="33"/>
      <c r="AD17" s="33"/>
      <c r="AE17" s="33"/>
      <c r="AF17" s="33"/>
      <c r="AG17" s="33"/>
      <c r="AH17" s="33"/>
      <c r="AI17" s="33"/>
      <c r="AJ17" s="33"/>
      <c r="AK17" s="33">
        <v>2.78</v>
      </c>
      <c r="AL17" s="33">
        <v>13.3</v>
      </c>
      <c r="AM17" s="33">
        <v>1.45</v>
      </c>
      <c r="AN17" s="33"/>
      <c r="AO17" s="33"/>
      <c r="AP17" s="33"/>
      <c r="AQ17" s="33">
        <f t="shared" si="3"/>
        <v>41.84</v>
      </c>
      <c r="AR17" s="33">
        <f t="shared" si="4"/>
        <v>24.31</v>
      </c>
      <c r="AS17" s="33">
        <f t="shared" si="5"/>
        <v>17.53</v>
      </c>
      <c r="AT17" s="33"/>
      <c r="AU17" s="33"/>
      <c r="AV17" s="33"/>
    </row>
    <row r="18" spans="1:48" x14ac:dyDescent="0.25">
      <c r="B18" t="s">
        <v>41</v>
      </c>
      <c r="C18">
        <v>0.27600000000000002</v>
      </c>
      <c r="D18" s="33"/>
      <c r="E18" s="33"/>
      <c r="F18" s="33"/>
      <c r="G18" s="33"/>
      <c r="H18" s="33"/>
      <c r="I18" s="33"/>
      <c r="J18" s="33"/>
      <c r="K18" s="33"/>
      <c r="L18" s="33"/>
      <c r="M18" s="33"/>
      <c r="N18" s="33"/>
      <c r="O18" s="33"/>
      <c r="P18" s="33"/>
      <c r="Q18" s="33"/>
      <c r="R18" s="33"/>
      <c r="S18" s="33">
        <v>2.7</v>
      </c>
      <c r="T18" s="33">
        <v>3.94</v>
      </c>
      <c r="U18" s="33">
        <v>0.79400000000000004</v>
      </c>
      <c r="V18" s="33"/>
      <c r="W18" s="33"/>
      <c r="X18" s="33"/>
      <c r="Y18" s="33"/>
      <c r="Z18" s="33"/>
      <c r="AA18" s="33"/>
      <c r="AB18" s="33"/>
      <c r="AC18" s="33"/>
      <c r="AD18" s="33"/>
      <c r="AE18" s="33"/>
      <c r="AF18" s="33"/>
      <c r="AG18" s="33"/>
      <c r="AH18" s="33"/>
      <c r="AI18" s="33"/>
      <c r="AJ18" s="33"/>
      <c r="AK18" s="33">
        <v>3.27</v>
      </c>
      <c r="AL18" s="33">
        <v>15.6</v>
      </c>
      <c r="AM18" s="33">
        <v>1.59</v>
      </c>
      <c r="AN18" s="33"/>
      <c r="AO18" s="33"/>
      <c r="AP18" s="33"/>
      <c r="AQ18" s="33">
        <f t="shared" si="3"/>
        <v>27.894000000000002</v>
      </c>
      <c r="AR18" s="33">
        <f t="shared" si="4"/>
        <v>7.4340000000000011</v>
      </c>
      <c r="AS18" s="33">
        <f t="shared" si="5"/>
        <v>20.46</v>
      </c>
      <c r="AT18" s="33"/>
      <c r="AU18" s="33"/>
      <c r="AV18" s="33"/>
    </row>
    <row r="19" spans="1:48" x14ac:dyDescent="0.25">
      <c r="A19" t="s">
        <v>72</v>
      </c>
      <c r="B19" t="s">
        <v>64</v>
      </c>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f t="shared" si="3"/>
        <v>0</v>
      </c>
      <c r="AR19" s="33">
        <f t="shared" si="4"/>
        <v>0</v>
      </c>
      <c r="AS19" s="33">
        <f t="shared" si="5"/>
        <v>0</v>
      </c>
      <c r="AT19" s="33"/>
      <c r="AU19" s="33"/>
      <c r="AV19" s="33"/>
    </row>
    <row r="20" spans="1:48" x14ac:dyDescent="0.25">
      <c r="B20" t="s">
        <v>39</v>
      </c>
      <c r="C20">
        <v>8.8950000000000001E-2</v>
      </c>
      <c r="D20" s="33"/>
      <c r="E20" s="33"/>
      <c r="F20" s="33"/>
      <c r="G20" s="33"/>
      <c r="H20" s="33"/>
      <c r="I20" s="33"/>
      <c r="J20" s="33"/>
      <c r="K20" s="33"/>
      <c r="L20" s="33"/>
      <c r="M20" s="33"/>
      <c r="N20" s="33"/>
      <c r="O20" s="33"/>
      <c r="P20" s="33"/>
      <c r="Q20" s="33"/>
      <c r="R20" s="33"/>
      <c r="S20" s="33">
        <v>11</v>
      </c>
      <c r="T20" s="33">
        <v>3.65</v>
      </c>
      <c r="U20" s="33">
        <v>1.57</v>
      </c>
      <c r="V20" s="33"/>
      <c r="W20" s="33"/>
      <c r="X20" s="33"/>
      <c r="Y20" s="33"/>
      <c r="Z20" s="33"/>
      <c r="AA20" s="33"/>
      <c r="AB20" s="33"/>
      <c r="AC20" s="33"/>
      <c r="AD20" s="33"/>
      <c r="AE20" s="33"/>
      <c r="AF20" s="33"/>
      <c r="AG20" s="33"/>
      <c r="AH20" s="33"/>
      <c r="AI20" s="33"/>
      <c r="AJ20" s="33"/>
      <c r="AK20" s="33">
        <v>1.25</v>
      </c>
      <c r="AL20" s="33">
        <v>5.76</v>
      </c>
      <c r="AM20" s="33">
        <v>0.72699999999999998</v>
      </c>
      <c r="AN20" s="33"/>
      <c r="AO20" s="33"/>
      <c r="AP20" s="33"/>
      <c r="AQ20" s="33">
        <f t="shared" si="3"/>
        <v>23.956999999999997</v>
      </c>
      <c r="AR20" s="33">
        <f t="shared" si="4"/>
        <v>16.22</v>
      </c>
      <c r="AS20" s="33">
        <f t="shared" si="5"/>
        <v>7.7370000000000001</v>
      </c>
      <c r="AT20" s="33"/>
      <c r="AU20" s="33"/>
      <c r="AV20" s="33"/>
    </row>
    <row r="21" spans="1:48" x14ac:dyDescent="0.25">
      <c r="B21" t="s">
        <v>40</v>
      </c>
      <c r="C21">
        <v>4.9700000000000001E-2</v>
      </c>
      <c r="D21" s="33"/>
      <c r="E21" s="33"/>
      <c r="F21" s="33"/>
      <c r="G21" s="33"/>
      <c r="H21" s="33"/>
      <c r="I21" s="33"/>
      <c r="J21" s="33"/>
      <c r="K21" s="33"/>
      <c r="L21" s="33"/>
      <c r="M21" s="33"/>
      <c r="N21" s="33"/>
      <c r="O21" s="33"/>
      <c r="P21" s="33"/>
      <c r="Q21" s="33"/>
      <c r="R21" s="33"/>
      <c r="S21" s="33">
        <v>9.5299999999999994</v>
      </c>
      <c r="T21" s="33">
        <v>2.68</v>
      </c>
      <c r="U21" s="33">
        <v>0.88700000000000001</v>
      </c>
      <c r="V21" s="33"/>
      <c r="W21" s="33"/>
      <c r="X21" s="33"/>
      <c r="Y21" s="33"/>
      <c r="Z21" s="33"/>
      <c r="AA21" s="33"/>
      <c r="AB21" s="33"/>
      <c r="AC21" s="33"/>
      <c r="AD21" s="33"/>
      <c r="AE21" s="33"/>
      <c r="AF21" s="33"/>
      <c r="AG21" s="33"/>
      <c r="AH21" s="33"/>
      <c r="AI21" s="33"/>
      <c r="AJ21" s="33"/>
      <c r="AK21" s="33">
        <v>0.94699999999999995</v>
      </c>
      <c r="AL21" s="33">
        <v>5.42</v>
      </c>
      <c r="AM21" s="33">
        <v>0</v>
      </c>
      <c r="AN21" s="33"/>
      <c r="AO21" s="33"/>
      <c r="AP21" s="33"/>
      <c r="AQ21" s="33">
        <f t="shared" si="3"/>
        <v>19.463999999999999</v>
      </c>
      <c r="AR21" s="33">
        <f t="shared" si="4"/>
        <v>13.097</v>
      </c>
      <c r="AS21" s="33">
        <f t="shared" si="5"/>
        <v>6.367</v>
      </c>
      <c r="AT21" s="33"/>
      <c r="AU21" s="33"/>
      <c r="AV21" s="33"/>
    </row>
    <row r="22" spans="1:48" x14ac:dyDescent="0.25">
      <c r="B22" t="s">
        <v>41</v>
      </c>
      <c r="C22">
        <v>6.9599999999999995E-2</v>
      </c>
      <c r="D22" s="33"/>
      <c r="E22" s="33"/>
      <c r="F22" s="33"/>
      <c r="G22" s="33"/>
      <c r="H22" s="33"/>
      <c r="I22" s="33"/>
      <c r="J22" s="33"/>
      <c r="K22" s="33"/>
      <c r="L22" s="33"/>
      <c r="M22" s="33"/>
      <c r="N22" s="33"/>
      <c r="O22" s="33"/>
      <c r="P22" s="33"/>
      <c r="Q22" s="33"/>
      <c r="R22" s="33"/>
      <c r="S22" s="33">
        <v>11.1</v>
      </c>
      <c r="T22" s="33">
        <v>2.41</v>
      </c>
      <c r="U22" s="33">
        <v>0.52500000000000002</v>
      </c>
      <c r="V22" s="33"/>
      <c r="W22" s="33"/>
      <c r="X22" s="33"/>
      <c r="Y22" s="33"/>
      <c r="Z22" s="33"/>
      <c r="AA22" s="33"/>
      <c r="AB22" s="33"/>
      <c r="AC22" s="33"/>
      <c r="AD22" s="33"/>
      <c r="AE22" s="33"/>
      <c r="AF22" s="33"/>
      <c r="AG22" s="33"/>
      <c r="AH22" s="33"/>
      <c r="AI22" s="33"/>
      <c r="AJ22" s="33"/>
      <c r="AK22" s="33">
        <v>1.33</v>
      </c>
      <c r="AL22" s="33">
        <v>6.17</v>
      </c>
      <c r="AM22" s="33">
        <v>0</v>
      </c>
      <c r="AN22" s="33"/>
      <c r="AO22" s="33"/>
      <c r="AP22" s="33"/>
      <c r="AQ22" s="33">
        <f t="shared" si="3"/>
        <v>21.535</v>
      </c>
      <c r="AR22" s="33">
        <f t="shared" si="4"/>
        <v>14.035</v>
      </c>
      <c r="AS22" s="33">
        <f t="shared" si="5"/>
        <v>7.5</v>
      </c>
      <c r="AT22" s="33"/>
      <c r="AU22" s="33"/>
      <c r="AV22" s="33"/>
    </row>
    <row r="23" spans="1:48" x14ac:dyDescent="0.25">
      <c r="A23" t="s">
        <v>73</v>
      </c>
      <c r="B23" t="s">
        <v>64</v>
      </c>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f t="shared" si="3"/>
        <v>0</v>
      </c>
      <c r="AR23" s="33">
        <f t="shared" si="4"/>
        <v>0</v>
      </c>
      <c r="AS23" s="33">
        <f t="shared" si="5"/>
        <v>0</v>
      </c>
      <c r="AT23" s="33"/>
      <c r="AU23" s="33"/>
      <c r="AV23" s="33"/>
    </row>
    <row r="24" spans="1:48" x14ac:dyDescent="0.25">
      <c r="B24" t="s">
        <v>39</v>
      </c>
      <c r="D24" s="33"/>
      <c r="E24" s="33">
        <v>0</v>
      </c>
      <c r="F24" s="33"/>
      <c r="G24" s="33"/>
      <c r="H24" s="33"/>
      <c r="I24" s="33"/>
      <c r="J24" s="33"/>
      <c r="K24" s="33"/>
      <c r="L24" s="33"/>
      <c r="M24" s="33"/>
      <c r="N24" s="33"/>
      <c r="O24" s="33"/>
      <c r="P24" s="33"/>
      <c r="Q24" s="33"/>
      <c r="R24" s="33"/>
      <c r="S24" s="33">
        <v>3.9</v>
      </c>
      <c r="T24" s="33">
        <v>1.9</v>
      </c>
      <c r="U24" s="33">
        <v>1.26</v>
      </c>
      <c r="V24" s="33"/>
      <c r="W24" s="33"/>
      <c r="X24" s="33"/>
      <c r="Y24" s="33"/>
      <c r="Z24" s="33"/>
      <c r="AA24" s="33"/>
      <c r="AB24" s="33"/>
      <c r="AC24" s="33"/>
      <c r="AD24" s="33"/>
      <c r="AE24" s="33"/>
      <c r="AF24" s="33"/>
      <c r="AG24" s="33"/>
      <c r="AH24" s="33"/>
      <c r="AI24" s="33"/>
      <c r="AJ24" s="33"/>
      <c r="AK24" s="33">
        <v>0.65200000000000002</v>
      </c>
      <c r="AL24" s="33">
        <v>2.52</v>
      </c>
      <c r="AM24" s="33"/>
      <c r="AN24" s="33"/>
      <c r="AO24" s="33"/>
      <c r="AP24" s="33"/>
      <c r="AQ24" s="33">
        <f t="shared" si="3"/>
        <v>10.231999999999999</v>
      </c>
      <c r="AR24" s="33">
        <f t="shared" si="4"/>
        <v>7.06</v>
      </c>
      <c r="AS24" s="33">
        <f t="shared" si="5"/>
        <v>3.1720000000000002</v>
      </c>
      <c r="AT24" s="33"/>
      <c r="AU24" s="33"/>
      <c r="AV24" s="33"/>
    </row>
    <row r="25" spans="1:48" x14ac:dyDescent="0.25">
      <c r="B25" t="s">
        <v>40</v>
      </c>
      <c r="D25" s="33"/>
      <c r="E25" s="33">
        <v>0</v>
      </c>
      <c r="F25" s="33"/>
      <c r="G25" s="33"/>
      <c r="H25" s="33"/>
      <c r="I25" s="33"/>
      <c r="J25" s="33"/>
      <c r="K25" s="33"/>
      <c r="L25" s="33"/>
      <c r="M25" s="33"/>
      <c r="N25" s="33"/>
      <c r="O25" s="33"/>
      <c r="P25" s="33"/>
      <c r="Q25" s="33"/>
      <c r="R25" s="33"/>
      <c r="S25" s="33">
        <v>2.87</v>
      </c>
      <c r="T25" s="33">
        <v>0.69</v>
      </c>
      <c r="U25" s="33">
        <v>0</v>
      </c>
      <c r="V25" s="33"/>
      <c r="W25" s="33"/>
      <c r="X25" s="33"/>
      <c r="Y25" s="33"/>
      <c r="Z25" s="33"/>
      <c r="AA25" s="33"/>
      <c r="AB25" s="33"/>
      <c r="AC25" s="33"/>
      <c r="AD25" s="33"/>
      <c r="AE25" s="33"/>
      <c r="AF25" s="33"/>
      <c r="AG25" s="33"/>
      <c r="AH25" s="33"/>
      <c r="AI25" s="33"/>
      <c r="AJ25" s="33"/>
      <c r="AK25" s="33">
        <v>0</v>
      </c>
      <c r="AL25" s="33">
        <v>1.87</v>
      </c>
      <c r="AM25" s="33"/>
      <c r="AN25" s="33"/>
      <c r="AO25" s="33"/>
      <c r="AP25" s="33"/>
      <c r="AQ25" s="33">
        <f t="shared" si="3"/>
        <v>5.43</v>
      </c>
      <c r="AR25" s="33">
        <f t="shared" si="4"/>
        <v>3.56</v>
      </c>
      <c r="AS25" s="33">
        <f t="shared" si="5"/>
        <v>1.87</v>
      </c>
      <c r="AT25" s="33"/>
      <c r="AU25" s="33"/>
      <c r="AV25" s="33"/>
    </row>
    <row r="26" spans="1:48" x14ac:dyDescent="0.25">
      <c r="B26" t="s">
        <v>41</v>
      </c>
      <c r="D26" s="33"/>
      <c r="E26" s="33">
        <v>1.71</v>
      </c>
      <c r="F26" s="33"/>
      <c r="G26" s="33"/>
      <c r="H26" s="33"/>
      <c r="I26" s="33"/>
      <c r="J26" s="33"/>
      <c r="K26" s="33"/>
      <c r="L26" s="33"/>
      <c r="M26" s="33"/>
      <c r="N26" s="33"/>
      <c r="O26" s="33"/>
      <c r="P26" s="33"/>
      <c r="Q26" s="33"/>
      <c r="R26" s="33"/>
      <c r="S26" s="33">
        <v>3.27</v>
      </c>
      <c r="T26" s="33">
        <v>0.53700000000000003</v>
      </c>
      <c r="U26" s="33">
        <v>0</v>
      </c>
      <c r="V26" s="33"/>
      <c r="W26" s="33"/>
      <c r="X26" s="33"/>
      <c r="Y26" s="33"/>
      <c r="Z26" s="33"/>
      <c r="AA26" s="33"/>
      <c r="AB26" s="33"/>
      <c r="AC26" s="33"/>
      <c r="AD26" s="33"/>
      <c r="AE26" s="33"/>
      <c r="AF26" s="33"/>
      <c r="AG26" s="33"/>
      <c r="AH26" s="33"/>
      <c r="AI26" s="33"/>
      <c r="AJ26" s="33"/>
      <c r="AK26" s="33">
        <v>0.56699999999999995</v>
      </c>
      <c r="AL26" s="33">
        <v>2.25</v>
      </c>
      <c r="AM26" s="33"/>
      <c r="AN26" s="33"/>
      <c r="AO26" s="33"/>
      <c r="AP26" s="33"/>
      <c r="AQ26" s="33">
        <f t="shared" si="3"/>
        <v>8.3339999999999996</v>
      </c>
      <c r="AR26" s="33">
        <f t="shared" si="4"/>
        <v>5.5170000000000003</v>
      </c>
      <c r="AS26" s="33">
        <f t="shared" si="5"/>
        <v>2.8170000000000002</v>
      </c>
      <c r="AT26" s="33"/>
      <c r="AU26" s="33"/>
      <c r="AV26" s="33"/>
    </row>
    <row r="27" spans="1:48" x14ac:dyDescent="0.25">
      <c r="A27" t="s">
        <v>74</v>
      </c>
      <c r="B27" t="s">
        <v>64</v>
      </c>
      <c r="D27" s="33"/>
      <c r="E27" s="33">
        <v>0.85699999999999998</v>
      </c>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f t="shared" si="3"/>
        <v>0.85699999999999998</v>
      </c>
      <c r="AR27" s="33">
        <f t="shared" si="4"/>
        <v>0.85699999999999998</v>
      </c>
      <c r="AS27" s="33">
        <f t="shared" si="5"/>
        <v>0</v>
      </c>
      <c r="AT27" s="33"/>
      <c r="AU27" s="33"/>
      <c r="AV27" s="33"/>
    </row>
    <row r="28" spans="1:48" x14ac:dyDescent="0.25">
      <c r="B28" t="s">
        <v>39</v>
      </c>
      <c r="C28">
        <v>0.12794</v>
      </c>
      <c r="D28" s="33"/>
      <c r="E28" s="33"/>
      <c r="F28" s="33"/>
      <c r="G28" s="33"/>
      <c r="H28" s="33"/>
      <c r="I28" s="33"/>
      <c r="J28" s="33"/>
      <c r="K28" s="33"/>
      <c r="L28" s="33"/>
      <c r="M28" s="33"/>
      <c r="N28" s="33"/>
      <c r="O28" s="33"/>
      <c r="P28" s="33"/>
      <c r="Q28" s="33"/>
      <c r="R28" s="33"/>
      <c r="S28" s="33">
        <v>3.2</v>
      </c>
      <c r="T28" s="33">
        <v>5.29</v>
      </c>
      <c r="U28" s="33">
        <v>1.76</v>
      </c>
      <c r="V28" s="33"/>
      <c r="W28" s="33"/>
      <c r="X28" s="33"/>
      <c r="Y28" s="33"/>
      <c r="Z28" s="33"/>
      <c r="AA28" s="33"/>
      <c r="AB28" s="33"/>
      <c r="AC28" s="33"/>
      <c r="AD28" s="33"/>
      <c r="AE28" s="33"/>
      <c r="AF28" s="33"/>
      <c r="AG28" s="33"/>
      <c r="AH28" s="33"/>
      <c r="AI28" s="33"/>
      <c r="AJ28" s="33"/>
      <c r="AK28" s="33">
        <v>4.59</v>
      </c>
      <c r="AL28" s="33">
        <v>15.2</v>
      </c>
      <c r="AM28" s="33">
        <v>1.66</v>
      </c>
      <c r="AN28" s="33"/>
      <c r="AO28" s="33"/>
      <c r="AP28" s="33"/>
      <c r="AQ28" s="33">
        <f t="shared" si="3"/>
        <v>31.7</v>
      </c>
      <c r="AR28" s="33">
        <f t="shared" si="4"/>
        <v>10.25</v>
      </c>
      <c r="AS28" s="33">
        <f t="shared" si="5"/>
        <v>21.45</v>
      </c>
      <c r="AT28" s="33"/>
      <c r="AU28" s="33"/>
      <c r="AV28" s="33"/>
    </row>
    <row r="29" spans="1:48" x14ac:dyDescent="0.25">
      <c r="B29" t="s">
        <v>40</v>
      </c>
      <c r="C29">
        <v>0.1072</v>
      </c>
      <c r="D29" s="33"/>
      <c r="E29" s="33"/>
      <c r="F29" s="33"/>
      <c r="G29" s="33"/>
      <c r="H29" s="33"/>
      <c r="I29" s="33"/>
      <c r="J29" s="33"/>
      <c r="K29" s="33"/>
      <c r="L29" s="33"/>
      <c r="M29" s="33"/>
      <c r="N29" s="33"/>
      <c r="O29" s="33"/>
      <c r="P29" s="33"/>
      <c r="Q29" s="33"/>
      <c r="R29" s="33"/>
      <c r="S29" s="33">
        <v>17.7</v>
      </c>
      <c r="T29" s="33">
        <v>3.44</v>
      </c>
      <c r="U29" s="33">
        <v>0.89500000000000002</v>
      </c>
      <c r="V29" s="33"/>
      <c r="W29" s="33"/>
      <c r="X29" s="33"/>
      <c r="Y29" s="33"/>
      <c r="Z29" s="33"/>
      <c r="AA29" s="33"/>
      <c r="AB29" s="33"/>
      <c r="AC29" s="33"/>
      <c r="AD29" s="33"/>
      <c r="AE29" s="33"/>
      <c r="AF29" s="33"/>
      <c r="AG29" s="33"/>
      <c r="AH29" s="33"/>
      <c r="AI29" s="33"/>
      <c r="AJ29" s="33"/>
      <c r="AK29" s="33">
        <v>2.1800000000000002</v>
      </c>
      <c r="AL29" s="33">
        <v>9.3000000000000007</v>
      </c>
      <c r="AM29" s="33">
        <v>0.79300000000000004</v>
      </c>
      <c r="AN29" s="33"/>
      <c r="AO29" s="33"/>
      <c r="AP29" s="33"/>
      <c r="AQ29" s="33">
        <f t="shared" si="3"/>
        <v>34.308</v>
      </c>
      <c r="AR29" s="33">
        <f t="shared" si="4"/>
        <v>22.035</v>
      </c>
      <c r="AS29" s="33">
        <f t="shared" si="5"/>
        <v>12.273</v>
      </c>
      <c r="AT29" s="33"/>
      <c r="AU29" s="33"/>
      <c r="AV29" s="33"/>
    </row>
    <row r="30" spans="1:48" x14ac:dyDescent="0.25">
      <c r="B30" t="s">
        <v>41</v>
      </c>
      <c r="C30">
        <v>0.10199999999999999</v>
      </c>
      <c r="D30" s="33"/>
      <c r="E30" s="33"/>
      <c r="F30" s="33"/>
      <c r="G30" s="33"/>
      <c r="H30" s="33"/>
      <c r="I30" s="33"/>
      <c r="J30" s="33"/>
      <c r="K30" s="33"/>
      <c r="L30" s="33"/>
      <c r="M30" s="33"/>
      <c r="N30" s="33"/>
      <c r="O30" s="33"/>
      <c r="P30" s="33"/>
      <c r="Q30" s="33"/>
      <c r="R30" s="33"/>
      <c r="S30" s="33">
        <v>49.6</v>
      </c>
      <c r="T30" s="33">
        <v>4.99</v>
      </c>
      <c r="U30" s="33">
        <v>0.64</v>
      </c>
      <c r="V30" s="33"/>
      <c r="W30" s="33"/>
      <c r="X30" s="33"/>
      <c r="Y30" s="33"/>
      <c r="Z30" s="33"/>
      <c r="AA30" s="33"/>
      <c r="AB30" s="33"/>
      <c r="AC30" s="33"/>
      <c r="AD30" s="33"/>
      <c r="AE30" s="33"/>
      <c r="AF30" s="33"/>
      <c r="AG30" s="33"/>
      <c r="AH30" s="33"/>
      <c r="AI30" s="33"/>
      <c r="AJ30" s="33"/>
      <c r="AK30" s="33">
        <v>6.43</v>
      </c>
      <c r="AL30" s="33">
        <v>18.2</v>
      </c>
      <c r="AM30" s="33">
        <v>1.23</v>
      </c>
      <c r="AN30" s="33"/>
      <c r="AO30" s="33"/>
      <c r="AP30" s="33"/>
      <c r="AQ30" s="33">
        <f t="shared" si="3"/>
        <v>81.09</v>
      </c>
      <c r="AR30" s="33">
        <f t="shared" si="4"/>
        <v>55.230000000000004</v>
      </c>
      <c r="AS30" s="33">
        <f t="shared" si="5"/>
        <v>25.86</v>
      </c>
      <c r="AT30" s="33"/>
      <c r="AU30" s="33"/>
      <c r="AV30" s="33"/>
    </row>
    <row r="31" spans="1:48" x14ac:dyDescent="0.25">
      <c r="A31" t="s">
        <v>101</v>
      </c>
      <c r="B31" t="s">
        <v>64</v>
      </c>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row>
    <row r="32" spans="1:48" x14ac:dyDescent="0.25">
      <c r="B32" t="s">
        <v>39</v>
      </c>
      <c r="D32" s="33">
        <f>D4*$C4+D8*$C8+D12*$C12++D16*$C16+D20*$C20+D28*$C28</f>
        <v>0</v>
      </c>
      <c r="E32" s="33">
        <f t="shared" ref="E32:AP34" si="6">E4*$C4+E8*$C8+E12*$C12++E16*$C16+E20*$C20+E28*$C28</f>
        <v>0</v>
      </c>
      <c r="F32" s="33">
        <f t="shared" si="6"/>
        <v>0</v>
      </c>
      <c r="G32" s="33">
        <f t="shared" si="6"/>
        <v>0</v>
      </c>
      <c r="H32" s="33">
        <f>H4*$C4+H8*$C8+H12*$C12++H16*$C16+H20*$C20+H28*$C28</f>
        <v>1.274</v>
      </c>
      <c r="I32" s="33">
        <f t="shared" si="6"/>
        <v>0</v>
      </c>
      <c r="J32" s="33">
        <f t="shared" si="6"/>
        <v>0.6454645</v>
      </c>
      <c r="K32" s="33">
        <f t="shared" si="6"/>
        <v>0</v>
      </c>
      <c r="L32" s="33">
        <f t="shared" si="6"/>
        <v>0</v>
      </c>
      <c r="M32" s="33">
        <f t="shared" si="6"/>
        <v>0</v>
      </c>
      <c r="N32" s="33">
        <f t="shared" si="6"/>
        <v>0</v>
      </c>
      <c r="O32" s="33">
        <f t="shared" si="6"/>
        <v>0</v>
      </c>
      <c r="P32" s="33">
        <f t="shared" si="6"/>
        <v>0</v>
      </c>
      <c r="Q32" s="33">
        <f t="shared" si="6"/>
        <v>0</v>
      </c>
      <c r="R32" s="33">
        <f t="shared" si="6"/>
        <v>0</v>
      </c>
      <c r="S32" s="33">
        <f>S4*$C4+S8*$C8+S12*$C12+S16*$C16+S20*$C20+S28*$C28</f>
        <v>149.14302800000002</v>
      </c>
      <c r="T32" s="33">
        <f t="shared" si="6"/>
        <v>38.127173099999993</v>
      </c>
      <c r="U32" s="33">
        <f t="shared" si="6"/>
        <v>15.0769489</v>
      </c>
      <c r="V32" s="33">
        <f t="shared" si="6"/>
        <v>0.17562999999999998</v>
      </c>
      <c r="W32" s="33">
        <f t="shared" si="6"/>
        <v>0.25844</v>
      </c>
      <c r="X32" s="33">
        <f t="shared" si="6"/>
        <v>5.3780999999999995E-2</v>
      </c>
      <c r="Y32" s="33">
        <f t="shared" si="6"/>
        <v>0</v>
      </c>
      <c r="Z32" s="33">
        <f t="shared" si="6"/>
        <v>0</v>
      </c>
      <c r="AA32" s="33">
        <f t="shared" si="6"/>
        <v>0</v>
      </c>
      <c r="AB32" s="33">
        <f t="shared" si="6"/>
        <v>0</v>
      </c>
      <c r="AC32" s="33">
        <f t="shared" si="6"/>
        <v>0</v>
      </c>
      <c r="AD32" s="33">
        <f t="shared" si="6"/>
        <v>0</v>
      </c>
      <c r="AE32" s="33">
        <f t="shared" si="6"/>
        <v>0</v>
      </c>
      <c r="AF32" s="33">
        <f t="shared" si="6"/>
        <v>0</v>
      </c>
      <c r="AG32" s="33">
        <f t="shared" si="6"/>
        <v>0</v>
      </c>
      <c r="AH32" s="33">
        <f t="shared" si="6"/>
        <v>0</v>
      </c>
      <c r="AI32" s="33">
        <f t="shared" si="6"/>
        <v>0</v>
      </c>
      <c r="AJ32" s="33">
        <f t="shared" si="6"/>
        <v>0</v>
      </c>
      <c r="AK32" s="33">
        <f t="shared" si="6"/>
        <v>39.193914100000001</v>
      </c>
      <c r="AL32" s="33">
        <f t="shared" si="6"/>
        <v>173.30929</v>
      </c>
      <c r="AM32" s="33">
        <f t="shared" si="6"/>
        <v>28.60771205</v>
      </c>
      <c r="AN32" s="33">
        <f t="shared" si="6"/>
        <v>1.0251495000000002</v>
      </c>
      <c r="AO32" s="33">
        <f t="shared" si="6"/>
        <v>0</v>
      </c>
      <c r="AP32" s="33">
        <f t="shared" si="6"/>
        <v>0</v>
      </c>
      <c r="AQ32" s="33"/>
      <c r="AR32" s="33"/>
      <c r="AS32" s="33"/>
      <c r="AT32" s="33"/>
      <c r="AU32" s="33"/>
      <c r="AV32" s="33"/>
    </row>
    <row r="33" spans="1:49" x14ac:dyDescent="0.25">
      <c r="B33" t="s">
        <v>40</v>
      </c>
      <c r="D33" s="33">
        <f t="shared" ref="D33:S34" si="7">D5*$C5+D9*$C9+D13*$C13++D17*$C17+D21*$C21+D29*$C29</f>
        <v>0</v>
      </c>
      <c r="E33" s="33">
        <f t="shared" si="7"/>
        <v>0</v>
      </c>
      <c r="F33" s="33">
        <f t="shared" si="7"/>
        <v>0</v>
      </c>
      <c r="G33" s="33">
        <f t="shared" si="7"/>
        <v>0</v>
      </c>
      <c r="H33" s="33">
        <f>H5*$C5+H9*$C9+H13*$C13++H17*$C17+H21*$C21+H29*$C29</f>
        <v>0.47321000000000002</v>
      </c>
      <c r="I33" s="33">
        <f t="shared" si="7"/>
        <v>0</v>
      </c>
      <c r="J33" s="33">
        <f t="shared" si="7"/>
        <v>0.3907426</v>
      </c>
      <c r="K33" s="33">
        <f t="shared" si="7"/>
        <v>0</v>
      </c>
      <c r="L33" s="33">
        <f t="shared" si="7"/>
        <v>0</v>
      </c>
      <c r="M33" s="33">
        <f t="shared" si="7"/>
        <v>0</v>
      </c>
      <c r="N33" s="33">
        <f t="shared" si="7"/>
        <v>0</v>
      </c>
      <c r="O33" s="33">
        <f t="shared" si="7"/>
        <v>0</v>
      </c>
      <c r="P33" s="33">
        <f t="shared" si="7"/>
        <v>0</v>
      </c>
      <c r="Q33" s="33">
        <f t="shared" si="7"/>
        <v>0</v>
      </c>
      <c r="R33" s="33">
        <f t="shared" si="7"/>
        <v>0</v>
      </c>
      <c r="S33" s="33">
        <f t="shared" si="7"/>
        <v>98.071580999999995</v>
      </c>
      <c r="T33" s="33">
        <f t="shared" si="6"/>
        <v>23.505184000000003</v>
      </c>
      <c r="U33" s="33">
        <f t="shared" si="6"/>
        <v>5.4100609000000004</v>
      </c>
      <c r="V33" s="33">
        <f t="shared" si="6"/>
        <v>5.4588999999999999E-2</v>
      </c>
      <c r="W33" s="33">
        <f t="shared" si="6"/>
        <v>9.6379999999999993E-2</v>
      </c>
      <c r="X33" s="33">
        <f t="shared" si="6"/>
        <v>0</v>
      </c>
      <c r="Y33" s="33">
        <f t="shared" si="6"/>
        <v>0</v>
      </c>
      <c r="Z33" s="33">
        <f t="shared" si="6"/>
        <v>0</v>
      </c>
      <c r="AA33" s="33">
        <f t="shared" si="6"/>
        <v>0</v>
      </c>
      <c r="AB33" s="33">
        <f t="shared" si="6"/>
        <v>0</v>
      </c>
      <c r="AC33" s="33">
        <f t="shared" si="6"/>
        <v>0</v>
      </c>
      <c r="AD33" s="33">
        <f t="shared" si="6"/>
        <v>0</v>
      </c>
      <c r="AE33" s="33">
        <f t="shared" si="6"/>
        <v>0</v>
      </c>
      <c r="AF33" s="33">
        <f t="shared" si="6"/>
        <v>0</v>
      </c>
      <c r="AG33" s="33">
        <f t="shared" si="6"/>
        <v>0</v>
      </c>
      <c r="AH33" s="33">
        <f t="shared" si="6"/>
        <v>0</v>
      </c>
      <c r="AI33" s="33">
        <f t="shared" si="6"/>
        <v>0</v>
      </c>
      <c r="AJ33" s="33">
        <f t="shared" si="6"/>
        <v>0</v>
      </c>
      <c r="AK33" s="33">
        <f t="shared" si="6"/>
        <v>23.427721899999998</v>
      </c>
      <c r="AL33" s="33">
        <f t="shared" si="6"/>
        <v>109.63576400000001</v>
      </c>
      <c r="AM33" s="33">
        <f t="shared" si="6"/>
        <v>15.9620266</v>
      </c>
      <c r="AN33" s="33">
        <f t="shared" si="6"/>
        <v>0.4305466</v>
      </c>
      <c r="AO33" s="33">
        <f t="shared" si="6"/>
        <v>0</v>
      </c>
      <c r="AP33" s="33">
        <f t="shared" si="6"/>
        <v>0</v>
      </c>
      <c r="AQ33" s="33"/>
      <c r="AR33" s="33"/>
      <c r="AS33" s="33"/>
      <c r="AT33" s="33"/>
      <c r="AU33" s="33"/>
      <c r="AV33" s="33"/>
    </row>
    <row r="34" spans="1:49" x14ac:dyDescent="0.25">
      <c r="B34" t="s">
        <v>41</v>
      </c>
      <c r="D34" s="33">
        <f t="shared" si="7"/>
        <v>0</v>
      </c>
      <c r="E34" s="33">
        <f t="shared" si="6"/>
        <v>0</v>
      </c>
      <c r="F34" s="33">
        <f t="shared" si="6"/>
        <v>0</v>
      </c>
      <c r="G34" s="33">
        <f t="shared" si="6"/>
        <v>0</v>
      </c>
      <c r="H34" s="33">
        <f>H6*$C6+H10*$C10+H14*$C14++H18*$C18+H22*$C22+H30*$C30</f>
        <v>0</v>
      </c>
      <c r="I34" s="33">
        <f t="shared" si="6"/>
        <v>0</v>
      </c>
      <c r="J34" s="33">
        <f t="shared" si="6"/>
        <v>0</v>
      </c>
      <c r="K34" s="33">
        <f t="shared" si="6"/>
        <v>0</v>
      </c>
      <c r="L34" s="33">
        <f t="shared" si="6"/>
        <v>0</v>
      </c>
      <c r="M34" s="33">
        <f t="shared" si="6"/>
        <v>0</v>
      </c>
      <c r="N34" s="33">
        <f t="shared" si="6"/>
        <v>0</v>
      </c>
      <c r="O34" s="33">
        <f t="shared" si="6"/>
        <v>0</v>
      </c>
      <c r="P34" s="33">
        <f t="shared" si="6"/>
        <v>0</v>
      </c>
      <c r="Q34" s="33">
        <f t="shared" si="6"/>
        <v>0</v>
      </c>
      <c r="R34" s="33">
        <f t="shared" si="6"/>
        <v>0</v>
      </c>
      <c r="S34" s="33">
        <f t="shared" si="6"/>
        <v>87.191760000000002</v>
      </c>
      <c r="T34" s="33">
        <f t="shared" si="6"/>
        <v>15.682276000000002</v>
      </c>
      <c r="U34" s="33">
        <f t="shared" si="6"/>
        <v>2.8994090000000003</v>
      </c>
      <c r="V34" s="33">
        <f t="shared" si="6"/>
        <v>6.3062999999999994E-2</v>
      </c>
      <c r="W34" s="33">
        <f t="shared" si="6"/>
        <v>0.11374999999999999</v>
      </c>
      <c r="X34" s="33">
        <f t="shared" si="6"/>
        <v>0</v>
      </c>
      <c r="Y34" s="33">
        <f t="shared" si="6"/>
        <v>0</v>
      </c>
      <c r="Z34" s="33">
        <f t="shared" si="6"/>
        <v>0</v>
      </c>
      <c r="AA34" s="33">
        <f t="shared" si="6"/>
        <v>0</v>
      </c>
      <c r="AB34" s="33">
        <f t="shared" si="6"/>
        <v>0</v>
      </c>
      <c r="AC34" s="33">
        <f t="shared" si="6"/>
        <v>0</v>
      </c>
      <c r="AD34" s="33">
        <f t="shared" si="6"/>
        <v>0</v>
      </c>
      <c r="AE34" s="33">
        <f t="shared" si="6"/>
        <v>0</v>
      </c>
      <c r="AF34" s="33">
        <f t="shared" si="6"/>
        <v>0</v>
      </c>
      <c r="AG34" s="33">
        <f t="shared" si="6"/>
        <v>0</v>
      </c>
      <c r="AH34" s="33">
        <f t="shared" si="6"/>
        <v>0</v>
      </c>
      <c r="AI34" s="33">
        <f t="shared" si="6"/>
        <v>0</v>
      </c>
      <c r="AJ34" s="33">
        <f t="shared" si="6"/>
        <v>0</v>
      </c>
      <c r="AK34" s="33">
        <f t="shared" si="6"/>
        <v>18.354929000000002</v>
      </c>
      <c r="AL34" s="33">
        <f t="shared" si="6"/>
        <v>85.912252000000009</v>
      </c>
      <c r="AM34" s="33">
        <f t="shared" si="6"/>
        <v>9.3563700000000019</v>
      </c>
      <c r="AN34" s="33">
        <f t="shared" si="6"/>
        <v>0</v>
      </c>
      <c r="AO34" s="33">
        <f t="shared" si="6"/>
        <v>0</v>
      </c>
      <c r="AP34" s="33">
        <f t="shared" si="6"/>
        <v>0</v>
      </c>
      <c r="AQ34" s="33"/>
      <c r="AR34" s="33"/>
      <c r="AS34" s="33"/>
      <c r="AT34" s="33"/>
      <c r="AU34" s="33"/>
      <c r="AV34" s="33"/>
    </row>
    <row r="35" spans="1:49" x14ac:dyDescent="0.25">
      <c r="A35" t="s">
        <v>143</v>
      </c>
      <c r="C35" t="s">
        <v>177</v>
      </c>
      <c r="D35" s="33"/>
      <c r="E35" s="33"/>
      <c r="F35" s="33"/>
      <c r="G35" s="33"/>
      <c r="H35" s="33"/>
      <c r="I35" s="33"/>
      <c r="J35" s="33">
        <f>AVERAGE(J12:J14)</f>
        <v>0.71950000000000003</v>
      </c>
      <c r="K35" s="33"/>
      <c r="L35" s="33"/>
      <c r="M35" s="33"/>
      <c r="N35" s="33"/>
      <c r="O35" s="33"/>
      <c r="P35" s="33"/>
      <c r="Q35" s="33"/>
      <c r="R35" s="33"/>
      <c r="S35" s="33">
        <f>AVERAGE(S12:S14)</f>
        <v>148.33333333333334</v>
      </c>
      <c r="T35" s="33">
        <f>AVERAGE(T12:T14)</f>
        <v>32.866666666666667</v>
      </c>
      <c r="U35" s="33">
        <f>AVERAGE(U12:U14)</f>
        <v>9.1566666666666663</v>
      </c>
      <c r="V35" s="33"/>
      <c r="W35" s="33"/>
      <c r="X35" s="33"/>
      <c r="Y35" s="33"/>
      <c r="Z35" s="33"/>
      <c r="AA35" s="33"/>
      <c r="AB35" s="33"/>
      <c r="AC35" s="33"/>
      <c r="AD35" s="33"/>
      <c r="AE35" s="33"/>
      <c r="AF35" s="33"/>
      <c r="AG35" s="33"/>
      <c r="AH35" s="33"/>
      <c r="AI35" s="33"/>
      <c r="AJ35" s="33"/>
      <c r="AK35" s="33">
        <f>AVERAGE(AK12:AK14)</f>
        <v>36.033333333333339</v>
      </c>
      <c r="AL35" s="33">
        <f>AVERAGE(AL12:AL14)</f>
        <v>166.66666666666666</v>
      </c>
      <c r="AM35" s="33">
        <f>AVERAGE(AM12:AM14)</f>
        <v>24.466666666666669</v>
      </c>
      <c r="AN35" s="33">
        <f>AVERAGE(AN12:AN14)</f>
        <v>0.66633333333333333</v>
      </c>
      <c r="AO35" s="33"/>
      <c r="AP35" s="33"/>
      <c r="AQ35" s="33">
        <f t="shared" ref="AQ35" si="8">SUM(D35:AP35)</f>
        <v>418.90916666666669</v>
      </c>
      <c r="AR35" s="33">
        <f t="shared" ref="AR35" si="9">SUM(D35:X35)</f>
        <v>191.07616666666669</v>
      </c>
      <c r="AS35" s="33">
        <f t="shared" ref="AS35" si="10">SUM(Y35:AP35)</f>
        <v>227.833</v>
      </c>
      <c r="AT35" s="33">
        <f>_xlfn.STDEV.P(AQ12:AQ14)</f>
        <v>82.682941897884561</v>
      </c>
      <c r="AU35" s="33">
        <f>_xlfn.STDEV.P(AR12:AR14)</f>
        <v>33.646681464232771</v>
      </c>
      <c r="AV35" s="33">
        <f>_xlfn.STDEV.P(AS12:AS14)</f>
        <v>49.376603211102569</v>
      </c>
      <c r="AW35" s="33">
        <f>SUM(D35,F35:G35,I35,K35:R35,Y35:AJ35,AO35:AP35)</f>
        <v>0</v>
      </c>
    </row>
    <row r="36" spans="1:49" x14ac:dyDescent="0.25">
      <c r="C36" t="s">
        <v>178</v>
      </c>
      <c r="D36" s="33"/>
      <c r="E36" s="33"/>
      <c r="F36" s="33"/>
      <c r="G36" s="33"/>
      <c r="H36" s="33"/>
      <c r="I36" s="33"/>
      <c r="J36" s="33"/>
      <c r="K36" s="33"/>
      <c r="L36" s="33"/>
      <c r="M36" s="33"/>
      <c r="N36" s="33"/>
      <c r="O36" s="33"/>
      <c r="P36" s="33"/>
      <c r="Q36" s="33"/>
      <c r="R36" s="33"/>
      <c r="S36" s="33">
        <f>AVERAGE(S28:S30)</f>
        <v>23.5</v>
      </c>
      <c r="T36" s="33">
        <f>AVERAGE(T28:T30)</f>
        <v>4.5733333333333333</v>
      </c>
      <c r="U36" s="33">
        <f>AVERAGE(U28:U30)</f>
        <v>1.0983333333333334</v>
      </c>
      <c r="V36" s="33"/>
      <c r="W36" s="33"/>
      <c r="X36" s="33"/>
      <c r="Y36" s="33"/>
      <c r="Z36" s="33"/>
      <c r="AA36" s="33"/>
      <c r="AB36" s="33"/>
      <c r="AC36" s="33"/>
      <c r="AD36" s="33"/>
      <c r="AE36" s="33"/>
      <c r="AF36" s="33"/>
      <c r="AG36" s="33"/>
      <c r="AH36" s="33"/>
      <c r="AI36" s="33"/>
      <c r="AJ36" s="33"/>
      <c r="AK36" s="33">
        <f>AVERAGE(AK28:AK30)</f>
        <v>4.3999999999999995</v>
      </c>
      <c r="AL36" s="33">
        <f>AVERAGE(AL28:AL30)</f>
        <v>14.233333333333334</v>
      </c>
      <c r="AM36" s="33">
        <f>AVERAGE(AM28:AM30)</f>
        <v>1.2276666666666667</v>
      </c>
      <c r="AN36" s="33"/>
      <c r="AO36" s="33"/>
      <c r="AP36" s="33"/>
      <c r="AQ36" s="33">
        <f t="shared" ref="AQ36:AQ41" si="11">SUM(D36:AP36)</f>
        <v>49.032666666666664</v>
      </c>
      <c r="AR36" s="33">
        <f t="shared" ref="AR36:AR41" si="12">SUM(D36:X36)</f>
        <v>29.171666666666667</v>
      </c>
      <c r="AS36" s="33">
        <f t="shared" ref="AS36:AS41" si="13">SUM(Y36:AP36)</f>
        <v>19.861000000000001</v>
      </c>
      <c r="AT36" s="33">
        <f>_xlfn.STDEV.P(AQ28:AQ30)</f>
        <v>22.692948704143504</v>
      </c>
      <c r="AU36" s="33">
        <f>_xlfn.STDEV.P(AR28:AR30)</f>
        <v>19.043793535486103</v>
      </c>
      <c r="AV36" s="33">
        <f>_xlfn.STDEV.P(AS28:AS30)</f>
        <v>5.6595248917201539</v>
      </c>
      <c r="AW36" s="33">
        <f t="shared" ref="AW36:AW40" si="14">SUM(D36,F36:G36,I36,K36:R36,Y36:AJ36,AO36:AP36)</f>
        <v>0</v>
      </c>
    </row>
    <row r="37" spans="1:49" x14ac:dyDescent="0.25">
      <c r="C37" t="s">
        <v>179</v>
      </c>
      <c r="D37" s="33"/>
      <c r="E37" s="33"/>
      <c r="F37" s="33"/>
      <c r="G37" s="33"/>
      <c r="H37" s="33"/>
      <c r="I37" s="33"/>
      <c r="J37" s="33"/>
      <c r="K37" s="33"/>
      <c r="L37" s="33"/>
      <c r="M37" s="33"/>
      <c r="N37" s="33"/>
      <c r="O37" s="33"/>
      <c r="P37" s="33"/>
      <c r="Q37" s="33"/>
      <c r="R37" s="33"/>
      <c r="S37" s="33">
        <f>AVERAGE(S16:S18)</f>
        <v>15.100000000000001</v>
      </c>
      <c r="T37" s="33">
        <f>AVERAGE(T16:T18)</f>
        <v>5.376666666666666</v>
      </c>
      <c r="U37" s="33">
        <f>AVERAGE(U16:U18)</f>
        <v>1.8380000000000003</v>
      </c>
      <c r="V37" s="33"/>
      <c r="W37" s="33"/>
      <c r="X37" s="33"/>
      <c r="Y37" s="33"/>
      <c r="Z37" s="33"/>
      <c r="AA37" s="33"/>
      <c r="AB37" s="33"/>
      <c r="AC37" s="33"/>
      <c r="AD37" s="33"/>
      <c r="AE37" s="33"/>
      <c r="AF37" s="33"/>
      <c r="AG37" s="33"/>
      <c r="AH37" s="33"/>
      <c r="AI37" s="33"/>
      <c r="AJ37" s="33"/>
      <c r="AK37" s="33">
        <f>AVERAGE(AK16:AK18)</f>
        <v>3.51</v>
      </c>
      <c r="AL37" s="33">
        <f>AVERAGE(AL16:AL18)</f>
        <v>16.133333333333333</v>
      </c>
      <c r="AM37" s="33">
        <f>AVERAGE(AM16:AM18)</f>
        <v>1.9033333333333333</v>
      </c>
      <c r="AN37" s="33"/>
      <c r="AO37" s="33"/>
      <c r="AP37" s="33"/>
      <c r="AQ37" s="33">
        <f t="shared" si="11"/>
        <v>43.861333333333334</v>
      </c>
      <c r="AR37" s="33">
        <f t="shared" si="12"/>
        <v>22.314666666666668</v>
      </c>
      <c r="AS37" s="33">
        <f t="shared" si="13"/>
        <v>21.546666666666663</v>
      </c>
      <c r="AT37" s="33">
        <f>_xlfn.STDEV.P(AQ16:AQ18)</f>
        <v>13.935968458951436</v>
      </c>
      <c r="AU37" s="33">
        <f>_xlfn.STDEV.P(AR16:AR18)</f>
        <v>11.42289237549852</v>
      </c>
      <c r="AV37" s="33">
        <f>_xlfn.STDEV.P(AS16:AS18)</f>
        <v>3.8016867601397921</v>
      </c>
      <c r="AW37" s="33">
        <f t="shared" si="14"/>
        <v>0</v>
      </c>
    </row>
    <row r="38" spans="1:49" x14ac:dyDescent="0.25">
      <c r="C38" t="s">
        <v>180</v>
      </c>
      <c r="D38" s="33"/>
      <c r="E38" s="33"/>
      <c r="F38" s="33"/>
      <c r="G38" s="33"/>
      <c r="H38" s="33">
        <f>AVERAGE(H7:H9)</f>
        <v>11.13</v>
      </c>
      <c r="I38" s="33"/>
      <c r="J38" s="33"/>
      <c r="K38" s="33"/>
      <c r="L38" s="33"/>
      <c r="M38" s="33"/>
      <c r="N38" s="33"/>
      <c r="O38" s="33"/>
      <c r="P38" s="33"/>
      <c r="Q38" s="33"/>
      <c r="R38" s="33"/>
      <c r="S38" s="33">
        <f>AVERAGE(S8:S10)</f>
        <v>5.81</v>
      </c>
      <c r="T38" s="33">
        <f t="shared" ref="T38:X38" si="15">AVERAGE(T8:T10)</f>
        <v>2.8366666666666664</v>
      </c>
      <c r="U38" s="33">
        <f t="shared" si="15"/>
        <v>4.2066666666666661</v>
      </c>
      <c r="V38" s="33">
        <f t="shared" si="15"/>
        <v>1.1046666666666667</v>
      </c>
      <c r="W38" s="33">
        <f t="shared" si="15"/>
        <v>1.7699999999999998</v>
      </c>
      <c r="X38" s="33">
        <f t="shared" si="15"/>
        <v>0.19699999999999998</v>
      </c>
      <c r="Y38" s="33"/>
      <c r="Z38" s="33"/>
      <c r="AA38" s="33"/>
      <c r="AB38" s="33"/>
      <c r="AC38" s="33"/>
      <c r="AD38" s="33"/>
      <c r="AE38" s="33"/>
      <c r="AF38" s="33"/>
      <c r="AG38" s="33"/>
      <c r="AH38" s="33"/>
      <c r="AI38" s="33"/>
      <c r="AJ38" s="33"/>
      <c r="AK38" s="33">
        <f>AVERAGE(AK8:AK10)</f>
        <v>0.35066666666666668</v>
      </c>
      <c r="AL38" s="33">
        <f>AVERAGE(AL8:AL10)</f>
        <v>2.6</v>
      </c>
      <c r="AM38" s="33"/>
      <c r="AN38" s="33"/>
      <c r="AO38" s="33"/>
      <c r="AP38" s="33"/>
      <c r="AQ38" s="33">
        <f t="shared" si="11"/>
        <v>30.005666666666666</v>
      </c>
      <c r="AR38" s="33">
        <f t="shared" si="12"/>
        <v>27.055</v>
      </c>
      <c r="AS38" s="33">
        <f t="shared" si="13"/>
        <v>2.9506666666666668</v>
      </c>
      <c r="AT38" s="33">
        <f>_xlfn.STDEV.P(AQ8:AQ10)</f>
        <v>10.13067483767329</v>
      </c>
      <c r="AU38" s="33">
        <f>_xlfn.STDEV.P(AR8:AR10)</f>
        <v>9.9821026954355823</v>
      </c>
      <c r="AV38" s="33">
        <f>_xlfn.STDEV.P(AS8:AS10)</f>
        <v>0.41067451291205737</v>
      </c>
      <c r="AW38" s="33">
        <f>SUM(D38,F38:G38,I38,K38:R38,Y38:AJ38,AO38:AP38)</f>
        <v>0</v>
      </c>
    </row>
    <row r="39" spans="1:49" x14ac:dyDescent="0.25">
      <c r="C39" t="s">
        <v>181</v>
      </c>
      <c r="D39" s="33"/>
      <c r="E39" s="33"/>
      <c r="F39" s="33"/>
      <c r="G39" s="33"/>
      <c r="H39" s="33"/>
      <c r="I39" s="33"/>
      <c r="J39" s="33"/>
      <c r="K39" s="33"/>
      <c r="L39" s="33"/>
      <c r="M39" s="33"/>
      <c r="N39" s="33"/>
      <c r="O39" s="33"/>
      <c r="P39" s="33"/>
      <c r="Q39" s="33"/>
      <c r="R39" s="33"/>
      <c r="S39" s="33">
        <f>AVERAGE(S4:S6)</f>
        <v>11.416666666666666</v>
      </c>
      <c r="T39" s="33">
        <f>AVERAGE(T4:T6)</f>
        <v>2.2766666666666668</v>
      </c>
      <c r="U39" s="33">
        <f>AVERAGE(U4:U6)</f>
        <v>0.47766666666666668</v>
      </c>
      <c r="V39" s="33"/>
      <c r="W39" s="33"/>
      <c r="X39" s="33"/>
      <c r="Y39" s="33"/>
      <c r="Z39" s="33"/>
      <c r="AA39" s="33"/>
      <c r="AB39" s="33"/>
      <c r="AC39" s="33"/>
      <c r="AD39" s="33"/>
      <c r="AE39" s="33"/>
      <c r="AF39" s="33"/>
      <c r="AG39" s="33"/>
      <c r="AH39" s="33"/>
      <c r="AI39" s="33"/>
      <c r="AJ39" s="33"/>
      <c r="AK39" s="33">
        <f>AVERAGE(AK4:AK6)</f>
        <v>2.81</v>
      </c>
      <c r="AL39" s="33">
        <f>AVERAGE(AL4:AL6)</f>
        <v>9.89</v>
      </c>
      <c r="AM39" s="33">
        <f>AVERAGE(AM4:AM6)</f>
        <v>1.1623333333333334</v>
      </c>
      <c r="AN39" s="33"/>
      <c r="AO39" s="33"/>
      <c r="AP39" s="33"/>
      <c r="AQ39" s="33">
        <f t="shared" si="11"/>
        <v>28.033333333333331</v>
      </c>
      <c r="AR39" s="33">
        <f t="shared" si="12"/>
        <v>14.170999999999999</v>
      </c>
      <c r="AS39" s="33">
        <f t="shared" si="13"/>
        <v>13.862333333333334</v>
      </c>
      <c r="AT39" s="33">
        <f>_xlfn.STDEV.P(AQ4:AQ6)</f>
        <v>2.1737490399972321</v>
      </c>
      <c r="AU39" s="33">
        <f>_xlfn.STDEV.P(AR4:AR6)</f>
        <v>0.82301194807041822</v>
      </c>
      <c r="AV39" s="33">
        <f>_xlfn.STDEV.P(AS4:AS6)</f>
        <v>1.5245362865110343</v>
      </c>
      <c r="AW39" s="33">
        <f>SUM(D39,F39:G39,I39,K39:R39,Y39:AJ39,AO39:AP39)</f>
        <v>0</v>
      </c>
    </row>
    <row r="40" spans="1:49" x14ac:dyDescent="0.25">
      <c r="C40" t="s">
        <v>182</v>
      </c>
      <c r="D40" s="33"/>
      <c r="E40" s="33"/>
      <c r="F40" s="33"/>
      <c r="G40" s="33"/>
      <c r="H40" s="33"/>
      <c r="I40" s="33"/>
      <c r="J40" s="33"/>
      <c r="K40" s="33"/>
      <c r="L40" s="33"/>
      <c r="M40" s="33"/>
      <c r="N40" s="33"/>
      <c r="O40" s="33"/>
      <c r="P40" s="33"/>
      <c r="Q40" s="33"/>
      <c r="R40" s="33"/>
      <c r="S40" s="33">
        <f>AVERAGE(S20:S22)</f>
        <v>10.543333333333335</v>
      </c>
      <c r="T40" s="33">
        <f>AVERAGE(T20:T22)</f>
        <v>2.9133333333333336</v>
      </c>
      <c r="U40" s="33">
        <f>AVERAGE(U20:U22)</f>
        <v>0.99399999999999988</v>
      </c>
      <c r="V40" s="33"/>
      <c r="W40" s="33"/>
      <c r="X40" s="33"/>
      <c r="Y40" s="33"/>
      <c r="Z40" s="33"/>
      <c r="AA40" s="33"/>
      <c r="AB40" s="33"/>
      <c r="AC40" s="33"/>
      <c r="AD40" s="33"/>
      <c r="AE40" s="33"/>
      <c r="AF40" s="33"/>
      <c r="AG40" s="33"/>
      <c r="AH40" s="33"/>
      <c r="AI40" s="33"/>
      <c r="AJ40" s="33"/>
      <c r="AK40" s="33">
        <f>AVERAGE(AK20:AK22)</f>
        <v>1.1756666666666666</v>
      </c>
      <c r="AL40" s="33">
        <f>AVERAGE(AL20:AL22)</f>
        <v>5.7833333333333341</v>
      </c>
      <c r="AM40" s="33">
        <f>AVERAGE(AM20:AM22)</f>
        <v>0.24233333333333332</v>
      </c>
      <c r="AN40" s="33"/>
      <c r="AO40" s="33"/>
      <c r="AP40" s="33"/>
      <c r="AQ40" s="33">
        <f t="shared" si="11"/>
        <v>21.652000000000005</v>
      </c>
      <c r="AR40" s="33">
        <f t="shared" si="12"/>
        <v>14.450666666666669</v>
      </c>
      <c r="AS40" s="33">
        <f t="shared" si="13"/>
        <v>7.2013333333333343</v>
      </c>
      <c r="AT40" s="33">
        <f>_xlfn.STDEV.P(AQ20:AQ22)</f>
        <v>1.8361243603489019</v>
      </c>
      <c r="AU40" s="33">
        <f>_xlfn.STDEV.P(AR20:AR22)</f>
        <v>1.3084001256836106</v>
      </c>
      <c r="AV40" s="33">
        <f>_xlfn.STDEV.P(AS20:AS22)</f>
        <v>0.59784408967184377</v>
      </c>
      <c r="AW40" s="33">
        <f t="shared" si="14"/>
        <v>0</v>
      </c>
    </row>
    <row r="41" spans="1:49" x14ac:dyDescent="0.25">
      <c r="C41" t="s">
        <v>183</v>
      </c>
      <c r="D41" s="33"/>
      <c r="E41" s="33">
        <f>AVERAGE(E24:E26)</f>
        <v>0.56999999999999995</v>
      </c>
      <c r="F41" s="33"/>
      <c r="G41" s="33"/>
      <c r="H41" s="33"/>
      <c r="I41" s="33"/>
      <c r="J41" s="33"/>
      <c r="K41" s="33"/>
      <c r="L41" s="33"/>
      <c r="M41" s="33"/>
      <c r="N41" s="33"/>
      <c r="O41" s="33"/>
      <c r="P41" s="33"/>
      <c r="Q41" s="33"/>
      <c r="R41" s="33"/>
      <c r="S41" s="33">
        <f>AVERAGE(S24:S26)</f>
        <v>3.3466666666666662</v>
      </c>
      <c r="T41" s="33">
        <f>AVERAGE(T24:T26)</f>
        <v>1.0423333333333333</v>
      </c>
      <c r="U41" s="33">
        <f>AVERAGE(U24:U26)</f>
        <v>0.42</v>
      </c>
      <c r="V41" s="33"/>
      <c r="W41" s="33"/>
      <c r="X41" s="33"/>
      <c r="Y41" s="33"/>
      <c r="Z41" s="33"/>
      <c r="AA41" s="33"/>
      <c r="AB41" s="33"/>
      <c r="AC41" s="33"/>
      <c r="AD41" s="33"/>
      <c r="AE41" s="33"/>
      <c r="AF41" s="33"/>
      <c r="AG41" s="33"/>
      <c r="AH41" s="33"/>
      <c r="AI41" s="33"/>
      <c r="AJ41" s="33"/>
      <c r="AK41" s="33">
        <f>AVERAGE(AK24:AK26)</f>
        <v>0.40633333333333327</v>
      </c>
      <c r="AL41" s="33">
        <f>AVERAGE(AL24:AL26)</f>
        <v>2.2133333333333334</v>
      </c>
      <c r="AM41" s="33"/>
      <c r="AN41" s="33"/>
      <c r="AO41" s="33"/>
      <c r="AP41" s="33"/>
      <c r="AQ41" s="33">
        <f t="shared" si="11"/>
        <v>7.9986666666666668</v>
      </c>
      <c r="AR41" s="33">
        <f t="shared" si="12"/>
        <v>5.3789999999999996</v>
      </c>
      <c r="AS41" s="33">
        <f t="shared" si="13"/>
        <v>2.6196666666666668</v>
      </c>
      <c r="AT41" s="33">
        <f>_xlfn.STDEV.P(AQ24:AQ26)</f>
        <v>1.9746961510290364</v>
      </c>
      <c r="AU41" s="33">
        <f>_xlfn.STDEV.P(AR24:AR26)</f>
        <v>1.4321971465781742</v>
      </c>
      <c r="AV41" s="33">
        <f>_xlfn.STDEV.P(AS24:AS26)</f>
        <v>0.54954910810793156</v>
      </c>
      <c r="AW41" s="33">
        <f>SUM(D41,F41:G41,I41,K41:R41,Y41:AJ41,AO41:AP41)</f>
        <v>0</v>
      </c>
    </row>
    <row r="42" spans="1:49" x14ac:dyDescent="0.25">
      <c r="H42">
        <f>_xlfn.STDEV.P(H7:H9)</f>
        <v>3.6427736685114005</v>
      </c>
      <c r="V42">
        <f>_xlfn.STDEV.P(V8:V10)</f>
        <v>0.58359936790766143</v>
      </c>
      <c r="W42">
        <f t="shared" ref="W42:X42" si="16">_xlfn.STDEV.P(W8:W10)</f>
        <v>0.75670337649570496</v>
      </c>
      <c r="X42">
        <f t="shared" si="16"/>
        <v>0.27860007178749974</v>
      </c>
    </row>
    <row r="43" spans="1:49" x14ac:dyDescent="0.25">
      <c r="A43" t="s">
        <v>273</v>
      </c>
      <c r="S43" t="s">
        <v>269</v>
      </c>
    </row>
    <row r="44" spans="1:49" x14ac:dyDescent="0.25">
      <c r="A44" t="s">
        <v>67</v>
      </c>
      <c r="B44" t="s">
        <v>39</v>
      </c>
      <c r="C44">
        <v>0.33100000000000002</v>
      </c>
      <c r="D44">
        <f>(D4*$C4)/D$66*100</f>
        <v>0</v>
      </c>
      <c r="E44">
        <f t="shared" ref="E44:AS44" si="17">(E4*$C4)/E$66*100</f>
        <v>0</v>
      </c>
      <c r="F44">
        <f t="shared" si="17"/>
        <v>0</v>
      </c>
      <c r="G44">
        <f t="shared" si="17"/>
        <v>0</v>
      </c>
      <c r="H44">
        <f t="shared" si="17"/>
        <v>0</v>
      </c>
      <c r="I44">
        <f t="shared" si="17"/>
        <v>0</v>
      </c>
      <c r="J44">
        <f t="shared" si="17"/>
        <v>0</v>
      </c>
      <c r="K44">
        <f t="shared" si="17"/>
        <v>0</v>
      </c>
      <c r="L44">
        <f t="shared" si="17"/>
        <v>0</v>
      </c>
      <c r="M44">
        <f t="shared" si="17"/>
        <v>0</v>
      </c>
      <c r="N44">
        <f t="shared" si="17"/>
        <v>0</v>
      </c>
      <c r="O44">
        <f t="shared" si="17"/>
        <v>0</v>
      </c>
      <c r="P44" t="e">
        <f t="shared" si="17"/>
        <v>#DIV/0!</v>
      </c>
      <c r="Q44">
        <f t="shared" si="17"/>
        <v>0</v>
      </c>
      <c r="R44">
        <f t="shared" si="17"/>
        <v>0</v>
      </c>
      <c r="S44">
        <f t="shared" si="17"/>
        <v>5.2268443587119635E-2</v>
      </c>
      <c r="T44">
        <f t="shared" si="17"/>
        <v>1.0246814747647541E-2</v>
      </c>
      <c r="U44">
        <f t="shared" si="17"/>
        <v>2.5147843980412973E-3</v>
      </c>
      <c r="V44">
        <f t="shared" si="17"/>
        <v>0</v>
      </c>
      <c r="W44">
        <f t="shared" si="17"/>
        <v>0</v>
      </c>
      <c r="X44">
        <f t="shared" si="17"/>
        <v>0</v>
      </c>
      <c r="Y44" t="e">
        <f t="shared" si="17"/>
        <v>#DIV/0!</v>
      </c>
      <c r="Z44">
        <f t="shared" si="17"/>
        <v>0</v>
      </c>
      <c r="AA44">
        <f t="shared" si="17"/>
        <v>0</v>
      </c>
      <c r="AB44">
        <f t="shared" si="17"/>
        <v>0</v>
      </c>
      <c r="AC44">
        <f t="shared" si="17"/>
        <v>0</v>
      </c>
      <c r="AD44">
        <f t="shared" si="17"/>
        <v>0</v>
      </c>
      <c r="AE44">
        <f t="shared" si="17"/>
        <v>0</v>
      </c>
      <c r="AF44">
        <f t="shared" si="17"/>
        <v>0</v>
      </c>
      <c r="AG44">
        <f t="shared" si="17"/>
        <v>0</v>
      </c>
      <c r="AH44">
        <f t="shared" si="17"/>
        <v>0</v>
      </c>
      <c r="AI44" t="e">
        <f t="shared" si="17"/>
        <v>#DIV/0!</v>
      </c>
      <c r="AJ44" t="e">
        <f t="shared" si="17"/>
        <v>#DIV/0!</v>
      </c>
      <c r="AK44">
        <f t="shared" si="17"/>
        <v>7.6890022913706516E-2</v>
      </c>
      <c r="AL44">
        <f t="shared" si="17"/>
        <v>2.1392229484997301E-2</v>
      </c>
      <c r="AM44">
        <f t="shared" si="17"/>
        <v>3.9624003666978574E-3</v>
      </c>
      <c r="AN44">
        <f t="shared" si="17"/>
        <v>0</v>
      </c>
      <c r="AO44">
        <f t="shared" si="17"/>
        <v>0</v>
      </c>
      <c r="AP44">
        <f t="shared" si="17"/>
        <v>0</v>
      </c>
      <c r="AQ44">
        <f t="shared" si="17"/>
        <v>9.1731883922094217E-3</v>
      </c>
      <c r="AR44">
        <f t="shared" si="17"/>
        <v>8.2271004363853387E-3</v>
      </c>
      <c r="AS44">
        <f t="shared" si="17"/>
        <v>1.0474457428042285E-2</v>
      </c>
    </row>
    <row r="45" spans="1:49" x14ac:dyDescent="0.25">
      <c r="B45" t="s">
        <v>40</v>
      </c>
      <c r="C45">
        <v>0.251</v>
      </c>
      <c r="D45">
        <f>(D5*$C5)/D$67*100</f>
        <v>0</v>
      </c>
      <c r="E45">
        <f t="shared" ref="E45:AS45" si="18">(E5*$C5)/E$67*100</f>
        <v>0</v>
      </c>
      <c r="F45">
        <f t="shared" si="18"/>
        <v>0</v>
      </c>
      <c r="G45">
        <f t="shared" si="18"/>
        <v>0</v>
      </c>
      <c r="H45">
        <f t="shared" si="18"/>
        <v>0</v>
      </c>
      <c r="I45">
        <f t="shared" si="18"/>
        <v>0</v>
      </c>
      <c r="J45">
        <f t="shared" si="18"/>
        <v>0</v>
      </c>
      <c r="K45">
        <f t="shared" si="18"/>
        <v>0</v>
      </c>
      <c r="L45">
        <f t="shared" si="18"/>
        <v>0</v>
      </c>
      <c r="M45">
        <f t="shared" si="18"/>
        <v>0</v>
      </c>
      <c r="N45">
        <f t="shared" si="18"/>
        <v>0</v>
      </c>
      <c r="O45">
        <f t="shared" si="18"/>
        <v>0</v>
      </c>
      <c r="P45" t="e">
        <f t="shared" si="18"/>
        <v>#DIV/0!</v>
      </c>
      <c r="Q45">
        <f t="shared" si="18"/>
        <v>0</v>
      </c>
      <c r="R45">
        <f t="shared" si="18"/>
        <v>0</v>
      </c>
      <c r="S45">
        <f t="shared" si="18"/>
        <v>3.567480684872637E-2</v>
      </c>
      <c r="T45">
        <f t="shared" si="18"/>
        <v>9.2757462686811325E-3</v>
      </c>
      <c r="U45">
        <f t="shared" si="18"/>
        <v>1.10729646324076E-3</v>
      </c>
      <c r="V45">
        <f t="shared" si="18"/>
        <v>0</v>
      </c>
      <c r="W45">
        <f t="shared" si="18"/>
        <v>0</v>
      </c>
      <c r="X45">
        <f t="shared" si="18"/>
        <v>0</v>
      </c>
      <c r="Y45" t="e">
        <f t="shared" si="18"/>
        <v>#DIV/0!</v>
      </c>
      <c r="Z45">
        <f t="shared" si="18"/>
        <v>0</v>
      </c>
      <c r="AA45">
        <f t="shared" si="18"/>
        <v>0</v>
      </c>
      <c r="AB45">
        <f t="shared" si="18"/>
        <v>0</v>
      </c>
      <c r="AC45">
        <f t="shared" si="18"/>
        <v>0</v>
      </c>
      <c r="AD45">
        <f t="shared" si="18"/>
        <v>0</v>
      </c>
      <c r="AE45">
        <f t="shared" si="18"/>
        <v>0</v>
      </c>
      <c r="AF45">
        <f t="shared" si="18"/>
        <v>0</v>
      </c>
      <c r="AG45">
        <f t="shared" si="18"/>
        <v>0</v>
      </c>
      <c r="AH45">
        <f t="shared" si="18"/>
        <v>0</v>
      </c>
      <c r="AI45" t="e">
        <f t="shared" si="18"/>
        <v>#DIV/0!</v>
      </c>
      <c r="AJ45" t="e">
        <f t="shared" si="18"/>
        <v>#DIV/0!</v>
      </c>
      <c r="AK45">
        <f t="shared" si="18"/>
        <v>6.6057330361742495E-2</v>
      </c>
      <c r="AL45">
        <f t="shared" si="18"/>
        <v>1.5038157555524815E-2</v>
      </c>
      <c r="AM45">
        <f t="shared" si="18"/>
        <v>2.0294028315144944E-3</v>
      </c>
      <c r="AN45">
        <f t="shared" si="18"/>
        <v>0</v>
      </c>
      <c r="AO45">
        <f t="shared" si="18"/>
        <v>0</v>
      </c>
      <c r="AP45">
        <f t="shared" si="18"/>
        <v>0</v>
      </c>
      <c r="AQ45">
        <f t="shared" si="18"/>
        <v>6.3070042833207659E-3</v>
      </c>
      <c r="AR45">
        <f t="shared" si="18"/>
        <v>5.6369620445103422E-3</v>
      </c>
      <c r="AS45">
        <f t="shared" si="18"/>
        <v>7.2475313446571273E-3</v>
      </c>
    </row>
    <row r="46" spans="1:49" x14ac:dyDescent="0.25">
      <c r="B46" t="s">
        <v>41</v>
      </c>
      <c r="C46">
        <v>0.25600000000000001</v>
      </c>
      <c r="D46">
        <f>(D6*$C6)/D$68*100</f>
        <v>0</v>
      </c>
      <c r="E46">
        <f t="shared" ref="E46:AS46" si="19">(E6*$C6)/E$68*100</f>
        <v>0</v>
      </c>
      <c r="F46">
        <f t="shared" si="19"/>
        <v>0</v>
      </c>
      <c r="G46">
        <f t="shared" si="19"/>
        <v>0</v>
      </c>
      <c r="H46">
        <f t="shared" si="19"/>
        <v>0</v>
      </c>
      <c r="I46">
        <f t="shared" si="19"/>
        <v>0</v>
      </c>
      <c r="J46">
        <f t="shared" si="19"/>
        <v>0</v>
      </c>
      <c r="K46">
        <f t="shared" si="19"/>
        <v>0</v>
      </c>
      <c r="L46">
        <f t="shared" si="19"/>
        <v>0</v>
      </c>
      <c r="M46">
        <f t="shared" si="19"/>
        <v>0</v>
      </c>
      <c r="N46">
        <f t="shared" si="19"/>
        <v>0</v>
      </c>
      <c r="O46">
        <f t="shared" si="19"/>
        <v>0</v>
      </c>
      <c r="P46" t="e">
        <f t="shared" si="19"/>
        <v>#DIV/0!</v>
      </c>
      <c r="Q46">
        <f t="shared" si="19"/>
        <v>0</v>
      </c>
      <c r="R46">
        <f t="shared" si="19"/>
        <v>0</v>
      </c>
      <c r="S46">
        <f t="shared" si="19"/>
        <v>4.8809853703663635E-2</v>
      </c>
      <c r="T46">
        <f t="shared" si="19"/>
        <v>6.6111096289354016E-3</v>
      </c>
      <c r="U46">
        <f t="shared" si="19"/>
        <v>0</v>
      </c>
      <c r="V46">
        <f t="shared" si="19"/>
        <v>0</v>
      </c>
      <c r="W46">
        <f t="shared" si="19"/>
        <v>0</v>
      </c>
      <c r="X46">
        <f t="shared" si="19"/>
        <v>0</v>
      </c>
      <c r="Y46" t="e">
        <f t="shared" si="19"/>
        <v>#DIV/0!</v>
      </c>
      <c r="Z46">
        <f t="shared" si="19"/>
        <v>0</v>
      </c>
      <c r="AA46">
        <f t="shared" si="19"/>
        <v>0</v>
      </c>
      <c r="AB46">
        <f t="shared" si="19"/>
        <v>0</v>
      </c>
      <c r="AC46">
        <f t="shared" si="19"/>
        <v>0</v>
      </c>
      <c r="AD46">
        <f t="shared" si="19"/>
        <v>0</v>
      </c>
      <c r="AE46">
        <f t="shared" si="19"/>
        <v>0</v>
      </c>
      <c r="AF46">
        <f t="shared" si="19"/>
        <v>0</v>
      </c>
      <c r="AG46">
        <f t="shared" si="19"/>
        <v>0</v>
      </c>
      <c r="AH46">
        <f t="shared" si="19"/>
        <v>0</v>
      </c>
      <c r="AI46" t="e">
        <f t="shared" si="19"/>
        <v>#DIV/0!</v>
      </c>
      <c r="AJ46" t="e">
        <f t="shared" si="19"/>
        <v>#DIV/0!</v>
      </c>
      <c r="AK46">
        <f t="shared" si="19"/>
        <v>7.2888586070053704E-2</v>
      </c>
      <c r="AL46">
        <f t="shared" si="19"/>
        <v>2.1810164710968416E-2</v>
      </c>
      <c r="AM46">
        <f t="shared" si="19"/>
        <v>4.2744861391417139E-3</v>
      </c>
      <c r="AN46">
        <f t="shared" si="19"/>
        <v>0</v>
      </c>
      <c r="AO46">
        <f t="shared" si="19"/>
        <v>0</v>
      </c>
      <c r="AP46">
        <f t="shared" si="19"/>
        <v>0</v>
      </c>
      <c r="AQ46">
        <f t="shared" si="19"/>
        <v>8.1139688419902111E-3</v>
      </c>
      <c r="AR46">
        <f t="shared" si="19"/>
        <v>6.6079953927794021E-3</v>
      </c>
      <c r="AS46">
        <f t="shared" si="19"/>
        <v>1.026014527831296E-2</v>
      </c>
    </row>
    <row r="47" spans="1:49" x14ac:dyDescent="0.25">
      <c r="A47" t="s">
        <v>69</v>
      </c>
      <c r="B47" t="s">
        <v>39</v>
      </c>
      <c r="C47">
        <v>9.0999999999999998E-2</v>
      </c>
      <c r="D47">
        <f>(D8*$C8)/D$66*100</f>
        <v>0</v>
      </c>
      <c r="E47">
        <f t="shared" ref="E47:AS47" si="20">(E8*$C8)/E$66*100</f>
        <v>0</v>
      </c>
      <c r="F47">
        <f t="shared" si="20"/>
        <v>0</v>
      </c>
      <c r="G47">
        <f t="shared" si="20"/>
        <v>0</v>
      </c>
      <c r="H47">
        <f t="shared" si="20"/>
        <v>2.4546500398940005E-2</v>
      </c>
      <c r="I47">
        <f t="shared" si="20"/>
        <v>0</v>
      </c>
      <c r="J47">
        <f t="shared" si="20"/>
        <v>0</v>
      </c>
      <c r="K47">
        <f t="shared" si="20"/>
        <v>0</v>
      </c>
      <c r="L47">
        <f t="shared" si="20"/>
        <v>0</v>
      </c>
      <c r="M47">
        <f t="shared" si="20"/>
        <v>0</v>
      </c>
      <c r="N47">
        <f t="shared" si="20"/>
        <v>0</v>
      </c>
      <c r="O47">
        <f t="shared" si="20"/>
        <v>0</v>
      </c>
      <c r="P47" t="e">
        <f t="shared" si="20"/>
        <v>#DIV/0!</v>
      </c>
      <c r="Q47">
        <f t="shared" si="20"/>
        <v>0</v>
      </c>
      <c r="R47">
        <f t="shared" si="20"/>
        <v>0</v>
      </c>
      <c r="S47">
        <f t="shared" si="20"/>
        <v>7.3446023785056335E-3</v>
      </c>
      <c r="T47">
        <f t="shared" si="20"/>
        <v>3.9579092693342848E-3</v>
      </c>
      <c r="U47">
        <f t="shared" si="20"/>
        <v>5.8744346560884123E-3</v>
      </c>
      <c r="V47">
        <f t="shared" si="20"/>
        <v>1.4790009180624109E-2</v>
      </c>
      <c r="W47">
        <f t="shared" si="20"/>
        <v>2.4559088124781015E-2</v>
      </c>
      <c r="X47">
        <f t="shared" si="20"/>
        <v>2.4442777072088653E-2</v>
      </c>
      <c r="Y47" t="e">
        <f t="shared" si="20"/>
        <v>#DIV/0!</v>
      </c>
      <c r="Z47">
        <f t="shared" si="20"/>
        <v>0</v>
      </c>
      <c r="AA47">
        <f t="shared" si="20"/>
        <v>0</v>
      </c>
      <c r="AB47">
        <f t="shared" si="20"/>
        <v>0</v>
      </c>
      <c r="AC47">
        <f t="shared" si="20"/>
        <v>0</v>
      </c>
      <c r="AD47">
        <f t="shared" si="20"/>
        <v>0</v>
      </c>
      <c r="AE47">
        <f t="shared" si="20"/>
        <v>0</v>
      </c>
      <c r="AF47">
        <f t="shared" si="20"/>
        <v>0</v>
      </c>
      <c r="AG47">
        <f t="shared" si="20"/>
        <v>0</v>
      </c>
      <c r="AH47">
        <f t="shared" si="20"/>
        <v>0</v>
      </c>
      <c r="AI47" t="e">
        <f t="shared" si="20"/>
        <v>#DIV/0!</v>
      </c>
      <c r="AJ47" t="e">
        <f t="shared" si="20"/>
        <v>#DIV/0!</v>
      </c>
      <c r="AK47">
        <f t="shared" si="20"/>
        <v>4.0342096614341492E-3</v>
      </c>
      <c r="AL47">
        <f t="shared" si="20"/>
        <v>1.5986138819161968E-3</v>
      </c>
      <c r="AM47">
        <f t="shared" si="20"/>
        <v>0</v>
      </c>
      <c r="AN47">
        <f t="shared" si="20"/>
        <v>0</v>
      </c>
      <c r="AO47">
        <f t="shared" si="20"/>
        <v>0</v>
      </c>
      <c r="AP47">
        <f t="shared" si="20"/>
        <v>0</v>
      </c>
      <c r="AQ47">
        <f t="shared" si="20"/>
        <v>3.463718413195226E-3</v>
      </c>
      <c r="AR47">
        <f t="shared" si="20"/>
        <v>5.4960483615087612E-3</v>
      </c>
      <c r="AS47">
        <f t="shared" si="20"/>
        <v>6.6840956684950247E-4</v>
      </c>
    </row>
    <row r="48" spans="1:49" x14ac:dyDescent="0.25">
      <c r="B48" t="s">
        <v>40</v>
      </c>
      <c r="C48">
        <v>7.9000000000000001E-2</v>
      </c>
      <c r="D48">
        <f>(D9*$C9)/D$67*100</f>
        <v>0</v>
      </c>
      <c r="E48">
        <f t="shared" ref="E48:AS48" si="21">(E9*$C9)/E$67*100</f>
        <v>0</v>
      </c>
      <c r="F48">
        <f t="shared" si="21"/>
        <v>0</v>
      </c>
      <c r="G48">
        <f t="shared" si="21"/>
        <v>0</v>
      </c>
      <c r="H48">
        <f t="shared" si="21"/>
        <v>9.5887151238272291E-3</v>
      </c>
      <c r="I48">
        <f t="shared" si="21"/>
        <v>0</v>
      </c>
      <c r="J48">
        <f t="shared" si="21"/>
        <v>0</v>
      </c>
      <c r="K48">
        <f t="shared" si="21"/>
        <v>0</v>
      </c>
      <c r="L48">
        <f t="shared" si="21"/>
        <v>0</v>
      </c>
      <c r="M48">
        <f t="shared" si="21"/>
        <v>0</v>
      </c>
      <c r="N48">
        <f t="shared" si="21"/>
        <v>0</v>
      </c>
      <c r="O48">
        <f t="shared" si="21"/>
        <v>0</v>
      </c>
      <c r="P48" t="e">
        <f t="shared" si="21"/>
        <v>#DIV/0!</v>
      </c>
      <c r="Q48">
        <f t="shared" si="21"/>
        <v>0</v>
      </c>
      <c r="R48">
        <f t="shared" si="21"/>
        <v>0</v>
      </c>
      <c r="S48">
        <f t="shared" si="21"/>
        <v>5.300681657483622E-3</v>
      </c>
      <c r="T48">
        <f t="shared" si="21"/>
        <v>2.9194579889474481E-3</v>
      </c>
      <c r="U48">
        <f t="shared" si="21"/>
        <v>1.5023220030415388E-3</v>
      </c>
      <c r="V48">
        <f t="shared" si="21"/>
        <v>4.4658561203257154E-3</v>
      </c>
      <c r="W48">
        <f t="shared" si="21"/>
        <v>8.8728425335242306E-3</v>
      </c>
      <c r="X48">
        <f t="shared" si="21"/>
        <v>0</v>
      </c>
      <c r="Y48" t="e">
        <f t="shared" si="21"/>
        <v>#DIV/0!</v>
      </c>
      <c r="Z48">
        <f t="shared" si="21"/>
        <v>0</v>
      </c>
      <c r="AA48">
        <f t="shared" si="21"/>
        <v>0</v>
      </c>
      <c r="AB48">
        <f t="shared" si="21"/>
        <v>0</v>
      </c>
      <c r="AC48">
        <f t="shared" si="21"/>
        <v>0</v>
      </c>
      <c r="AD48">
        <f t="shared" si="21"/>
        <v>0</v>
      </c>
      <c r="AE48">
        <f t="shared" si="21"/>
        <v>0</v>
      </c>
      <c r="AF48">
        <f t="shared" si="21"/>
        <v>0</v>
      </c>
      <c r="AG48">
        <f t="shared" si="21"/>
        <v>0</v>
      </c>
      <c r="AH48">
        <f t="shared" si="21"/>
        <v>0</v>
      </c>
      <c r="AI48" t="e">
        <f t="shared" si="21"/>
        <v>#DIV/0!</v>
      </c>
      <c r="AJ48" t="e">
        <f t="shared" si="21"/>
        <v>#DIV/0!</v>
      </c>
      <c r="AK48">
        <f t="shared" si="21"/>
        <v>0</v>
      </c>
      <c r="AL48">
        <f t="shared" si="21"/>
        <v>1.3354174915200681E-3</v>
      </c>
      <c r="AM48">
        <f t="shared" si="21"/>
        <v>0</v>
      </c>
      <c r="AN48">
        <f t="shared" si="21"/>
        <v>0</v>
      </c>
      <c r="AO48">
        <f t="shared" si="21"/>
        <v>0</v>
      </c>
      <c r="AP48">
        <f t="shared" si="21"/>
        <v>0</v>
      </c>
      <c r="AQ48">
        <f t="shared" si="21"/>
        <v>1.573419407515992E-3</v>
      </c>
      <c r="AR48">
        <f t="shared" si="21"/>
        <v>2.3725033266067987E-3</v>
      </c>
      <c r="AS48">
        <f t="shared" si="21"/>
        <v>4.5175870218804043E-4</v>
      </c>
    </row>
    <row r="49" spans="1:45" x14ac:dyDescent="0.25">
      <c r="B49" t="s">
        <v>41</v>
      </c>
      <c r="C49">
        <v>9.0999999999999998E-2</v>
      </c>
      <c r="D49">
        <f>(D10*$C10)/D$68*100</f>
        <v>0</v>
      </c>
      <c r="E49">
        <f t="shared" ref="E49:AS49" si="22">(E10*$C10)/E$68*100</f>
        <v>0</v>
      </c>
      <c r="F49">
        <f t="shared" si="22"/>
        <v>0</v>
      </c>
      <c r="G49">
        <f t="shared" si="22"/>
        <v>0</v>
      </c>
      <c r="H49">
        <f t="shared" si="22"/>
        <v>0</v>
      </c>
      <c r="I49">
        <f t="shared" si="22"/>
        <v>0</v>
      </c>
      <c r="J49">
        <f t="shared" si="22"/>
        <v>0</v>
      </c>
      <c r="K49">
        <f t="shared" si="22"/>
        <v>0</v>
      </c>
      <c r="L49">
        <f t="shared" si="22"/>
        <v>0</v>
      </c>
      <c r="M49">
        <f t="shared" si="22"/>
        <v>0</v>
      </c>
      <c r="N49">
        <f t="shared" si="22"/>
        <v>0</v>
      </c>
      <c r="O49">
        <f t="shared" si="22"/>
        <v>0</v>
      </c>
      <c r="P49" t="e">
        <f t="shared" si="22"/>
        <v>#DIV/0!</v>
      </c>
      <c r="Q49">
        <f t="shared" si="22"/>
        <v>0</v>
      </c>
      <c r="R49">
        <f t="shared" si="22"/>
        <v>0</v>
      </c>
      <c r="S49">
        <f t="shared" si="22"/>
        <v>9.2899660038838153E-3</v>
      </c>
      <c r="T49">
        <f t="shared" si="22"/>
        <v>3.3120487315465618E-3</v>
      </c>
      <c r="U49">
        <f t="shared" si="22"/>
        <v>2.1269980251059422E-3</v>
      </c>
      <c r="V49">
        <f t="shared" si="22"/>
        <v>5.6902684737677959E-3</v>
      </c>
      <c r="W49">
        <f t="shared" si="22"/>
        <v>1.132260963575389E-2</v>
      </c>
      <c r="X49">
        <f t="shared" si="22"/>
        <v>0</v>
      </c>
      <c r="Y49" t="e">
        <f t="shared" si="22"/>
        <v>#DIV/0!</v>
      </c>
      <c r="Z49">
        <f t="shared" si="22"/>
        <v>0</v>
      </c>
      <c r="AA49">
        <f t="shared" si="22"/>
        <v>0</v>
      </c>
      <c r="AB49">
        <f t="shared" si="22"/>
        <v>0</v>
      </c>
      <c r="AC49">
        <f t="shared" si="22"/>
        <v>0</v>
      </c>
      <c r="AD49">
        <f t="shared" si="22"/>
        <v>0</v>
      </c>
      <c r="AE49">
        <f t="shared" si="22"/>
        <v>0</v>
      </c>
      <c r="AF49">
        <f t="shared" si="22"/>
        <v>0</v>
      </c>
      <c r="AG49">
        <f t="shared" si="22"/>
        <v>0</v>
      </c>
      <c r="AH49">
        <f t="shared" si="22"/>
        <v>0</v>
      </c>
      <c r="AI49" t="e">
        <f t="shared" si="22"/>
        <v>#DIV/0!</v>
      </c>
      <c r="AJ49" t="e">
        <f t="shared" si="22"/>
        <v>#DIV/0!</v>
      </c>
      <c r="AK49">
        <f t="shared" si="22"/>
        <v>4.7441397730213705E-3</v>
      </c>
      <c r="AL49">
        <f t="shared" si="22"/>
        <v>1.8661684075148306E-3</v>
      </c>
      <c r="AM49">
        <f t="shared" si="22"/>
        <v>0</v>
      </c>
      <c r="AN49">
        <f t="shared" si="22"/>
        <v>0</v>
      </c>
      <c r="AO49">
        <f t="shared" si="22"/>
        <v>0</v>
      </c>
      <c r="AP49">
        <f t="shared" si="22"/>
        <v>0</v>
      </c>
      <c r="AQ49">
        <f t="shared" si="22"/>
        <v>1.6288275390258301E-3</v>
      </c>
      <c r="AR49">
        <f t="shared" si="22"/>
        <v>2.2418400356624775E-3</v>
      </c>
      <c r="AS49">
        <f t="shared" si="22"/>
        <v>7.5521786407279658E-4</v>
      </c>
    </row>
    <row r="50" spans="1:45" x14ac:dyDescent="0.25">
      <c r="A50" t="s">
        <v>70</v>
      </c>
      <c r="B50" t="s">
        <v>39</v>
      </c>
      <c r="C50">
        <v>0.75936999999999999</v>
      </c>
      <c r="D50">
        <f>(D12*$C12)/D$66*100</f>
        <v>0</v>
      </c>
      <c r="E50">
        <f t="shared" ref="E50:AS50" si="23">(E12*$C12)/E$66*100</f>
        <v>0</v>
      </c>
      <c r="F50">
        <f t="shared" si="23"/>
        <v>0</v>
      </c>
      <c r="G50">
        <f t="shared" si="23"/>
        <v>0</v>
      </c>
      <c r="H50">
        <f t="shared" si="23"/>
        <v>0</v>
      </c>
      <c r="I50">
        <f t="shared" si="23"/>
        <v>0</v>
      </c>
      <c r="J50">
        <f t="shared" si="23"/>
        <v>1.0993063770079354</v>
      </c>
      <c r="K50">
        <f t="shared" si="23"/>
        <v>0</v>
      </c>
      <c r="L50">
        <f t="shared" si="23"/>
        <v>0</v>
      </c>
      <c r="M50">
        <f t="shared" si="23"/>
        <v>0</v>
      </c>
      <c r="N50">
        <f t="shared" si="23"/>
        <v>0</v>
      </c>
      <c r="O50">
        <f t="shared" si="23"/>
        <v>0</v>
      </c>
      <c r="P50" t="e">
        <f t="shared" si="23"/>
        <v>#DIV/0!</v>
      </c>
      <c r="Q50">
        <f t="shared" si="23"/>
        <v>0</v>
      </c>
      <c r="R50">
        <f t="shared" si="23"/>
        <v>0</v>
      </c>
      <c r="S50">
        <f t="shared" si="23"/>
        <v>1.8140632058240851</v>
      </c>
      <c r="T50">
        <f t="shared" si="23"/>
        <v>0.42644544591275729</v>
      </c>
      <c r="U50">
        <f t="shared" si="23"/>
        <v>0.10369730323907954</v>
      </c>
      <c r="V50">
        <f t="shared" si="23"/>
        <v>0</v>
      </c>
      <c r="W50">
        <f t="shared" si="23"/>
        <v>0</v>
      </c>
      <c r="X50">
        <f t="shared" si="23"/>
        <v>0</v>
      </c>
      <c r="Y50" t="e">
        <f t="shared" si="23"/>
        <v>#DIV/0!</v>
      </c>
      <c r="Z50">
        <f t="shared" si="23"/>
        <v>0</v>
      </c>
      <c r="AA50">
        <f t="shared" si="23"/>
        <v>0</v>
      </c>
      <c r="AB50">
        <f t="shared" si="23"/>
        <v>0</v>
      </c>
      <c r="AC50">
        <f t="shared" si="23"/>
        <v>0</v>
      </c>
      <c r="AD50">
        <f t="shared" si="23"/>
        <v>0</v>
      </c>
      <c r="AE50">
        <f t="shared" si="23"/>
        <v>0</v>
      </c>
      <c r="AF50">
        <f t="shared" si="23"/>
        <v>0</v>
      </c>
      <c r="AG50">
        <f t="shared" si="23"/>
        <v>0</v>
      </c>
      <c r="AH50">
        <f t="shared" si="23"/>
        <v>0</v>
      </c>
      <c r="AI50" t="e">
        <f t="shared" si="23"/>
        <v>#DIV/0!</v>
      </c>
      <c r="AJ50" t="e">
        <f t="shared" si="23"/>
        <v>#DIV/0!</v>
      </c>
      <c r="AK50">
        <f t="shared" si="23"/>
        <v>3.0562855349082216</v>
      </c>
      <c r="AL50">
        <f t="shared" si="23"/>
        <v>1.0386489532490906</v>
      </c>
      <c r="AM50">
        <f t="shared" si="23"/>
        <v>0.26451622705489319</v>
      </c>
      <c r="AN50">
        <f t="shared" si="23"/>
        <v>1.4408971326634417E-2</v>
      </c>
      <c r="AO50">
        <f t="shared" si="23"/>
        <v>0</v>
      </c>
      <c r="AP50">
        <f t="shared" si="23"/>
        <v>0</v>
      </c>
      <c r="AQ50">
        <f t="shared" si="23"/>
        <v>0.38764144368828873</v>
      </c>
      <c r="AR50">
        <f t="shared" si="23"/>
        <v>0.29903021284820513</v>
      </c>
      <c r="AS50">
        <f t="shared" si="23"/>
        <v>0.50951917208490638</v>
      </c>
    </row>
    <row r="51" spans="1:45" x14ac:dyDescent="0.25">
      <c r="B51" t="s">
        <v>40</v>
      </c>
      <c r="C51">
        <v>0.66339999999999999</v>
      </c>
      <c r="D51">
        <f>(D13*$C13)/D$67*100</f>
        <v>0</v>
      </c>
      <c r="E51">
        <f t="shared" ref="E51:AS51" si="24">(E13*$C13)/E$67*100</f>
        <v>0</v>
      </c>
      <c r="F51">
        <f t="shared" si="24"/>
        <v>0</v>
      </c>
      <c r="G51">
        <f t="shared" si="24"/>
        <v>0</v>
      </c>
      <c r="H51">
        <f t="shared" si="24"/>
        <v>0</v>
      </c>
      <c r="I51">
        <f t="shared" si="24"/>
        <v>0</v>
      </c>
      <c r="J51">
        <f t="shared" si="24"/>
        <v>0.70883592527472938</v>
      </c>
      <c r="K51">
        <f t="shared" si="24"/>
        <v>0</v>
      </c>
      <c r="L51">
        <f t="shared" si="24"/>
        <v>0</v>
      </c>
      <c r="M51">
        <f t="shared" si="24"/>
        <v>0</v>
      </c>
      <c r="N51">
        <f t="shared" si="24"/>
        <v>0</v>
      </c>
      <c r="O51">
        <f t="shared" si="24"/>
        <v>0</v>
      </c>
      <c r="P51" t="e">
        <f t="shared" si="24"/>
        <v>#DIV/0!</v>
      </c>
      <c r="Q51">
        <f t="shared" si="24"/>
        <v>0</v>
      </c>
      <c r="R51">
        <f t="shared" si="24"/>
        <v>0</v>
      </c>
      <c r="S51">
        <f t="shared" si="24"/>
        <v>1.2635751515662221</v>
      </c>
      <c r="T51">
        <f t="shared" si="24"/>
        <v>0.28329664796940174</v>
      </c>
      <c r="U51">
        <f t="shared" si="24"/>
        <v>3.8756344182330378E-2</v>
      </c>
      <c r="V51">
        <f t="shared" si="24"/>
        <v>0</v>
      </c>
      <c r="W51">
        <f t="shared" si="24"/>
        <v>0</v>
      </c>
      <c r="X51">
        <f t="shared" si="24"/>
        <v>0</v>
      </c>
      <c r="Y51" t="e">
        <f t="shared" si="24"/>
        <v>#DIV/0!</v>
      </c>
      <c r="Z51">
        <f t="shared" si="24"/>
        <v>0</v>
      </c>
      <c r="AA51">
        <f t="shared" si="24"/>
        <v>0</v>
      </c>
      <c r="AB51">
        <f t="shared" si="24"/>
        <v>0</v>
      </c>
      <c r="AC51">
        <f t="shared" si="24"/>
        <v>0</v>
      </c>
      <c r="AD51">
        <f t="shared" si="24"/>
        <v>0</v>
      </c>
      <c r="AE51">
        <f t="shared" si="24"/>
        <v>0</v>
      </c>
      <c r="AF51">
        <f t="shared" si="24"/>
        <v>0</v>
      </c>
      <c r="AG51">
        <f t="shared" si="24"/>
        <v>0</v>
      </c>
      <c r="AH51">
        <f t="shared" si="24"/>
        <v>0</v>
      </c>
      <c r="AI51" t="e">
        <f t="shared" si="24"/>
        <v>#DIV/0!</v>
      </c>
      <c r="AJ51" t="e">
        <f t="shared" si="24"/>
        <v>#DIV/0!</v>
      </c>
      <c r="AK51">
        <f t="shared" si="24"/>
        <v>2.0327423371664022</v>
      </c>
      <c r="AL51">
        <f t="shared" si="24"/>
        <v>0.72868161318517122</v>
      </c>
      <c r="AM51">
        <f t="shared" si="24"/>
        <v>0.1608431166276976</v>
      </c>
      <c r="AN51">
        <f t="shared" si="24"/>
        <v>6.2980480421409545E-3</v>
      </c>
      <c r="AO51">
        <f t="shared" si="24"/>
        <v>0</v>
      </c>
      <c r="AP51">
        <f t="shared" si="24"/>
        <v>0</v>
      </c>
      <c r="AQ51">
        <f>(AQ13*$C13)/AQ$67*100</f>
        <v>0.25362520085356122</v>
      </c>
      <c r="AR51">
        <f t="shared" si="24"/>
        <v>0.19455364851304829</v>
      </c>
      <c r="AS51">
        <f t="shared" si="24"/>
        <v>0.33654294888991887</v>
      </c>
    </row>
    <row r="52" spans="1:45" x14ac:dyDescent="0.25">
      <c r="B52" t="s">
        <v>41</v>
      </c>
      <c r="C52">
        <v>0.56430000000000002</v>
      </c>
      <c r="D52">
        <f>(D14*$C14)/D$68*100</f>
        <v>0</v>
      </c>
      <c r="E52">
        <f t="shared" ref="E52:AS52" si="25">(E14*$C14)/E$68*100</f>
        <v>0</v>
      </c>
      <c r="F52">
        <f t="shared" si="25"/>
        <v>0</v>
      </c>
      <c r="G52">
        <f t="shared" si="25"/>
        <v>0</v>
      </c>
      <c r="H52">
        <f t="shared" si="25"/>
        <v>0</v>
      </c>
      <c r="I52">
        <f t="shared" si="25"/>
        <v>0</v>
      </c>
      <c r="J52">
        <f t="shared" si="25"/>
        <v>0</v>
      </c>
      <c r="K52">
        <f t="shared" si="25"/>
        <v>0</v>
      </c>
      <c r="L52">
        <f t="shared" si="25"/>
        <v>0</v>
      </c>
      <c r="M52">
        <f t="shared" si="25"/>
        <v>0</v>
      </c>
      <c r="N52">
        <f t="shared" si="25"/>
        <v>0</v>
      </c>
      <c r="O52">
        <f t="shared" si="25"/>
        <v>0</v>
      </c>
      <c r="P52" t="e">
        <f t="shared" si="25"/>
        <v>#DIV/0!</v>
      </c>
      <c r="Q52">
        <f t="shared" si="25"/>
        <v>0</v>
      </c>
      <c r="R52">
        <f t="shared" si="25"/>
        <v>0</v>
      </c>
      <c r="S52">
        <f t="shared" si="25"/>
        <v>1.1521599595586014</v>
      </c>
      <c r="T52">
        <f t="shared" si="25"/>
        <v>0.20027013739216423</v>
      </c>
      <c r="U52">
        <f t="shared" si="25"/>
        <v>2.1052830473813299E-2</v>
      </c>
      <c r="V52">
        <f t="shared" si="25"/>
        <v>0</v>
      </c>
      <c r="W52">
        <f t="shared" si="25"/>
        <v>0</v>
      </c>
      <c r="X52">
        <f t="shared" si="25"/>
        <v>0</v>
      </c>
      <c r="Y52" t="e">
        <f t="shared" si="25"/>
        <v>#DIV/0!</v>
      </c>
      <c r="Z52">
        <f t="shared" si="25"/>
        <v>0</v>
      </c>
      <c r="AA52">
        <f t="shared" si="25"/>
        <v>0</v>
      </c>
      <c r="AB52">
        <f t="shared" si="25"/>
        <v>0</v>
      </c>
      <c r="AC52">
        <f t="shared" si="25"/>
        <v>0</v>
      </c>
      <c r="AD52">
        <f t="shared" si="25"/>
        <v>0</v>
      </c>
      <c r="AE52">
        <f t="shared" si="25"/>
        <v>0</v>
      </c>
      <c r="AF52">
        <f t="shared" si="25"/>
        <v>0</v>
      </c>
      <c r="AG52">
        <f t="shared" si="25"/>
        <v>0</v>
      </c>
      <c r="AH52">
        <f t="shared" si="25"/>
        <v>0</v>
      </c>
      <c r="AI52" t="e">
        <f t="shared" si="25"/>
        <v>#DIV/0!</v>
      </c>
      <c r="AJ52" t="e">
        <f t="shared" si="25"/>
        <v>#DIV/0!</v>
      </c>
      <c r="AK52">
        <f t="shared" si="25"/>
        <v>1.5623585953194274</v>
      </c>
      <c r="AL52">
        <f t="shared" si="25"/>
        <v>0.57436022288576105</v>
      </c>
      <c r="AM52">
        <f t="shared" si="25"/>
        <v>9.359421529149288E-2</v>
      </c>
      <c r="AN52">
        <f t="shared" si="25"/>
        <v>0</v>
      </c>
      <c r="AO52">
        <f t="shared" si="25"/>
        <v>0</v>
      </c>
      <c r="AP52">
        <f t="shared" si="25"/>
        <v>0</v>
      </c>
      <c r="AQ52">
        <f t="shared" si="25"/>
        <v>0.20300240745425782</v>
      </c>
      <c r="AR52">
        <f t="shared" si="25"/>
        <v>0.16542145837683178</v>
      </c>
      <c r="AS52">
        <f t="shared" si="25"/>
        <v>0.25655935920987055</v>
      </c>
    </row>
    <row r="53" spans="1:45" x14ac:dyDescent="0.25">
      <c r="A53" t="s">
        <v>71</v>
      </c>
      <c r="B53" t="s">
        <v>39</v>
      </c>
      <c r="C53">
        <v>0.36299999999999999</v>
      </c>
      <c r="D53">
        <f>(D16*$C16)/D$66*100</f>
        <v>0</v>
      </c>
      <c r="E53">
        <f t="shared" ref="E53:AS53" si="26">(E16*$C16)/E$66*100</f>
        <v>0</v>
      </c>
      <c r="F53">
        <f t="shared" si="26"/>
        <v>0</v>
      </c>
      <c r="G53">
        <f t="shared" si="26"/>
        <v>0</v>
      </c>
      <c r="H53">
        <f t="shared" si="26"/>
        <v>0</v>
      </c>
      <c r="I53">
        <f t="shared" si="26"/>
        <v>0</v>
      </c>
      <c r="J53">
        <f t="shared" si="26"/>
        <v>0</v>
      </c>
      <c r="K53">
        <f t="shared" si="26"/>
        <v>0</v>
      </c>
      <c r="L53">
        <f t="shared" si="26"/>
        <v>0</v>
      </c>
      <c r="M53">
        <f t="shared" si="26"/>
        <v>0</v>
      </c>
      <c r="N53">
        <f t="shared" si="26"/>
        <v>0</v>
      </c>
      <c r="O53">
        <f t="shared" si="26"/>
        <v>0</v>
      </c>
      <c r="P53" t="e">
        <f t="shared" si="26"/>
        <v>#DIV/0!</v>
      </c>
      <c r="Q53">
        <f t="shared" si="26"/>
        <v>0</v>
      </c>
      <c r="R53">
        <f t="shared" si="26"/>
        <v>0</v>
      </c>
      <c r="S53">
        <f t="shared" si="26"/>
        <v>0.12052230938215225</v>
      </c>
      <c r="T53">
        <f t="shared" si="26"/>
        <v>3.4269558687751743E-2</v>
      </c>
      <c r="U53">
        <f t="shared" si="26"/>
        <v>9.6736991999373089E-3</v>
      </c>
      <c r="V53">
        <f t="shared" si="26"/>
        <v>0</v>
      </c>
      <c r="W53">
        <f t="shared" si="26"/>
        <v>0</v>
      </c>
      <c r="X53">
        <f t="shared" si="26"/>
        <v>0</v>
      </c>
      <c r="Y53" t="e">
        <f t="shared" si="26"/>
        <v>#DIV/0!</v>
      </c>
      <c r="Z53">
        <f t="shared" si="26"/>
        <v>0</v>
      </c>
      <c r="AA53">
        <f t="shared" si="26"/>
        <v>0</v>
      </c>
      <c r="AB53">
        <f t="shared" si="26"/>
        <v>0</v>
      </c>
      <c r="AC53">
        <f t="shared" si="26"/>
        <v>0</v>
      </c>
      <c r="AD53">
        <f t="shared" si="26"/>
        <v>0</v>
      </c>
      <c r="AE53">
        <f t="shared" si="26"/>
        <v>0</v>
      </c>
      <c r="AF53">
        <f t="shared" si="26"/>
        <v>0</v>
      </c>
      <c r="AG53">
        <f t="shared" si="26"/>
        <v>0</v>
      </c>
      <c r="AH53">
        <f t="shared" si="26"/>
        <v>0</v>
      </c>
      <c r="AI53" t="e">
        <f t="shared" si="26"/>
        <v>#DIV/0!</v>
      </c>
      <c r="AJ53" t="e">
        <f t="shared" si="26"/>
        <v>#DIV/0!</v>
      </c>
      <c r="AK53">
        <f t="shared" si="26"/>
        <v>0.13837702473710048</v>
      </c>
      <c r="AL53">
        <f t="shared" si="26"/>
        <v>4.5885358919523951E-2</v>
      </c>
      <c r="AM53">
        <f t="shared" si="26"/>
        <v>9.5101729964024301E-3</v>
      </c>
      <c r="AN53">
        <f t="shared" si="26"/>
        <v>0</v>
      </c>
      <c r="AO53">
        <f t="shared" si="26"/>
        <v>0</v>
      </c>
      <c r="AP53">
        <f t="shared" si="26"/>
        <v>0</v>
      </c>
      <c r="AQ53">
        <f t="shared" si="26"/>
        <v>2.1486718012388547E-2</v>
      </c>
      <c r="AR53">
        <f t="shared" si="26"/>
        <v>2.1119226767708575E-2</v>
      </c>
      <c r="AS53">
        <f t="shared" si="26"/>
        <v>2.1992173107443839E-2</v>
      </c>
    </row>
    <row r="54" spans="1:45" x14ac:dyDescent="0.25">
      <c r="B54" t="s">
        <v>40</v>
      </c>
      <c r="C54">
        <v>0.29399999999999998</v>
      </c>
      <c r="D54">
        <f>(D17*$C17)/D$67*100</f>
        <v>0</v>
      </c>
      <c r="E54">
        <f t="shared" ref="E54:AS54" si="27">(E17*$C17)/E$67*100</f>
        <v>0</v>
      </c>
      <c r="F54">
        <f t="shared" si="27"/>
        <v>0</v>
      </c>
      <c r="G54">
        <f t="shared" si="27"/>
        <v>0</v>
      </c>
      <c r="H54">
        <f t="shared" si="27"/>
        <v>0</v>
      </c>
      <c r="I54">
        <f t="shared" si="27"/>
        <v>0</v>
      </c>
      <c r="J54">
        <f t="shared" si="27"/>
        <v>0</v>
      </c>
      <c r="K54">
        <f t="shared" si="27"/>
        <v>0</v>
      </c>
      <c r="L54">
        <f t="shared" si="27"/>
        <v>0</v>
      </c>
      <c r="M54">
        <f t="shared" si="27"/>
        <v>0</v>
      </c>
      <c r="N54">
        <f t="shared" si="27"/>
        <v>0</v>
      </c>
      <c r="O54">
        <f t="shared" si="27"/>
        <v>0</v>
      </c>
      <c r="P54" t="e">
        <f t="shared" si="27"/>
        <v>#DIV/0!</v>
      </c>
      <c r="Q54">
        <f t="shared" si="27"/>
        <v>0</v>
      </c>
      <c r="R54">
        <f t="shared" si="27"/>
        <v>0</v>
      </c>
      <c r="S54">
        <f t="shared" si="27"/>
        <v>7.6360983616178921E-2</v>
      </c>
      <c r="T54">
        <f t="shared" si="27"/>
        <v>1.9355472669902216E-2</v>
      </c>
      <c r="U54">
        <f t="shared" si="27"/>
        <v>3.7776485536624386E-3</v>
      </c>
      <c r="V54">
        <f t="shared" si="27"/>
        <v>0</v>
      </c>
      <c r="W54">
        <f t="shared" si="27"/>
        <v>0</v>
      </c>
      <c r="X54">
        <f t="shared" si="27"/>
        <v>0</v>
      </c>
      <c r="Y54" t="e">
        <f t="shared" si="27"/>
        <v>#DIV/0!</v>
      </c>
      <c r="Z54">
        <f t="shared" si="27"/>
        <v>0</v>
      </c>
      <c r="AA54">
        <f t="shared" si="27"/>
        <v>0</v>
      </c>
      <c r="AB54">
        <f t="shared" si="27"/>
        <v>0</v>
      </c>
      <c r="AC54">
        <f t="shared" si="27"/>
        <v>0</v>
      </c>
      <c r="AD54">
        <f t="shared" si="27"/>
        <v>0</v>
      </c>
      <c r="AE54">
        <f t="shared" si="27"/>
        <v>0</v>
      </c>
      <c r="AF54">
        <f t="shared" si="27"/>
        <v>0</v>
      </c>
      <c r="AG54">
        <f t="shared" si="27"/>
        <v>0</v>
      </c>
      <c r="AH54">
        <f t="shared" si="27"/>
        <v>0</v>
      </c>
      <c r="AI54" t="e">
        <f t="shared" si="27"/>
        <v>#DIV/0!</v>
      </c>
      <c r="AJ54" t="e">
        <f t="shared" si="27"/>
        <v>#DIV/0!</v>
      </c>
      <c r="AK54">
        <f t="shared" si="27"/>
        <v>7.6821253914711687E-2</v>
      </c>
      <c r="AL54">
        <f t="shared" si="27"/>
        <v>2.7889491402776106E-2</v>
      </c>
      <c r="AM54">
        <f t="shared" si="27"/>
        <v>4.4938079602041842E-3</v>
      </c>
      <c r="AN54">
        <f t="shared" si="27"/>
        <v>0</v>
      </c>
      <c r="AO54">
        <f t="shared" si="27"/>
        <v>0</v>
      </c>
      <c r="AP54">
        <f t="shared" si="27"/>
        <v>0</v>
      </c>
      <c r="AQ54">
        <f t="shared" si="27"/>
        <v>1.234789308871217E-2</v>
      </c>
      <c r="AR54">
        <f t="shared" si="27"/>
        <v>1.2285540396943153E-2</v>
      </c>
      <c r="AS54">
        <f t="shared" si="27"/>
        <v>1.2435416517175484E-2</v>
      </c>
    </row>
    <row r="55" spans="1:45" x14ac:dyDescent="0.25">
      <c r="B55" t="s">
        <v>41</v>
      </c>
      <c r="C55">
        <v>0.27600000000000002</v>
      </c>
      <c r="D55">
        <f>(D18*$C18)/D$68*100</f>
        <v>0</v>
      </c>
      <c r="E55">
        <f t="shared" ref="E55:AS55" si="28">(E18*$C18)/E$68*100</f>
        <v>0</v>
      </c>
      <c r="F55">
        <f t="shared" si="28"/>
        <v>0</v>
      </c>
      <c r="G55">
        <f t="shared" si="28"/>
        <v>0</v>
      </c>
      <c r="H55">
        <f t="shared" si="28"/>
        <v>0</v>
      </c>
      <c r="I55">
        <f t="shared" si="28"/>
        <v>0</v>
      </c>
      <c r="J55">
        <f t="shared" si="28"/>
        <v>0</v>
      </c>
      <c r="K55">
        <f t="shared" si="28"/>
        <v>0</v>
      </c>
      <c r="L55">
        <f t="shared" si="28"/>
        <v>0</v>
      </c>
      <c r="M55">
        <f t="shared" si="28"/>
        <v>0</v>
      </c>
      <c r="N55">
        <f t="shared" si="28"/>
        <v>0</v>
      </c>
      <c r="O55">
        <f t="shared" si="28"/>
        <v>0</v>
      </c>
      <c r="P55" t="e">
        <f t="shared" si="28"/>
        <v>#DIV/0!</v>
      </c>
      <c r="Q55">
        <f t="shared" si="28"/>
        <v>0</v>
      </c>
      <c r="R55">
        <f t="shared" si="28"/>
        <v>0</v>
      </c>
      <c r="S55">
        <f t="shared" si="28"/>
        <v>1.1187593190197511E-2</v>
      </c>
      <c r="T55">
        <f t="shared" si="28"/>
        <v>1.6422663228457406E-2</v>
      </c>
      <c r="U55">
        <f t="shared" si="28"/>
        <v>1.9700712392807132E-3</v>
      </c>
      <c r="V55">
        <f t="shared" si="28"/>
        <v>0</v>
      </c>
      <c r="W55">
        <f t="shared" si="28"/>
        <v>0</v>
      </c>
      <c r="X55">
        <f t="shared" si="28"/>
        <v>0</v>
      </c>
      <c r="Y55" t="e">
        <f t="shared" si="28"/>
        <v>#DIV/0!</v>
      </c>
      <c r="Z55">
        <f t="shared" si="28"/>
        <v>0</v>
      </c>
      <c r="AA55">
        <f t="shared" si="28"/>
        <v>0</v>
      </c>
      <c r="AB55">
        <f t="shared" si="28"/>
        <v>0</v>
      </c>
      <c r="AC55">
        <f t="shared" si="28"/>
        <v>0</v>
      </c>
      <c r="AD55">
        <f t="shared" si="28"/>
        <v>0</v>
      </c>
      <c r="AE55">
        <f t="shared" si="28"/>
        <v>0</v>
      </c>
      <c r="AF55">
        <f t="shared" si="28"/>
        <v>0</v>
      </c>
      <c r="AG55">
        <f t="shared" si="28"/>
        <v>0</v>
      </c>
      <c r="AH55">
        <f t="shared" si="28"/>
        <v>0</v>
      </c>
      <c r="AI55" t="e">
        <f t="shared" si="28"/>
        <v>#DIV/0!</v>
      </c>
      <c r="AJ55" t="e">
        <f t="shared" si="28"/>
        <v>#DIV/0!</v>
      </c>
      <c r="AK55">
        <f t="shared" si="28"/>
        <v>8.8609114628158514E-2</v>
      </c>
      <c r="AL55">
        <f t="shared" si="28"/>
        <v>3.2461921038283187E-2</v>
      </c>
      <c r="AM55">
        <f t="shared" si="28"/>
        <v>4.8849361908878891E-3</v>
      </c>
      <c r="AN55">
        <f t="shared" si="28"/>
        <v>0</v>
      </c>
      <c r="AO55">
        <f t="shared" si="28"/>
        <v>0</v>
      </c>
      <c r="AP55">
        <f t="shared" si="28"/>
        <v>0</v>
      </c>
      <c r="AQ55">
        <f t="shared" si="28"/>
        <v>8.10405712108455E-3</v>
      </c>
      <c r="AR55">
        <f t="shared" si="28"/>
        <v>3.6753391793292673E-3</v>
      </c>
      <c r="AS55">
        <f t="shared" si="28"/>
        <v>1.4415463271502327E-2</v>
      </c>
    </row>
    <row r="56" spans="1:45" x14ac:dyDescent="0.25">
      <c r="A56" t="s">
        <v>72</v>
      </c>
      <c r="B56" t="s">
        <v>39</v>
      </c>
      <c r="C56">
        <v>8.8950000000000001E-2</v>
      </c>
      <c r="D56">
        <f>(D20*$C20)/D$66*100</f>
        <v>0</v>
      </c>
      <c r="E56">
        <f t="shared" ref="E56:AS56" si="29">(E20*$C20)/E$66*100</f>
        <v>0</v>
      </c>
      <c r="F56">
        <f t="shared" si="29"/>
        <v>0</v>
      </c>
      <c r="G56">
        <f t="shared" si="29"/>
        <v>0</v>
      </c>
      <c r="H56">
        <f t="shared" si="29"/>
        <v>0</v>
      </c>
      <c r="I56">
        <f t="shared" si="29"/>
        <v>0</v>
      </c>
      <c r="J56">
        <f t="shared" si="29"/>
        <v>0</v>
      </c>
      <c r="K56">
        <f t="shared" si="29"/>
        <v>0</v>
      </c>
      <c r="L56">
        <f t="shared" si="29"/>
        <v>0</v>
      </c>
      <c r="M56">
        <f t="shared" si="29"/>
        <v>0</v>
      </c>
      <c r="N56">
        <f t="shared" si="29"/>
        <v>0</v>
      </c>
      <c r="O56">
        <f t="shared" si="29"/>
        <v>0</v>
      </c>
      <c r="P56" t="e">
        <f t="shared" si="29"/>
        <v>#DIV/0!</v>
      </c>
      <c r="Q56">
        <f t="shared" si="29"/>
        <v>0</v>
      </c>
      <c r="R56">
        <f t="shared" si="29"/>
        <v>0</v>
      </c>
      <c r="S56">
        <f t="shared" si="29"/>
        <v>1.3205788888325255E-2</v>
      </c>
      <c r="T56">
        <f t="shared" si="29"/>
        <v>4.1532143106062991E-3</v>
      </c>
      <c r="U56">
        <f t="shared" si="29"/>
        <v>1.1557813628835321E-3</v>
      </c>
      <c r="V56">
        <f t="shared" si="29"/>
        <v>0</v>
      </c>
      <c r="W56">
        <f t="shared" si="29"/>
        <v>0</v>
      </c>
      <c r="X56">
        <f t="shared" si="29"/>
        <v>0</v>
      </c>
      <c r="Y56" t="e">
        <f t="shared" si="29"/>
        <v>#DIV/0!</v>
      </c>
      <c r="Z56">
        <f t="shared" si="29"/>
        <v>0</v>
      </c>
      <c r="AA56">
        <f t="shared" si="29"/>
        <v>0</v>
      </c>
      <c r="AB56">
        <f t="shared" si="29"/>
        <v>0</v>
      </c>
      <c r="AC56">
        <f t="shared" si="29"/>
        <v>0</v>
      </c>
      <c r="AD56">
        <f t="shared" si="29"/>
        <v>0</v>
      </c>
      <c r="AE56">
        <f t="shared" si="29"/>
        <v>0</v>
      </c>
      <c r="AF56">
        <f t="shared" si="29"/>
        <v>0</v>
      </c>
      <c r="AG56">
        <f t="shared" si="29"/>
        <v>0</v>
      </c>
      <c r="AH56">
        <f t="shared" si="29"/>
        <v>0</v>
      </c>
      <c r="AI56" t="e">
        <f t="shared" si="29"/>
        <v>#DIV/0!</v>
      </c>
      <c r="AJ56" t="e">
        <f t="shared" si="29"/>
        <v>#DIV/0!</v>
      </c>
      <c r="AK56">
        <f t="shared" si="29"/>
        <v>9.4609623659216088E-3</v>
      </c>
      <c r="AL56">
        <f t="shared" si="29"/>
        <v>3.3212482041584993E-3</v>
      </c>
      <c r="AM56">
        <f t="shared" si="29"/>
        <v>6.3452815034699102E-4</v>
      </c>
      <c r="AN56">
        <f t="shared" si="29"/>
        <v>0</v>
      </c>
      <c r="AO56">
        <f t="shared" si="29"/>
        <v>0</v>
      </c>
      <c r="AP56">
        <f t="shared" si="29"/>
        <v>0</v>
      </c>
      <c r="AQ56">
        <f t="shared" si="29"/>
        <v>2.0393987114233707E-3</v>
      </c>
      <c r="AR56">
        <f t="shared" si="29"/>
        <v>2.3846548400654373E-3</v>
      </c>
      <c r="AS56">
        <f t="shared" si="29"/>
        <v>1.5645262570519241E-3</v>
      </c>
    </row>
    <row r="57" spans="1:45" x14ac:dyDescent="0.25">
      <c r="B57" t="s">
        <v>40</v>
      </c>
      <c r="C57">
        <v>4.9700000000000001E-2</v>
      </c>
      <c r="D57">
        <f>(D21*$C21)/D$67*100</f>
        <v>0</v>
      </c>
      <c r="E57">
        <f t="shared" ref="E57:AS57" si="30">(E21*$C21)/E$67*100</f>
        <v>0</v>
      </c>
      <c r="F57">
        <f t="shared" si="30"/>
        <v>0</v>
      </c>
      <c r="G57">
        <f t="shared" si="30"/>
        <v>0</v>
      </c>
      <c r="H57">
        <f t="shared" si="30"/>
        <v>0</v>
      </c>
      <c r="I57">
        <f t="shared" si="30"/>
        <v>0</v>
      </c>
      <c r="J57">
        <f t="shared" si="30"/>
        <v>0</v>
      </c>
      <c r="K57">
        <f t="shared" si="30"/>
        <v>0</v>
      </c>
      <c r="L57">
        <f t="shared" si="30"/>
        <v>0</v>
      </c>
      <c r="M57">
        <f t="shared" si="30"/>
        <v>0</v>
      </c>
      <c r="N57">
        <f t="shared" si="30"/>
        <v>0</v>
      </c>
      <c r="O57">
        <f t="shared" si="30"/>
        <v>0</v>
      </c>
      <c r="P57" t="e">
        <f t="shared" si="30"/>
        <v>#DIV/0!</v>
      </c>
      <c r="Q57">
        <f t="shared" si="30"/>
        <v>0</v>
      </c>
      <c r="R57">
        <f t="shared" si="30"/>
        <v>0</v>
      </c>
      <c r="S57">
        <f t="shared" si="30"/>
        <v>6.8344090402400973E-3</v>
      </c>
      <c r="T57">
        <f t="shared" si="30"/>
        <v>1.8230666961830488E-3</v>
      </c>
      <c r="U57">
        <f t="shared" si="30"/>
        <v>3.7762694121269751E-4</v>
      </c>
      <c r="V57">
        <f t="shared" si="30"/>
        <v>0</v>
      </c>
      <c r="W57">
        <f t="shared" si="30"/>
        <v>0</v>
      </c>
      <c r="X57">
        <f t="shared" si="30"/>
        <v>0</v>
      </c>
      <c r="Y57" t="e">
        <f t="shared" si="30"/>
        <v>#DIV/0!</v>
      </c>
      <c r="Z57">
        <f t="shared" si="30"/>
        <v>0</v>
      </c>
      <c r="AA57">
        <f t="shared" si="30"/>
        <v>0</v>
      </c>
      <c r="AB57">
        <f t="shared" si="30"/>
        <v>0</v>
      </c>
      <c r="AC57">
        <f t="shared" si="30"/>
        <v>0</v>
      </c>
      <c r="AD57">
        <f t="shared" si="30"/>
        <v>0</v>
      </c>
      <c r="AE57">
        <f t="shared" si="30"/>
        <v>0</v>
      </c>
      <c r="AF57">
        <f t="shared" si="30"/>
        <v>0</v>
      </c>
      <c r="AG57">
        <f t="shared" si="30"/>
        <v>0</v>
      </c>
      <c r="AH57">
        <f t="shared" si="30"/>
        <v>0</v>
      </c>
      <c r="AI57" t="e">
        <f t="shared" si="30"/>
        <v>#DIV/0!</v>
      </c>
      <c r="AJ57" t="e">
        <f t="shared" si="30"/>
        <v>#DIV/0!</v>
      </c>
      <c r="AK57">
        <f t="shared" si="30"/>
        <v>4.4238015154705983E-3</v>
      </c>
      <c r="AL57">
        <f t="shared" si="30"/>
        <v>1.9213093594014142E-3</v>
      </c>
      <c r="AM57">
        <f t="shared" si="30"/>
        <v>0</v>
      </c>
      <c r="AN57">
        <f t="shared" si="30"/>
        <v>0</v>
      </c>
      <c r="AO57">
        <f t="shared" si="30"/>
        <v>0</v>
      </c>
      <c r="AP57">
        <f t="shared" si="30"/>
        <v>0</v>
      </c>
      <c r="AQ57">
        <f t="shared" si="30"/>
        <v>9.7105166886251757E-4</v>
      </c>
      <c r="AR57">
        <f t="shared" si="30"/>
        <v>1.1188972109353666E-3</v>
      </c>
      <c r="AS57">
        <f t="shared" si="30"/>
        <v>7.6352335920799701E-4</v>
      </c>
    </row>
    <row r="58" spans="1:45" x14ac:dyDescent="0.25">
      <c r="B58" t="s">
        <v>41</v>
      </c>
      <c r="C58">
        <v>6.9599999999999995E-2</v>
      </c>
      <c r="D58">
        <f>(D22*$C22)/D$68*100</f>
        <v>0</v>
      </c>
      <c r="E58">
        <f t="shared" ref="E58:AS58" si="31">(E22*$C22)/E$68*100</f>
        <v>0</v>
      </c>
      <c r="F58">
        <f t="shared" si="31"/>
        <v>0</v>
      </c>
      <c r="G58">
        <f t="shared" si="31"/>
        <v>0</v>
      </c>
      <c r="H58">
        <f t="shared" si="31"/>
        <v>0</v>
      </c>
      <c r="I58">
        <f t="shared" si="31"/>
        <v>0</v>
      </c>
      <c r="J58">
        <f t="shared" si="31"/>
        <v>0</v>
      </c>
      <c r="K58">
        <f t="shared" si="31"/>
        <v>0</v>
      </c>
      <c r="L58">
        <f t="shared" si="31"/>
        <v>0</v>
      </c>
      <c r="M58">
        <f t="shared" si="31"/>
        <v>0</v>
      </c>
      <c r="N58">
        <f t="shared" si="31"/>
        <v>0</v>
      </c>
      <c r="O58">
        <f t="shared" si="31"/>
        <v>0</v>
      </c>
      <c r="P58" t="e">
        <f t="shared" si="31"/>
        <v>#DIV/0!</v>
      </c>
      <c r="Q58">
        <f t="shared" si="31"/>
        <v>0</v>
      </c>
      <c r="R58">
        <f t="shared" si="31"/>
        <v>0</v>
      </c>
      <c r="S58">
        <f t="shared" si="31"/>
        <v>1.159834540394389E-2</v>
      </c>
      <c r="T58">
        <f t="shared" si="31"/>
        <v>2.5331713375345132E-3</v>
      </c>
      <c r="U58">
        <f t="shared" si="31"/>
        <v>3.2848904411399458E-4</v>
      </c>
      <c r="V58">
        <f t="shared" si="31"/>
        <v>0</v>
      </c>
      <c r="W58">
        <f t="shared" si="31"/>
        <v>0</v>
      </c>
      <c r="X58">
        <f t="shared" si="31"/>
        <v>0</v>
      </c>
      <c r="Y58" t="e">
        <f t="shared" si="31"/>
        <v>#DIV/0!</v>
      </c>
      <c r="Z58">
        <f t="shared" si="31"/>
        <v>0</v>
      </c>
      <c r="AA58">
        <f t="shared" si="31"/>
        <v>0</v>
      </c>
      <c r="AB58">
        <f t="shared" si="31"/>
        <v>0</v>
      </c>
      <c r="AC58">
        <f t="shared" si="31"/>
        <v>0</v>
      </c>
      <c r="AD58">
        <f t="shared" si="31"/>
        <v>0</v>
      </c>
      <c r="AE58">
        <f t="shared" si="31"/>
        <v>0</v>
      </c>
      <c r="AF58">
        <f t="shared" si="31"/>
        <v>0</v>
      </c>
      <c r="AG58">
        <f t="shared" si="31"/>
        <v>0</v>
      </c>
      <c r="AH58">
        <f t="shared" si="31"/>
        <v>0</v>
      </c>
      <c r="AI58" t="e">
        <f t="shared" si="31"/>
        <v>#DIV/0!</v>
      </c>
      <c r="AJ58" t="e">
        <f t="shared" si="31"/>
        <v>#DIV/0!</v>
      </c>
      <c r="AK58">
        <f t="shared" si="31"/>
        <v>9.0882955756098199E-3</v>
      </c>
      <c r="AL58">
        <f t="shared" si="31"/>
        <v>3.2376875871683447E-3</v>
      </c>
      <c r="AM58">
        <f t="shared" si="31"/>
        <v>0</v>
      </c>
      <c r="AN58">
        <f t="shared" si="31"/>
        <v>0</v>
      </c>
      <c r="AO58">
        <f t="shared" si="31"/>
        <v>0</v>
      </c>
      <c r="AP58">
        <f t="shared" si="31"/>
        <v>0</v>
      </c>
      <c r="AQ58">
        <f t="shared" si="31"/>
        <v>1.5777447021407493E-3</v>
      </c>
      <c r="AR58">
        <f t="shared" si="31"/>
        <v>1.7497960909039561E-3</v>
      </c>
      <c r="AS58">
        <f t="shared" si="31"/>
        <v>1.3325527058318483E-3</v>
      </c>
    </row>
    <row r="59" spans="1:45" x14ac:dyDescent="0.25">
      <c r="A59" t="s">
        <v>73</v>
      </c>
      <c r="B59" t="s">
        <v>39</v>
      </c>
      <c r="D59">
        <f>(D24*$C24)/D$66*100</f>
        <v>0</v>
      </c>
      <c r="E59">
        <f t="shared" ref="E59:AS59" si="32">(E24*$C24)/E$66*100</f>
        <v>0</v>
      </c>
      <c r="F59">
        <f t="shared" si="32"/>
        <v>0</v>
      </c>
      <c r="G59">
        <f t="shared" si="32"/>
        <v>0</v>
      </c>
      <c r="H59">
        <f t="shared" si="32"/>
        <v>0</v>
      </c>
      <c r="I59">
        <f t="shared" si="32"/>
        <v>0</v>
      </c>
      <c r="J59">
        <f t="shared" si="32"/>
        <v>0</v>
      </c>
      <c r="K59">
        <f t="shared" si="32"/>
        <v>0</v>
      </c>
      <c r="L59">
        <f t="shared" si="32"/>
        <v>0</v>
      </c>
      <c r="M59">
        <f t="shared" si="32"/>
        <v>0</v>
      </c>
      <c r="N59">
        <f t="shared" si="32"/>
        <v>0</v>
      </c>
      <c r="O59">
        <f t="shared" si="32"/>
        <v>0</v>
      </c>
      <c r="P59" t="e">
        <f t="shared" si="32"/>
        <v>#DIV/0!</v>
      </c>
      <c r="Q59">
        <f t="shared" si="32"/>
        <v>0</v>
      </c>
      <c r="R59">
        <f t="shared" si="32"/>
        <v>0</v>
      </c>
      <c r="S59">
        <f t="shared" si="32"/>
        <v>0</v>
      </c>
      <c r="T59">
        <f t="shared" si="32"/>
        <v>0</v>
      </c>
      <c r="U59">
        <f t="shared" si="32"/>
        <v>0</v>
      </c>
      <c r="V59">
        <f t="shared" si="32"/>
        <v>0</v>
      </c>
      <c r="W59">
        <f t="shared" si="32"/>
        <v>0</v>
      </c>
      <c r="X59">
        <f t="shared" si="32"/>
        <v>0</v>
      </c>
      <c r="Y59" t="e">
        <f t="shared" si="32"/>
        <v>#DIV/0!</v>
      </c>
      <c r="Z59">
        <f t="shared" si="32"/>
        <v>0</v>
      </c>
      <c r="AA59">
        <f t="shared" si="32"/>
        <v>0</v>
      </c>
      <c r="AB59">
        <f t="shared" si="32"/>
        <v>0</v>
      </c>
      <c r="AC59">
        <f t="shared" si="32"/>
        <v>0</v>
      </c>
      <c r="AD59">
        <f t="shared" si="32"/>
        <v>0</v>
      </c>
      <c r="AE59">
        <f t="shared" si="32"/>
        <v>0</v>
      </c>
      <c r="AF59">
        <f t="shared" si="32"/>
        <v>0</v>
      </c>
      <c r="AG59">
        <f t="shared" si="32"/>
        <v>0</v>
      </c>
      <c r="AH59">
        <f t="shared" si="32"/>
        <v>0</v>
      </c>
      <c r="AI59" t="e">
        <f t="shared" si="32"/>
        <v>#DIV/0!</v>
      </c>
      <c r="AJ59" t="e">
        <f t="shared" si="32"/>
        <v>#DIV/0!</v>
      </c>
      <c r="AK59">
        <f t="shared" si="32"/>
        <v>0</v>
      </c>
      <c r="AL59">
        <f t="shared" si="32"/>
        <v>0</v>
      </c>
      <c r="AM59">
        <f t="shared" si="32"/>
        <v>0</v>
      </c>
      <c r="AN59">
        <f t="shared" si="32"/>
        <v>0</v>
      </c>
      <c r="AO59">
        <f t="shared" si="32"/>
        <v>0</v>
      </c>
      <c r="AP59">
        <f t="shared" si="32"/>
        <v>0</v>
      </c>
      <c r="AQ59">
        <f t="shared" si="32"/>
        <v>0</v>
      </c>
      <c r="AR59">
        <f t="shared" si="32"/>
        <v>0</v>
      </c>
      <c r="AS59">
        <f t="shared" si="32"/>
        <v>0</v>
      </c>
    </row>
    <row r="60" spans="1:45" x14ac:dyDescent="0.25">
      <c r="B60" t="s">
        <v>40</v>
      </c>
      <c r="D60">
        <f>(D25*$C25)/D$67*100</f>
        <v>0</v>
      </c>
      <c r="E60">
        <f t="shared" ref="E60:AS60" si="33">(E25*$C25)/E$67*100</f>
        <v>0</v>
      </c>
      <c r="F60">
        <f t="shared" si="33"/>
        <v>0</v>
      </c>
      <c r="G60">
        <f t="shared" si="33"/>
        <v>0</v>
      </c>
      <c r="H60">
        <f t="shared" si="33"/>
        <v>0</v>
      </c>
      <c r="I60">
        <f t="shared" si="33"/>
        <v>0</v>
      </c>
      <c r="J60">
        <f t="shared" si="33"/>
        <v>0</v>
      </c>
      <c r="K60">
        <f t="shared" si="33"/>
        <v>0</v>
      </c>
      <c r="L60">
        <f t="shared" si="33"/>
        <v>0</v>
      </c>
      <c r="M60">
        <f t="shared" si="33"/>
        <v>0</v>
      </c>
      <c r="N60">
        <f t="shared" si="33"/>
        <v>0</v>
      </c>
      <c r="O60">
        <f t="shared" si="33"/>
        <v>0</v>
      </c>
      <c r="P60" t="e">
        <f t="shared" si="33"/>
        <v>#DIV/0!</v>
      </c>
      <c r="Q60">
        <f t="shared" si="33"/>
        <v>0</v>
      </c>
      <c r="R60">
        <f t="shared" si="33"/>
        <v>0</v>
      </c>
      <c r="S60">
        <f t="shared" si="33"/>
        <v>0</v>
      </c>
      <c r="T60">
        <f t="shared" si="33"/>
        <v>0</v>
      </c>
      <c r="U60">
        <f t="shared" si="33"/>
        <v>0</v>
      </c>
      <c r="V60">
        <f t="shared" si="33"/>
        <v>0</v>
      </c>
      <c r="W60">
        <f t="shared" si="33"/>
        <v>0</v>
      </c>
      <c r="X60">
        <f t="shared" si="33"/>
        <v>0</v>
      </c>
      <c r="Y60" t="e">
        <f t="shared" si="33"/>
        <v>#DIV/0!</v>
      </c>
      <c r="Z60">
        <f t="shared" si="33"/>
        <v>0</v>
      </c>
      <c r="AA60">
        <f t="shared" si="33"/>
        <v>0</v>
      </c>
      <c r="AB60">
        <f t="shared" si="33"/>
        <v>0</v>
      </c>
      <c r="AC60">
        <f t="shared" si="33"/>
        <v>0</v>
      </c>
      <c r="AD60">
        <f t="shared" si="33"/>
        <v>0</v>
      </c>
      <c r="AE60">
        <f t="shared" si="33"/>
        <v>0</v>
      </c>
      <c r="AF60">
        <f t="shared" si="33"/>
        <v>0</v>
      </c>
      <c r="AG60">
        <f t="shared" si="33"/>
        <v>0</v>
      </c>
      <c r="AH60">
        <f t="shared" si="33"/>
        <v>0</v>
      </c>
      <c r="AI60" t="e">
        <f t="shared" si="33"/>
        <v>#DIV/0!</v>
      </c>
      <c r="AJ60" t="e">
        <f t="shared" si="33"/>
        <v>#DIV/0!</v>
      </c>
      <c r="AK60">
        <f t="shared" si="33"/>
        <v>0</v>
      </c>
      <c r="AL60">
        <f t="shared" si="33"/>
        <v>0</v>
      </c>
      <c r="AM60">
        <f t="shared" si="33"/>
        <v>0</v>
      </c>
      <c r="AN60">
        <f t="shared" si="33"/>
        <v>0</v>
      </c>
      <c r="AO60">
        <f t="shared" si="33"/>
        <v>0</v>
      </c>
      <c r="AP60">
        <f t="shared" si="33"/>
        <v>0</v>
      </c>
      <c r="AQ60">
        <f t="shared" si="33"/>
        <v>0</v>
      </c>
      <c r="AR60">
        <f t="shared" si="33"/>
        <v>0</v>
      </c>
      <c r="AS60">
        <f t="shared" si="33"/>
        <v>0</v>
      </c>
    </row>
    <row r="61" spans="1:45" x14ac:dyDescent="0.25">
      <c r="B61" t="s">
        <v>41</v>
      </c>
      <c r="D61">
        <f>(D26*$C26)/D$68*100</f>
        <v>0</v>
      </c>
      <c r="E61">
        <f t="shared" ref="E61:AS61" si="34">(E26*$C26)/E$68*100</f>
        <v>0</v>
      </c>
      <c r="F61">
        <f t="shared" si="34"/>
        <v>0</v>
      </c>
      <c r="G61">
        <f t="shared" si="34"/>
        <v>0</v>
      </c>
      <c r="H61">
        <f t="shared" si="34"/>
        <v>0</v>
      </c>
      <c r="I61">
        <f t="shared" si="34"/>
        <v>0</v>
      </c>
      <c r="J61">
        <f t="shared" si="34"/>
        <v>0</v>
      </c>
      <c r="K61">
        <f t="shared" si="34"/>
        <v>0</v>
      </c>
      <c r="L61">
        <f t="shared" si="34"/>
        <v>0</v>
      </c>
      <c r="M61">
        <f t="shared" si="34"/>
        <v>0</v>
      </c>
      <c r="N61">
        <f t="shared" si="34"/>
        <v>0</v>
      </c>
      <c r="O61">
        <f t="shared" si="34"/>
        <v>0</v>
      </c>
      <c r="P61" t="e">
        <f t="shared" si="34"/>
        <v>#DIV/0!</v>
      </c>
      <c r="Q61">
        <f t="shared" si="34"/>
        <v>0</v>
      </c>
      <c r="R61">
        <f t="shared" si="34"/>
        <v>0</v>
      </c>
      <c r="S61">
        <f t="shared" si="34"/>
        <v>0</v>
      </c>
      <c r="T61">
        <f t="shared" si="34"/>
        <v>0</v>
      </c>
      <c r="U61">
        <f t="shared" si="34"/>
        <v>0</v>
      </c>
      <c r="V61">
        <f t="shared" si="34"/>
        <v>0</v>
      </c>
      <c r="W61">
        <f t="shared" si="34"/>
        <v>0</v>
      </c>
      <c r="X61">
        <f t="shared" si="34"/>
        <v>0</v>
      </c>
      <c r="Y61" t="e">
        <f t="shared" si="34"/>
        <v>#DIV/0!</v>
      </c>
      <c r="Z61">
        <f t="shared" si="34"/>
        <v>0</v>
      </c>
      <c r="AA61">
        <f t="shared" si="34"/>
        <v>0</v>
      </c>
      <c r="AB61">
        <f t="shared" si="34"/>
        <v>0</v>
      </c>
      <c r="AC61">
        <f t="shared" si="34"/>
        <v>0</v>
      </c>
      <c r="AD61">
        <f t="shared" si="34"/>
        <v>0</v>
      </c>
      <c r="AE61">
        <f t="shared" si="34"/>
        <v>0</v>
      </c>
      <c r="AF61">
        <f t="shared" si="34"/>
        <v>0</v>
      </c>
      <c r="AG61">
        <f t="shared" si="34"/>
        <v>0</v>
      </c>
      <c r="AH61">
        <f t="shared" si="34"/>
        <v>0</v>
      </c>
      <c r="AI61" t="e">
        <f t="shared" si="34"/>
        <v>#DIV/0!</v>
      </c>
      <c r="AJ61" t="e">
        <f t="shared" si="34"/>
        <v>#DIV/0!</v>
      </c>
      <c r="AK61">
        <f t="shared" si="34"/>
        <v>0</v>
      </c>
      <c r="AL61">
        <f t="shared" si="34"/>
        <v>0</v>
      </c>
      <c r="AM61">
        <f t="shared" si="34"/>
        <v>0</v>
      </c>
      <c r="AN61">
        <f t="shared" si="34"/>
        <v>0</v>
      </c>
      <c r="AO61">
        <f t="shared" si="34"/>
        <v>0</v>
      </c>
      <c r="AP61">
        <f t="shared" si="34"/>
        <v>0</v>
      </c>
      <c r="AQ61">
        <f t="shared" si="34"/>
        <v>0</v>
      </c>
      <c r="AR61">
        <f t="shared" si="34"/>
        <v>0</v>
      </c>
      <c r="AS61">
        <f t="shared" si="34"/>
        <v>0</v>
      </c>
    </row>
    <row r="62" spans="1:45" x14ac:dyDescent="0.25">
      <c r="A62" t="s">
        <v>74</v>
      </c>
      <c r="B62" t="s">
        <v>39</v>
      </c>
      <c r="C62">
        <v>0.12794</v>
      </c>
      <c r="D62">
        <f>(D28*$C28)/D$66*100</f>
        <v>0</v>
      </c>
      <c r="E62">
        <f t="shared" ref="E62:AS62" si="35">(E28*$C28)/E$66*100</f>
        <v>0</v>
      </c>
      <c r="F62">
        <f t="shared" si="35"/>
        <v>0</v>
      </c>
      <c r="G62">
        <f t="shared" si="35"/>
        <v>0</v>
      </c>
      <c r="H62">
        <f t="shared" si="35"/>
        <v>0</v>
      </c>
      <c r="I62">
        <f t="shared" si="35"/>
        <v>0</v>
      </c>
      <c r="J62">
        <f t="shared" si="35"/>
        <v>0</v>
      </c>
      <c r="K62">
        <f t="shared" si="35"/>
        <v>0</v>
      </c>
      <c r="L62">
        <f t="shared" si="35"/>
        <v>0</v>
      </c>
      <c r="M62">
        <f t="shared" si="35"/>
        <v>0</v>
      </c>
      <c r="N62">
        <f t="shared" si="35"/>
        <v>0</v>
      </c>
      <c r="O62">
        <f t="shared" si="35"/>
        <v>0</v>
      </c>
      <c r="P62" t="e">
        <f t="shared" si="35"/>
        <v>#DIV/0!</v>
      </c>
      <c r="Q62">
        <f t="shared" si="35"/>
        <v>0</v>
      </c>
      <c r="R62">
        <f t="shared" si="35"/>
        <v>0</v>
      </c>
      <c r="S62">
        <f t="shared" si="35"/>
        <v>5.5256330085251834E-3</v>
      </c>
      <c r="T62">
        <f t="shared" si="35"/>
        <v>8.6577998838058973E-3</v>
      </c>
      <c r="U62">
        <f t="shared" si="35"/>
        <v>1.8635845294786061E-3</v>
      </c>
      <c r="V62">
        <f t="shared" si="35"/>
        <v>0</v>
      </c>
      <c r="W62">
        <f t="shared" si="35"/>
        <v>0</v>
      </c>
      <c r="X62">
        <f t="shared" si="35"/>
        <v>0</v>
      </c>
      <c r="Y62" t="e">
        <f t="shared" si="35"/>
        <v>#DIV/0!</v>
      </c>
      <c r="Z62">
        <f t="shared" si="35"/>
        <v>0</v>
      </c>
      <c r="AA62">
        <f t="shared" si="35"/>
        <v>0</v>
      </c>
      <c r="AB62">
        <f t="shared" si="35"/>
        <v>0</v>
      </c>
      <c r="AC62">
        <f t="shared" si="35"/>
        <v>0</v>
      </c>
      <c r="AD62">
        <f t="shared" si="35"/>
        <v>0</v>
      </c>
      <c r="AE62">
        <f t="shared" si="35"/>
        <v>0</v>
      </c>
      <c r="AF62">
        <f t="shared" si="35"/>
        <v>0</v>
      </c>
      <c r="AG62">
        <f t="shared" si="35"/>
        <v>0</v>
      </c>
      <c r="AH62">
        <f t="shared" si="35"/>
        <v>0</v>
      </c>
      <c r="AI62" t="e">
        <f t="shared" si="35"/>
        <v>#DIV/0!</v>
      </c>
      <c r="AJ62" t="e">
        <f t="shared" si="35"/>
        <v>#DIV/0!</v>
      </c>
      <c r="AK62">
        <f t="shared" si="35"/>
        <v>4.996873803431761E-2</v>
      </c>
      <c r="AL62">
        <f t="shared" si="35"/>
        <v>1.2606160467117494E-2</v>
      </c>
      <c r="AM62">
        <f t="shared" si="35"/>
        <v>2.0839388213546566E-3</v>
      </c>
      <c r="AN62">
        <f t="shared" si="35"/>
        <v>0</v>
      </c>
      <c r="AO62">
        <f t="shared" si="35"/>
        <v>0</v>
      </c>
      <c r="AP62">
        <f t="shared" si="35"/>
        <v>0</v>
      </c>
      <c r="AQ62">
        <f t="shared" si="35"/>
        <v>3.8814086007161286E-3</v>
      </c>
      <c r="AR62">
        <f t="shared" si="35"/>
        <v>2.167499154361657E-3</v>
      </c>
      <c r="AS62">
        <f t="shared" si="35"/>
        <v>6.2387552713223165E-3</v>
      </c>
    </row>
    <row r="63" spans="1:45" x14ac:dyDescent="0.25">
      <c r="B63" t="s">
        <v>40</v>
      </c>
      <c r="C63">
        <v>0.1072</v>
      </c>
      <c r="D63">
        <f>(D29*$C29)/D$67*100</f>
        <v>0</v>
      </c>
      <c r="E63">
        <f t="shared" ref="E63:AS63" si="36">(E29*$C29)/E$67*100</f>
        <v>0</v>
      </c>
      <c r="F63">
        <f t="shared" si="36"/>
        <v>0</v>
      </c>
      <c r="G63">
        <f t="shared" si="36"/>
        <v>0</v>
      </c>
      <c r="H63">
        <f t="shared" si="36"/>
        <v>0</v>
      </c>
      <c r="I63">
        <f t="shared" si="36"/>
        <v>0</v>
      </c>
      <c r="J63">
        <f t="shared" si="36"/>
        <v>0</v>
      </c>
      <c r="K63">
        <f t="shared" si="36"/>
        <v>0</v>
      </c>
      <c r="L63">
        <f t="shared" si="36"/>
        <v>0</v>
      </c>
      <c r="M63">
        <f t="shared" si="36"/>
        <v>0</v>
      </c>
      <c r="N63">
        <f t="shared" si="36"/>
        <v>0</v>
      </c>
      <c r="O63">
        <f t="shared" si="36"/>
        <v>0</v>
      </c>
      <c r="P63" t="e">
        <f t="shared" si="36"/>
        <v>#DIV/0!</v>
      </c>
      <c r="Q63">
        <f t="shared" si="36"/>
        <v>0</v>
      </c>
      <c r="R63">
        <f t="shared" si="36"/>
        <v>0</v>
      </c>
      <c r="S63">
        <f t="shared" si="36"/>
        <v>2.7379135440794126E-2</v>
      </c>
      <c r="T63">
        <f t="shared" si="36"/>
        <v>5.0473637302774141E-3</v>
      </c>
      <c r="U63">
        <f t="shared" si="36"/>
        <v>8.2186556197865997E-4</v>
      </c>
      <c r="V63">
        <f t="shared" si="36"/>
        <v>0</v>
      </c>
      <c r="W63">
        <f t="shared" si="36"/>
        <v>0</v>
      </c>
      <c r="X63">
        <f t="shared" si="36"/>
        <v>0</v>
      </c>
      <c r="Y63" t="e">
        <f t="shared" si="36"/>
        <v>#DIV/0!</v>
      </c>
      <c r="Z63">
        <f t="shared" si="36"/>
        <v>0</v>
      </c>
      <c r="AA63">
        <f t="shared" si="36"/>
        <v>0</v>
      </c>
      <c r="AB63">
        <f t="shared" si="36"/>
        <v>0</v>
      </c>
      <c r="AC63">
        <f t="shared" si="36"/>
        <v>0</v>
      </c>
      <c r="AD63">
        <f t="shared" si="36"/>
        <v>0</v>
      </c>
      <c r="AE63">
        <f t="shared" si="36"/>
        <v>0</v>
      </c>
      <c r="AF63">
        <f t="shared" si="36"/>
        <v>0</v>
      </c>
      <c r="AG63">
        <f t="shared" si="36"/>
        <v>0</v>
      </c>
      <c r="AH63">
        <f t="shared" si="36"/>
        <v>0</v>
      </c>
      <c r="AI63" t="e">
        <f t="shared" si="36"/>
        <v>#DIV/0!</v>
      </c>
      <c r="AJ63" t="e">
        <f t="shared" si="36"/>
        <v>#DIV/0!</v>
      </c>
      <c r="AK63">
        <f t="shared" si="36"/>
        <v>2.1965472220002526E-2</v>
      </c>
      <c r="AL63">
        <f t="shared" si="36"/>
        <v>7.1108146255720083E-3</v>
      </c>
      <c r="AM63">
        <f t="shared" si="36"/>
        <v>8.9612202011206583E-4</v>
      </c>
      <c r="AN63">
        <f t="shared" si="36"/>
        <v>0</v>
      </c>
      <c r="AO63">
        <f t="shared" si="36"/>
        <v>0</v>
      </c>
      <c r="AP63">
        <f t="shared" si="36"/>
        <v>0</v>
      </c>
      <c r="AQ63">
        <f t="shared" si="36"/>
        <v>3.6918499470434815E-3</v>
      </c>
      <c r="AR63">
        <f t="shared" si="36"/>
        <v>4.0604093133365321E-3</v>
      </c>
      <c r="AS63">
        <f t="shared" si="36"/>
        <v>3.1745093412885199E-3</v>
      </c>
    </row>
    <row r="64" spans="1:45" x14ac:dyDescent="0.25">
      <c r="B64" t="s">
        <v>41</v>
      </c>
      <c r="C64">
        <v>0.10199999999999999</v>
      </c>
      <c r="D64">
        <f>(D30*$C30)/D$68*100</f>
        <v>0</v>
      </c>
      <c r="E64">
        <f t="shared" ref="E64:AS64" si="37">(E30*$C30)/E$68*100</f>
        <v>0</v>
      </c>
      <c r="F64">
        <f t="shared" si="37"/>
        <v>0</v>
      </c>
      <c r="G64">
        <f t="shared" si="37"/>
        <v>0</v>
      </c>
      <c r="H64">
        <f t="shared" si="37"/>
        <v>0</v>
      </c>
      <c r="I64">
        <f t="shared" si="37"/>
        <v>0</v>
      </c>
      <c r="J64">
        <f t="shared" si="37"/>
        <v>0</v>
      </c>
      <c r="K64">
        <f t="shared" si="37"/>
        <v>0</v>
      </c>
      <c r="L64">
        <f t="shared" si="37"/>
        <v>0</v>
      </c>
      <c r="M64">
        <f t="shared" si="37"/>
        <v>0</v>
      </c>
      <c r="N64">
        <f t="shared" si="37"/>
        <v>0</v>
      </c>
      <c r="O64">
        <f t="shared" si="37"/>
        <v>0</v>
      </c>
      <c r="P64" t="e">
        <f t="shared" si="37"/>
        <v>#DIV/0!</v>
      </c>
      <c r="Q64">
        <f t="shared" si="37"/>
        <v>0</v>
      </c>
      <c r="R64">
        <f t="shared" si="37"/>
        <v>0</v>
      </c>
      <c r="S64">
        <f t="shared" si="37"/>
        <v>7.5953128647137991E-2</v>
      </c>
      <c r="T64">
        <f t="shared" si="37"/>
        <v>7.6866835227876939E-3</v>
      </c>
      <c r="U64">
        <f t="shared" si="37"/>
        <v>5.8685727421350757E-4</v>
      </c>
      <c r="V64">
        <f t="shared" si="37"/>
        <v>0</v>
      </c>
      <c r="W64">
        <f t="shared" si="37"/>
        <v>0</v>
      </c>
      <c r="X64">
        <f t="shared" si="37"/>
        <v>0</v>
      </c>
      <c r="Y64" t="e">
        <f t="shared" si="37"/>
        <v>#DIV/0!</v>
      </c>
      <c r="Z64">
        <f t="shared" si="37"/>
        <v>0</v>
      </c>
      <c r="AA64">
        <f t="shared" si="37"/>
        <v>0</v>
      </c>
      <c r="AB64">
        <f t="shared" si="37"/>
        <v>0</v>
      </c>
      <c r="AC64">
        <f t="shared" si="37"/>
        <v>0</v>
      </c>
      <c r="AD64">
        <f t="shared" si="37"/>
        <v>0</v>
      </c>
      <c r="AE64">
        <f t="shared" si="37"/>
        <v>0</v>
      </c>
      <c r="AF64">
        <f t="shared" si="37"/>
        <v>0</v>
      </c>
      <c r="AG64">
        <f t="shared" si="37"/>
        <v>0</v>
      </c>
      <c r="AH64">
        <f t="shared" si="37"/>
        <v>0</v>
      </c>
      <c r="AI64" t="e">
        <f t="shared" si="37"/>
        <v>#DIV/0!</v>
      </c>
      <c r="AJ64" t="e">
        <f t="shared" si="37"/>
        <v>#DIV/0!</v>
      </c>
      <c r="AK64">
        <f t="shared" si="37"/>
        <v>6.4392117537588112E-2</v>
      </c>
      <c r="AL64">
        <f t="shared" si="37"/>
        <v>1.3996263056361227E-2</v>
      </c>
      <c r="AM64">
        <f t="shared" si="37"/>
        <v>1.3965547682727065E-3</v>
      </c>
      <c r="AN64">
        <f t="shared" si="37"/>
        <v>0</v>
      </c>
      <c r="AO64">
        <f t="shared" si="37"/>
        <v>0</v>
      </c>
      <c r="AP64">
        <f t="shared" si="37"/>
        <v>0</v>
      </c>
      <c r="AQ64">
        <f t="shared" si="37"/>
        <v>8.7066299618187206E-3</v>
      </c>
      <c r="AR64">
        <f t="shared" si="37"/>
        <v>1.0091157867097245E-2</v>
      </c>
      <c r="AS64">
        <f t="shared" si="37"/>
        <v>6.7335266728482416E-3</v>
      </c>
    </row>
    <row r="65" spans="1:52" x14ac:dyDescent="0.25">
      <c r="D65" t="s">
        <v>78</v>
      </c>
      <c r="E65" t="s">
        <v>79</v>
      </c>
      <c r="F65" t="s">
        <v>80</v>
      </c>
      <c r="G65" t="s">
        <v>1</v>
      </c>
      <c r="H65" t="s">
        <v>2</v>
      </c>
      <c r="I65" t="s">
        <v>3</v>
      </c>
      <c r="J65" t="s">
        <v>4</v>
      </c>
      <c r="K65" t="s">
        <v>5</v>
      </c>
      <c r="L65" t="s">
        <v>6</v>
      </c>
      <c r="M65" t="s">
        <v>7</v>
      </c>
      <c r="N65" t="s">
        <v>8</v>
      </c>
      <c r="O65" t="s">
        <v>81</v>
      </c>
      <c r="P65" t="s">
        <v>82</v>
      </c>
      <c r="Q65" t="s">
        <v>9</v>
      </c>
      <c r="R65" t="s">
        <v>10</v>
      </c>
      <c r="S65" t="s">
        <v>11</v>
      </c>
      <c r="T65" t="s">
        <v>12</v>
      </c>
      <c r="U65" t="s">
        <v>13</v>
      </c>
      <c r="V65" t="s">
        <v>14</v>
      </c>
      <c r="W65" t="s">
        <v>15</v>
      </c>
      <c r="X65" t="s">
        <v>16</v>
      </c>
      <c r="Y65" t="s">
        <v>76</v>
      </c>
      <c r="Z65" t="s">
        <v>18</v>
      </c>
      <c r="AA65" t="s">
        <v>19</v>
      </c>
      <c r="AB65" t="s">
        <v>20</v>
      </c>
      <c r="AC65" t="s">
        <v>21</v>
      </c>
      <c r="AD65" t="s">
        <v>22</v>
      </c>
      <c r="AE65" t="s">
        <v>23</v>
      </c>
      <c r="AF65" t="s">
        <v>24</v>
      </c>
      <c r="AG65" t="s">
        <v>25</v>
      </c>
      <c r="AH65" t="s">
        <v>26</v>
      </c>
      <c r="AJ65" t="s">
        <v>77</v>
      </c>
      <c r="AK65" t="s">
        <v>27</v>
      </c>
      <c r="AL65" t="s">
        <v>28</v>
      </c>
      <c r="AM65" t="s">
        <v>29</v>
      </c>
      <c r="AN65" t="s">
        <v>30</v>
      </c>
      <c r="AO65" t="s">
        <v>31</v>
      </c>
      <c r="AP65" t="s">
        <v>32</v>
      </c>
    </row>
    <row r="66" spans="1:52" x14ac:dyDescent="0.25">
      <c r="A66" t="s">
        <v>270</v>
      </c>
      <c r="B66" t="s">
        <v>39</v>
      </c>
      <c r="D66">
        <v>19017.782898375524</v>
      </c>
      <c r="E66">
        <v>4758.7289182245959</v>
      </c>
      <c r="F66">
        <v>1071.4456249454811</v>
      </c>
      <c r="G66">
        <v>271.63242342103973</v>
      </c>
      <c r="H66">
        <v>5190.1492241029</v>
      </c>
      <c r="I66">
        <v>30.069833731106421</v>
      </c>
      <c r="J66">
        <v>58.715615000506865</v>
      </c>
      <c r="K66">
        <v>31.614922414551692</v>
      </c>
      <c r="L66">
        <v>45.232336633273405</v>
      </c>
      <c r="M66">
        <v>26.662182460845699</v>
      </c>
      <c r="N66">
        <v>20.590655068571863</v>
      </c>
      <c r="O66">
        <v>67.751188617924782</v>
      </c>
      <c r="P66">
        <v>0</v>
      </c>
      <c r="Q66">
        <v>114.81342234550957</v>
      </c>
      <c r="R66">
        <v>27.813586754741756</v>
      </c>
      <c r="S66">
        <v>7409.2506572251141</v>
      </c>
      <c r="T66">
        <v>7817.2585308414782</v>
      </c>
      <c r="U66">
        <v>12082.864846651164</v>
      </c>
      <c r="V66">
        <v>1187.4908112301032</v>
      </c>
      <c r="W66">
        <v>1052.3192012948748</v>
      </c>
      <c r="X66">
        <v>220.02819009224947</v>
      </c>
      <c r="Y66">
        <v>0</v>
      </c>
      <c r="Z66">
        <v>42.422959052247151</v>
      </c>
      <c r="AA66">
        <v>1173.4147192954233</v>
      </c>
      <c r="AB66">
        <v>11.409850175420864</v>
      </c>
      <c r="AC66">
        <v>4.931238066884112</v>
      </c>
      <c r="AD66">
        <v>23.332190632582058</v>
      </c>
      <c r="AE66">
        <v>115.50864900103315</v>
      </c>
      <c r="AF66">
        <v>68.060506550126249</v>
      </c>
      <c r="AG66">
        <v>107.59397514737461</v>
      </c>
      <c r="AH66">
        <v>24.350235735752079</v>
      </c>
      <c r="AJ66">
        <v>0</v>
      </c>
      <c r="AK66">
        <v>1175.2239962447945</v>
      </c>
      <c r="AL66">
        <v>15426.489334897935</v>
      </c>
      <c r="AM66">
        <v>10191.297259961926</v>
      </c>
      <c r="AN66">
        <v>7114.6612534723527</v>
      </c>
      <c r="AO66">
        <v>4097.5613356685299</v>
      </c>
      <c r="AP66">
        <v>4411.8920652076995</v>
      </c>
      <c r="AQ66">
        <f>SUM(D66:AP66)</f>
        <v>104490.36463854165</v>
      </c>
      <c r="AR66">
        <f>SUM(D66:X66)</f>
        <v>60502.215069431557</v>
      </c>
      <c r="AS66">
        <f>SUM(Y66:AP66)</f>
        <v>43988.149569110079</v>
      </c>
    </row>
    <row r="67" spans="1:52" x14ac:dyDescent="0.25">
      <c r="B67" t="s">
        <v>40</v>
      </c>
      <c r="D67">
        <v>18437.589075629898</v>
      </c>
      <c r="E67">
        <v>4630.4233780656414</v>
      </c>
      <c r="F67">
        <v>1046.0274645831789</v>
      </c>
      <c r="G67">
        <v>263.14871357895083</v>
      </c>
      <c r="H67">
        <v>4935.0720496858758</v>
      </c>
      <c r="I67">
        <v>28.149818930796933</v>
      </c>
      <c r="J67">
        <v>55.12454801843694</v>
      </c>
      <c r="K67">
        <v>30.234400640238789</v>
      </c>
      <c r="L67">
        <v>44.454752263024929</v>
      </c>
      <c r="M67">
        <v>26.735544470886403</v>
      </c>
      <c r="N67">
        <v>20.567822917080136</v>
      </c>
      <c r="O67">
        <v>72.750043098917757</v>
      </c>
      <c r="P67">
        <v>0</v>
      </c>
      <c r="Q67">
        <v>110.55713012911579</v>
      </c>
      <c r="R67">
        <v>25.779914856944714</v>
      </c>
      <c r="S67">
        <v>6930.2407451948566</v>
      </c>
      <c r="T67">
        <v>7306.1506898717544</v>
      </c>
      <c r="U67">
        <v>11673.928734647629</v>
      </c>
      <c r="V67">
        <v>1222.3636079887538</v>
      </c>
      <c r="W67">
        <v>1086.2358892975703</v>
      </c>
      <c r="X67">
        <v>229.68442172447661</v>
      </c>
      <c r="Y67">
        <v>0</v>
      </c>
      <c r="Z67">
        <v>42.132201983398957</v>
      </c>
      <c r="AA67">
        <v>1114.436123172628</v>
      </c>
      <c r="AB67">
        <v>9.0147444938685748</v>
      </c>
      <c r="AC67">
        <v>3.7968303200376985</v>
      </c>
      <c r="AD67">
        <v>20.055586168604307</v>
      </c>
      <c r="AE67">
        <v>123.0815044310435</v>
      </c>
      <c r="AF67">
        <v>68.237128923501501</v>
      </c>
      <c r="AG67">
        <v>108.54403698829296</v>
      </c>
      <c r="AH67">
        <v>23.420027258703019</v>
      </c>
      <c r="AJ67">
        <v>0</v>
      </c>
      <c r="AK67">
        <v>1063.9243156684256</v>
      </c>
      <c r="AL67">
        <v>14020.334553719331</v>
      </c>
      <c r="AM67">
        <v>9486.3866853053132</v>
      </c>
      <c r="AN67">
        <v>6836.1911042780839</v>
      </c>
      <c r="AO67">
        <v>4080.3115145620754</v>
      </c>
      <c r="AP67">
        <v>4444.8250439489411</v>
      </c>
      <c r="AQ67">
        <f t="shared" ref="AQ67:AQ68" si="38">SUM(D67:AP67)</f>
        <v>99619.91014681627</v>
      </c>
      <c r="AR67">
        <f t="shared" ref="AR67:AR68" si="39">SUM(D67:X67)</f>
        <v>58175.218745594022</v>
      </c>
      <c r="AS67">
        <f t="shared" ref="AS67:AS68" si="40">SUM(Y67:AP67)</f>
        <v>41444.691401222248</v>
      </c>
    </row>
    <row r="68" spans="1:52" x14ac:dyDescent="0.25">
      <c r="B68" t="s">
        <v>41</v>
      </c>
      <c r="D68">
        <v>18312.086630385314</v>
      </c>
      <c r="E68">
        <v>4539.3692403451705</v>
      </c>
      <c r="F68">
        <v>1004.9813613050534</v>
      </c>
      <c r="G68">
        <v>246.76570700514623</v>
      </c>
      <c r="H68">
        <v>4613.9246888941816</v>
      </c>
      <c r="I68">
        <v>26.171084312167906</v>
      </c>
      <c r="J68">
        <v>51.506090677413383</v>
      </c>
      <c r="K68">
        <v>28.534238827299614</v>
      </c>
      <c r="L68">
        <v>41.891614946110906</v>
      </c>
      <c r="M68">
        <v>25.046699093873702</v>
      </c>
      <c r="N68">
        <v>18.916280034384783</v>
      </c>
      <c r="O68">
        <v>62.747047735465692</v>
      </c>
      <c r="P68">
        <v>0</v>
      </c>
      <c r="Q68">
        <v>103.11499394423127</v>
      </c>
      <c r="R68">
        <v>24.22863152274962</v>
      </c>
      <c r="S68">
        <v>6660.950101876595</v>
      </c>
      <c r="T68">
        <v>6621.5813164558467</v>
      </c>
      <c r="U68">
        <v>11123.658659166613</v>
      </c>
      <c r="V68">
        <v>1108.2605379820154</v>
      </c>
      <c r="W68">
        <v>1004.6270573596986</v>
      </c>
      <c r="X68">
        <v>207.34280041531542</v>
      </c>
      <c r="Y68">
        <v>0</v>
      </c>
      <c r="Z68">
        <v>38.23283798221091</v>
      </c>
      <c r="AA68">
        <v>1049.0252031587331</v>
      </c>
      <c r="AB68">
        <v>8.1515553529164002</v>
      </c>
      <c r="AC68">
        <v>3.4394420371085968</v>
      </c>
      <c r="AD68">
        <v>19.338374297425236</v>
      </c>
      <c r="AE68">
        <v>110.02896753630503</v>
      </c>
      <c r="AF68">
        <v>65.564108574180409</v>
      </c>
      <c r="AG68">
        <v>103.16530582329705</v>
      </c>
      <c r="AH68">
        <v>21.653772609176553</v>
      </c>
      <c r="AJ68">
        <v>0</v>
      </c>
      <c r="AK68">
        <v>1018.5408169208748</v>
      </c>
      <c r="AL68">
        <v>13263.540364485189</v>
      </c>
      <c r="AM68">
        <v>8983.535973685588</v>
      </c>
      <c r="AN68">
        <v>6469.4986250435431</v>
      </c>
      <c r="AO68">
        <v>3840.1637326061482</v>
      </c>
      <c r="AP68">
        <v>4179.0555224357731</v>
      </c>
      <c r="AQ68">
        <f t="shared" si="38"/>
        <v>94998.639384833121</v>
      </c>
      <c r="AR68">
        <f t="shared" si="39"/>
        <v>55825.704782284658</v>
      </c>
      <c r="AS68">
        <f t="shared" si="40"/>
        <v>39172.93460254847</v>
      </c>
    </row>
    <row r="70" spans="1:52" x14ac:dyDescent="0.25">
      <c r="A70" t="s">
        <v>271</v>
      </c>
      <c r="C70" t="s">
        <v>67</v>
      </c>
      <c r="D70">
        <f>AVERAGE(D44:D46)</f>
        <v>0</v>
      </c>
      <c r="E70">
        <f t="shared" ref="E70:AP70" si="41">AVERAGE(E44:E46)</f>
        <v>0</v>
      </c>
      <c r="F70">
        <f t="shared" si="41"/>
        <v>0</v>
      </c>
      <c r="G70">
        <f t="shared" si="41"/>
        <v>0</v>
      </c>
      <c r="H70">
        <f t="shared" si="41"/>
        <v>0</v>
      </c>
      <c r="I70">
        <f t="shared" si="41"/>
        <v>0</v>
      </c>
      <c r="J70">
        <f t="shared" si="41"/>
        <v>0</v>
      </c>
      <c r="K70">
        <f t="shared" si="41"/>
        <v>0</v>
      </c>
      <c r="L70">
        <f t="shared" si="41"/>
        <v>0</v>
      </c>
      <c r="M70">
        <f t="shared" si="41"/>
        <v>0</v>
      </c>
      <c r="N70">
        <f t="shared" si="41"/>
        <v>0</v>
      </c>
      <c r="O70">
        <f t="shared" si="41"/>
        <v>0</v>
      </c>
      <c r="P70" t="e">
        <f t="shared" si="41"/>
        <v>#DIV/0!</v>
      </c>
      <c r="Q70">
        <f t="shared" si="41"/>
        <v>0</v>
      </c>
      <c r="R70">
        <f t="shared" si="41"/>
        <v>0</v>
      </c>
      <c r="S70">
        <f t="shared" si="41"/>
        <v>4.5584368046503211E-2</v>
      </c>
      <c r="T70">
        <f t="shared" si="41"/>
        <v>8.7112235484213593E-3</v>
      </c>
      <c r="U70">
        <f t="shared" si="41"/>
        <v>1.2073602870940191E-3</v>
      </c>
      <c r="V70">
        <f t="shared" si="41"/>
        <v>0</v>
      </c>
      <c r="W70">
        <f t="shared" si="41"/>
        <v>0</v>
      </c>
      <c r="X70">
        <f t="shared" si="41"/>
        <v>0</v>
      </c>
      <c r="Y70" t="e">
        <f t="shared" si="41"/>
        <v>#DIV/0!</v>
      </c>
      <c r="Z70">
        <f t="shared" si="41"/>
        <v>0</v>
      </c>
      <c r="AA70">
        <f t="shared" si="41"/>
        <v>0</v>
      </c>
      <c r="AB70">
        <f t="shared" si="41"/>
        <v>0</v>
      </c>
      <c r="AC70">
        <f t="shared" si="41"/>
        <v>0</v>
      </c>
      <c r="AD70">
        <f t="shared" si="41"/>
        <v>0</v>
      </c>
      <c r="AE70">
        <f t="shared" si="41"/>
        <v>0</v>
      </c>
      <c r="AF70">
        <f t="shared" si="41"/>
        <v>0</v>
      </c>
      <c r="AG70">
        <f t="shared" si="41"/>
        <v>0</v>
      </c>
      <c r="AH70">
        <f t="shared" si="41"/>
        <v>0</v>
      </c>
      <c r="AI70" t="e">
        <f t="shared" si="41"/>
        <v>#DIV/0!</v>
      </c>
      <c r="AJ70" t="e">
        <f t="shared" si="41"/>
        <v>#DIV/0!</v>
      </c>
      <c r="AK70">
        <f t="shared" si="41"/>
        <v>7.1945313115167567E-2</v>
      </c>
      <c r="AL70">
        <f t="shared" si="41"/>
        <v>1.9413517250496844E-2</v>
      </c>
      <c r="AM70">
        <f t="shared" si="41"/>
        <v>3.4220964457846886E-3</v>
      </c>
      <c r="AN70">
        <f t="shared" si="41"/>
        <v>0</v>
      </c>
      <c r="AO70">
        <f t="shared" si="41"/>
        <v>0</v>
      </c>
      <c r="AP70">
        <f t="shared" si="41"/>
        <v>0</v>
      </c>
      <c r="AQ70" s="87">
        <f t="shared" ref="AQ70:AS70" si="42">AVERAGE(AQ44:AQ46)</f>
        <v>7.8647205058401323E-3</v>
      </c>
      <c r="AR70" s="87">
        <f t="shared" si="42"/>
        <v>6.8240192912250273E-3</v>
      </c>
      <c r="AS70" s="87">
        <f t="shared" si="42"/>
        <v>9.3273780170041246E-3</v>
      </c>
      <c r="AT70" s="87">
        <f>_xlfn.STDEV.P(AQ44:AQ46)</f>
        <v>1.1833135358860309E-3</v>
      </c>
      <c r="AU70" s="87">
        <f t="shared" ref="AU70:AV70" si="43">_xlfn.STDEV.P(AR44:AR46)</f>
        <v>1.0683956713349642E-3</v>
      </c>
      <c r="AV70" s="87">
        <f t="shared" si="43"/>
        <v>1.473273918802397E-3</v>
      </c>
      <c r="AW70" s="87" t="e">
        <f>SUM(D70,F70:G70,I70,K70:R70,Y70:AJ70,AO70:AP70)</f>
        <v>#DIV/0!</v>
      </c>
    </row>
    <row r="71" spans="1:52" x14ac:dyDescent="0.25">
      <c r="C71" t="s">
        <v>69</v>
      </c>
      <c r="D71">
        <f>AVERAGE(D47:D49)</f>
        <v>0</v>
      </c>
      <c r="E71">
        <f t="shared" ref="E71:AP71" si="44">AVERAGE(E47:E49)</f>
        <v>0</v>
      </c>
      <c r="F71">
        <f t="shared" si="44"/>
        <v>0</v>
      </c>
      <c r="G71">
        <f t="shared" si="44"/>
        <v>0</v>
      </c>
      <c r="H71">
        <f t="shared" si="44"/>
        <v>1.1378405174255745E-2</v>
      </c>
      <c r="I71">
        <f t="shared" si="44"/>
        <v>0</v>
      </c>
      <c r="J71">
        <f t="shared" si="44"/>
        <v>0</v>
      </c>
      <c r="K71">
        <f t="shared" si="44"/>
        <v>0</v>
      </c>
      <c r="L71">
        <f t="shared" si="44"/>
        <v>0</v>
      </c>
      <c r="M71">
        <f t="shared" si="44"/>
        <v>0</v>
      </c>
      <c r="N71">
        <f t="shared" si="44"/>
        <v>0</v>
      </c>
      <c r="O71">
        <f t="shared" si="44"/>
        <v>0</v>
      </c>
      <c r="P71" t="e">
        <f t="shared" si="44"/>
        <v>#DIV/0!</v>
      </c>
      <c r="Q71">
        <f t="shared" si="44"/>
        <v>0</v>
      </c>
      <c r="R71">
        <f t="shared" si="44"/>
        <v>0</v>
      </c>
      <c r="S71">
        <f t="shared" si="44"/>
        <v>7.3117500132910242E-3</v>
      </c>
      <c r="T71">
        <f t="shared" si="44"/>
        <v>3.396471996609432E-3</v>
      </c>
      <c r="U71">
        <f t="shared" si="44"/>
        <v>3.1679182280786311E-3</v>
      </c>
      <c r="V71">
        <f t="shared" si="44"/>
        <v>8.3153779249058729E-3</v>
      </c>
      <c r="W71">
        <f t="shared" si="44"/>
        <v>1.4918180098019712E-2</v>
      </c>
      <c r="X71">
        <f t="shared" si="44"/>
        <v>8.1475923573628845E-3</v>
      </c>
      <c r="Y71" t="e">
        <f t="shared" si="44"/>
        <v>#DIV/0!</v>
      </c>
      <c r="Z71">
        <f t="shared" si="44"/>
        <v>0</v>
      </c>
      <c r="AA71">
        <f t="shared" si="44"/>
        <v>0</v>
      </c>
      <c r="AB71">
        <f t="shared" si="44"/>
        <v>0</v>
      </c>
      <c r="AC71">
        <f t="shared" si="44"/>
        <v>0</v>
      </c>
      <c r="AD71">
        <f t="shared" si="44"/>
        <v>0</v>
      </c>
      <c r="AE71">
        <f t="shared" si="44"/>
        <v>0</v>
      </c>
      <c r="AF71">
        <f t="shared" si="44"/>
        <v>0</v>
      </c>
      <c r="AG71">
        <f t="shared" si="44"/>
        <v>0</v>
      </c>
      <c r="AH71">
        <f t="shared" si="44"/>
        <v>0</v>
      </c>
      <c r="AI71" t="e">
        <f t="shared" si="44"/>
        <v>#DIV/0!</v>
      </c>
      <c r="AJ71" t="e">
        <f t="shared" si="44"/>
        <v>#DIV/0!</v>
      </c>
      <c r="AK71">
        <f t="shared" si="44"/>
        <v>2.92611647815184E-3</v>
      </c>
      <c r="AL71">
        <f t="shared" si="44"/>
        <v>1.600066593650365E-3</v>
      </c>
      <c r="AM71">
        <f t="shared" si="44"/>
        <v>0</v>
      </c>
      <c r="AN71">
        <f t="shared" si="44"/>
        <v>0</v>
      </c>
      <c r="AO71">
        <f t="shared" si="44"/>
        <v>0</v>
      </c>
      <c r="AP71">
        <f t="shared" si="44"/>
        <v>0</v>
      </c>
      <c r="AQ71" s="87">
        <f t="shared" ref="AQ71:AS71" si="45">AVERAGE(AQ47:AQ49)</f>
        <v>2.221988453245683E-3</v>
      </c>
      <c r="AR71" s="87">
        <f t="shared" si="45"/>
        <v>3.3701305745926793E-3</v>
      </c>
      <c r="AS71" s="87">
        <f t="shared" si="45"/>
        <v>6.2512871103677977E-4</v>
      </c>
      <c r="AT71" s="87">
        <f>_xlfn.STDEV.P(AQ47:AQ49)</f>
        <v>8.7832700263496162E-4</v>
      </c>
      <c r="AU71" s="87">
        <f t="shared" ref="AU71:AV71" si="46">_xlfn.STDEV.P(AR47:AR49)</f>
        <v>1.5041970286379218E-3</v>
      </c>
      <c r="AV71" s="87">
        <f t="shared" si="46"/>
        <v>1.2761084095238128E-4</v>
      </c>
      <c r="AW71" s="87" t="e">
        <f t="shared" ref="AW71:AW76" si="47">SUM(D71,F71:G71,I71,K71:R71,Y71:AJ71,AO71:AP71)</f>
        <v>#DIV/0!</v>
      </c>
    </row>
    <row r="72" spans="1:52" x14ac:dyDescent="0.25">
      <c r="C72" t="s">
        <v>70</v>
      </c>
      <c r="D72">
        <f>AVERAGE(D50:D52)</f>
        <v>0</v>
      </c>
      <c r="E72">
        <f t="shared" ref="E72:AO72" si="48">AVERAGE(E50:E52)</f>
        <v>0</v>
      </c>
      <c r="F72">
        <f t="shared" si="48"/>
        <v>0</v>
      </c>
      <c r="G72">
        <f t="shared" si="48"/>
        <v>0</v>
      </c>
      <c r="H72">
        <f t="shared" si="48"/>
        <v>0</v>
      </c>
      <c r="I72">
        <f t="shared" si="48"/>
        <v>0</v>
      </c>
      <c r="J72">
        <f t="shared" si="48"/>
        <v>0.60271410076088827</v>
      </c>
      <c r="K72">
        <f t="shared" si="48"/>
        <v>0</v>
      </c>
      <c r="L72">
        <f t="shared" si="48"/>
        <v>0</v>
      </c>
      <c r="M72">
        <f t="shared" si="48"/>
        <v>0</v>
      </c>
      <c r="N72">
        <f t="shared" si="48"/>
        <v>0</v>
      </c>
      <c r="O72">
        <f t="shared" si="48"/>
        <v>0</v>
      </c>
      <c r="P72" t="e">
        <f t="shared" si="48"/>
        <v>#DIV/0!</v>
      </c>
      <c r="Q72">
        <f t="shared" si="48"/>
        <v>0</v>
      </c>
      <c r="R72">
        <f t="shared" si="48"/>
        <v>0</v>
      </c>
      <c r="S72">
        <f t="shared" si="48"/>
        <v>1.4099327723163029</v>
      </c>
      <c r="T72">
        <f t="shared" si="48"/>
        <v>0.30333741042477441</v>
      </c>
      <c r="U72">
        <f t="shared" si="48"/>
        <v>5.4502159298407737E-2</v>
      </c>
      <c r="V72">
        <f t="shared" si="48"/>
        <v>0</v>
      </c>
      <c r="W72">
        <f t="shared" si="48"/>
        <v>0</v>
      </c>
      <c r="X72">
        <f t="shared" si="48"/>
        <v>0</v>
      </c>
      <c r="Y72" t="e">
        <f t="shared" si="48"/>
        <v>#DIV/0!</v>
      </c>
      <c r="Z72">
        <f t="shared" si="48"/>
        <v>0</v>
      </c>
      <c r="AA72">
        <f t="shared" si="48"/>
        <v>0</v>
      </c>
      <c r="AB72">
        <f t="shared" si="48"/>
        <v>0</v>
      </c>
      <c r="AC72">
        <f t="shared" si="48"/>
        <v>0</v>
      </c>
      <c r="AD72">
        <f t="shared" si="48"/>
        <v>0</v>
      </c>
      <c r="AE72">
        <f t="shared" si="48"/>
        <v>0</v>
      </c>
      <c r="AF72">
        <f t="shared" si="48"/>
        <v>0</v>
      </c>
      <c r="AG72">
        <f t="shared" si="48"/>
        <v>0</v>
      </c>
      <c r="AH72">
        <f t="shared" si="48"/>
        <v>0</v>
      </c>
      <c r="AI72" t="e">
        <f t="shared" si="48"/>
        <v>#DIV/0!</v>
      </c>
      <c r="AJ72" t="e">
        <f t="shared" si="48"/>
        <v>#DIV/0!</v>
      </c>
      <c r="AK72">
        <f t="shared" si="48"/>
        <v>2.2171288224646837</v>
      </c>
      <c r="AL72">
        <f t="shared" si="48"/>
        <v>0.78056359644000761</v>
      </c>
      <c r="AM72">
        <f t="shared" si="48"/>
        <v>0.17298451965802789</v>
      </c>
      <c r="AN72">
        <f t="shared" si="48"/>
        <v>6.9023397895917908E-3</v>
      </c>
      <c r="AO72">
        <f t="shared" si="48"/>
        <v>0</v>
      </c>
      <c r="AP72">
        <f>AVERAGE(AP50:AP52)</f>
        <v>0</v>
      </c>
      <c r="AQ72" s="87">
        <f>AVERAGE(AQ50:AQ52)</f>
        <v>0.28142301733203595</v>
      </c>
      <c r="AR72" s="87">
        <f t="shared" ref="AR72:AS72" si="49">AVERAGE(AR50:AR52)</f>
        <v>0.21966843991269505</v>
      </c>
      <c r="AS72" s="87">
        <f t="shared" si="49"/>
        <v>0.36754049339489864</v>
      </c>
      <c r="AT72" s="87">
        <f>_xlfn.STDEV.P(AQ50:AQ52)</f>
        <v>7.7899218550150445E-2</v>
      </c>
      <c r="AU72" s="87">
        <f t="shared" ref="AU72:AV72" si="50">_xlfn.STDEV.P(AR50:AR52)</f>
        <v>5.7363689898365523E-2</v>
      </c>
      <c r="AV72" s="87">
        <f t="shared" si="50"/>
        <v>0.10557083737613321</v>
      </c>
      <c r="AW72" s="87" t="e">
        <f t="shared" si="47"/>
        <v>#DIV/0!</v>
      </c>
    </row>
    <row r="73" spans="1:52" x14ac:dyDescent="0.25">
      <c r="C73" t="s">
        <v>71</v>
      </c>
      <c r="D73">
        <f>AVERAGE(D53:D55)</f>
        <v>0</v>
      </c>
      <c r="E73">
        <f t="shared" ref="E73:AP73" si="51">AVERAGE(E53:E55)</f>
        <v>0</v>
      </c>
      <c r="F73">
        <f t="shared" si="51"/>
        <v>0</v>
      </c>
      <c r="G73">
        <f t="shared" si="51"/>
        <v>0</v>
      </c>
      <c r="H73">
        <f t="shared" si="51"/>
        <v>0</v>
      </c>
      <c r="I73">
        <f t="shared" si="51"/>
        <v>0</v>
      </c>
      <c r="J73">
        <f t="shared" si="51"/>
        <v>0</v>
      </c>
      <c r="K73">
        <f t="shared" si="51"/>
        <v>0</v>
      </c>
      <c r="L73">
        <f t="shared" si="51"/>
        <v>0</v>
      </c>
      <c r="M73">
        <f t="shared" si="51"/>
        <v>0</v>
      </c>
      <c r="N73">
        <f t="shared" si="51"/>
        <v>0</v>
      </c>
      <c r="O73">
        <f t="shared" si="51"/>
        <v>0</v>
      </c>
      <c r="P73" t="e">
        <f t="shared" si="51"/>
        <v>#DIV/0!</v>
      </c>
      <c r="Q73">
        <f t="shared" si="51"/>
        <v>0</v>
      </c>
      <c r="R73">
        <f t="shared" si="51"/>
        <v>0</v>
      </c>
      <c r="S73">
        <f t="shared" si="51"/>
        <v>6.9356962062842906E-2</v>
      </c>
      <c r="T73">
        <f t="shared" si="51"/>
        <v>2.3349231528703787E-2</v>
      </c>
      <c r="U73">
        <f t="shared" si="51"/>
        <v>5.1404729976268207E-3</v>
      </c>
      <c r="V73">
        <f t="shared" si="51"/>
        <v>0</v>
      </c>
      <c r="W73">
        <f t="shared" si="51"/>
        <v>0</v>
      </c>
      <c r="X73">
        <f t="shared" si="51"/>
        <v>0</v>
      </c>
      <c r="Y73" t="e">
        <f t="shared" si="51"/>
        <v>#DIV/0!</v>
      </c>
      <c r="Z73">
        <f t="shared" si="51"/>
        <v>0</v>
      </c>
      <c r="AA73">
        <f t="shared" si="51"/>
        <v>0</v>
      </c>
      <c r="AB73">
        <f t="shared" si="51"/>
        <v>0</v>
      </c>
      <c r="AC73">
        <f t="shared" si="51"/>
        <v>0</v>
      </c>
      <c r="AD73">
        <f t="shared" si="51"/>
        <v>0</v>
      </c>
      <c r="AE73">
        <f t="shared" si="51"/>
        <v>0</v>
      </c>
      <c r="AF73">
        <f t="shared" si="51"/>
        <v>0</v>
      </c>
      <c r="AG73">
        <f t="shared" si="51"/>
        <v>0</v>
      </c>
      <c r="AH73">
        <f t="shared" si="51"/>
        <v>0</v>
      </c>
      <c r="AI73" t="e">
        <f t="shared" si="51"/>
        <v>#DIV/0!</v>
      </c>
      <c r="AJ73" t="e">
        <f t="shared" si="51"/>
        <v>#DIV/0!</v>
      </c>
      <c r="AK73">
        <f t="shared" si="51"/>
        <v>0.10126913109332357</v>
      </c>
      <c r="AL73">
        <f t="shared" si="51"/>
        <v>3.5412257120194413E-2</v>
      </c>
      <c r="AM73">
        <f t="shared" si="51"/>
        <v>6.2963057158315011E-3</v>
      </c>
      <c r="AN73">
        <f t="shared" si="51"/>
        <v>0</v>
      </c>
      <c r="AO73">
        <f t="shared" si="51"/>
        <v>0</v>
      </c>
      <c r="AP73">
        <f t="shared" si="51"/>
        <v>0</v>
      </c>
      <c r="AQ73" s="87">
        <f t="shared" ref="AQ73:AS73" si="52">AVERAGE(AQ53:AQ55)</f>
        <v>1.3979556074061756E-2</v>
      </c>
      <c r="AR73" s="87">
        <f t="shared" si="52"/>
        <v>1.2360035447993663E-2</v>
      </c>
      <c r="AS73" s="87">
        <f t="shared" si="52"/>
        <v>1.628101763204055E-2</v>
      </c>
      <c r="AT73" s="87">
        <f>_xlfn.STDEV.P(AQ53:AQ55)</f>
        <v>5.5839440187158799E-3</v>
      </c>
      <c r="AU73" s="87">
        <f t="shared" ref="AU73:AV73" si="53">_xlfn.STDEV.P(AR53:AR55)</f>
        <v>7.1216321014908142E-3</v>
      </c>
      <c r="AV73" s="87">
        <f t="shared" si="53"/>
        <v>4.1185044968209718E-3</v>
      </c>
      <c r="AW73" s="87" t="e">
        <f t="shared" si="47"/>
        <v>#DIV/0!</v>
      </c>
    </row>
    <row r="74" spans="1:52" x14ac:dyDescent="0.25">
      <c r="C74" t="s">
        <v>72</v>
      </c>
      <c r="D74">
        <f>AVERAGE(D56:D58)</f>
        <v>0</v>
      </c>
      <c r="E74">
        <f t="shared" ref="E74:AP74" si="54">AVERAGE(E56:E58)</f>
        <v>0</v>
      </c>
      <c r="F74">
        <f t="shared" si="54"/>
        <v>0</v>
      </c>
      <c r="G74">
        <f t="shared" si="54"/>
        <v>0</v>
      </c>
      <c r="H74">
        <f t="shared" si="54"/>
        <v>0</v>
      </c>
      <c r="I74">
        <f t="shared" si="54"/>
        <v>0</v>
      </c>
      <c r="J74">
        <f t="shared" si="54"/>
        <v>0</v>
      </c>
      <c r="K74">
        <f t="shared" si="54"/>
        <v>0</v>
      </c>
      <c r="L74">
        <f t="shared" si="54"/>
        <v>0</v>
      </c>
      <c r="M74">
        <f t="shared" si="54"/>
        <v>0</v>
      </c>
      <c r="N74">
        <f t="shared" si="54"/>
        <v>0</v>
      </c>
      <c r="O74">
        <f t="shared" si="54"/>
        <v>0</v>
      </c>
      <c r="P74" t="e">
        <f t="shared" si="54"/>
        <v>#DIV/0!</v>
      </c>
      <c r="Q74">
        <f t="shared" si="54"/>
        <v>0</v>
      </c>
      <c r="R74">
        <f t="shared" si="54"/>
        <v>0</v>
      </c>
      <c r="S74">
        <f t="shared" si="54"/>
        <v>1.0546181110836413E-2</v>
      </c>
      <c r="T74">
        <f t="shared" si="54"/>
        <v>2.8364841147746206E-3</v>
      </c>
      <c r="U74">
        <f t="shared" si="54"/>
        <v>6.2063244940340802E-4</v>
      </c>
      <c r="V74">
        <f t="shared" si="54"/>
        <v>0</v>
      </c>
      <c r="W74">
        <f t="shared" si="54"/>
        <v>0</v>
      </c>
      <c r="X74">
        <f t="shared" si="54"/>
        <v>0</v>
      </c>
      <c r="Y74" t="e">
        <f t="shared" si="54"/>
        <v>#DIV/0!</v>
      </c>
      <c r="Z74">
        <f t="shared" si="54"/>
        <v>0</v>
      </c>
      <c r="AA74">
        <f t="shared" si="54"/>
        <v>0</v>
      </c>
      <c r="AB74">
        <f t="shared" si="54"/>
        <v>0</v>
      </c>
      <c r="AC74">
        <f t="shared" si="54"/>
        <v>0</v>
      </c>
      <c r="AD74">
        <f t="shared" si="54"/>
        <v>0</v>
      </c>
      <c r="AE74">
        <f t="shared" si="54"/>
        <v>0</v>
      </c>
      <c r="AF74">
        <f t="shared" si="54"/>
        <v>0</v>
      </c>
      <c r="AG74">
        <f t="shared" si="54"/>
        <v>0</v>
      </c>
      <c r="AH74">
        <f t="shared" si="54"/>
        <v>0</v>
      </c>
      <c r="AI74" t="e">
        <f t="shared" si="54"/>
        <v>#DIV/0!</v>
      </c>
      <c r="AJ74" t="e">
        <f t="shared" si="54"/>
        <v>#DIV/0!</v>
      </c>
      <c r="AK74">
        <f t="shared" si="54"/>
        <v>7.6576864856673426E-3</v>
      </c>
      <c r="AL74">
        <f t="shared" si="54"/>
        <v>2.8267483835760858E-3</v>
      </c>
      <c r="AM74">
        <f t="shared" si="54"/>
        <v>2.11509383448997E-4</v>
      </c>
      <c r="AN74">
        <f t="shared" si="54"/>
        <v>0</v>
      </c>
      <c r="AO74">
        <f t="shared" si="54"/>
        <v>0</v>
      </c>
      <c r="AP74">
        <f t="shared" si="54"/>
        <v>0</v>
      </c>
      <c r="AQ74" s="87">
        <f t="shared" ref="AQ74:AS74" si="55">AVERAGE(AQ56:AQ58)</f>
        <v>1.529398360808879E-3</v>
      </c>
      <c r="AR74" s="87">
        <f t="shared" si="55"/>
        <v>1.7511160473015867E-3</v>
      </c>
      <c r="AS74" s="87">
        <f t="shared" si="55"/>
        <v>1.2202007740305899E-3</v>
      </c>
      <c r="AT74" s="87">
        <f>_xlfn.STDEV.P(AQ56:AQ58)</f>
        <v>4.3748857309059216E-4</v>
      </c>
      <c r="AU74" s="87">
        <f t="shared" ref="AU74:AV74" si="56">_xlfn.STDEV.P(AR56:AR58)</f>
        <v>5.1674423114916543E-4</v>
      </c>
      <c r="AV74" s="87">
        <f t="shared" si="56"/>
        <v>3.3652006183207774E-4</v>
      </c>
      <c r="AW74" s="87" t="e">
        <f t="shared" si="47"/>
        <v>#DIV/0!</v>
      </c>
      <c r="AX74" t="s">
        <v>276</v>
      </c>
    </row>
    <row r="75" spans="1:52" ht="15.75" x14ac:dyDescent="0.25">
      <c r="C75" t="s">
        <v>73</v>
      </c>
      <c r="AQ75" s="87"/>
      <c r="AR75" s="87"/>
      <c r="AS75" s="87"/>
      <c r="AT75" s="87">
        <f>_xlfn.STDEV.P(AQ59:AQ61)</f>
        <v>0</v>
      </c>
      <c r="AU75" s="87">
        <f t="shared" ref="AU75:AV75" si="57">_xlfn.STDEV.P(AR59:AR61)</f>
        <v>0</v>
      </c>
      <c r="AV75" s="87">
        <f t="shared" si="57"/>
        <v>0</v>
      </c>
      <c r="AW75" s="87">
        <f t="shared" si="47"/>
        <v>0</v>
      </c>
      <c r="AX75" t="s">
        <v>277</v>
      </c>
      <c r="AZ75" s="88"/>
    </row>
    <row r="76" spans="1:52" x14ac:dyDescent="0.25">
      <c r="C76" t="s">
        <v>74</v>
      </c>
      <c r="D76">
        <f>AVERAGE(D62:D64)</f>
        <v>0</v>
      </c>
      <c r="E76">
        <f t="shared" ref="E76:AP76" si="58">AVERAGE(E62:E64)</f>
        <v>0</v>
      </c>
      <c r="F76">
        <f t="shared" si="58"/>
        <v>0</v>
      </c>
      <c r="G76">
        <f t="shared" si="58"/>
        <v>0</v>
      </c>
      <c r="H76">
        <f t="shared" si="58"/>
        <v>0</v>
      </c>
      <c r="I76">
        <f t="shared" si="58"/>
        <v>0</v>
      </c>
      <c r="J76">
        <f t="shared" si="58"/>
        <v>0</v>
      </c>
      <c r="K76">
        <f t="shared" si="58"/>
        <v>0</v>
      </c>
      <c r="L76">
        <f t="shared" si="58"/>
        <v>0</v>
      </c>
      <c r="M76">
        <f t="shared" si="58"/>
        <v>0</v>
      </c>
      <c r="N76">
        <f t="shared" si="58"/>
        <v>0</v>
      </c>
      <c r="O76">
        <f t="shared" si="58"/>
        <v>0</v>
      </c>
      <c r="P76" t="e">
        <f t="shared" si="58"/>
        <v>#DIV/0!</v>
      </c>
      <c r="Q76">
        <f t="shared" si="58"/>
        <v>0</v>
      </c>
      <c r="R76">
        <f t="shared" si="58"/>
        <v>0</v>
      </c>
      <c r="S76">
        <f t="shared" si="58"/>
        <v>3.6285965698819096E-2</v>
      </c>
      <c r="T76">
        <f t="shared" si="58"/>
        <v>7.1306157122903351E-3</v>
      </c>
      <c r="U76">
        <f t="shared" si="58"/>
        <v>1.0907691218902578E-3</v>
      </c>
      <c r="V76">
        <f t="shared" si="58"/>
        <v>0</v>
      </c>
      <c r="W76">
        <f t="shared" si="58"/>
        <v>0</v>
      </c>
      <c r="X76">
        <f t="shared" si="58"/>
        <v>0</v>
      </c>
      <c r="Y76" t="e">
        <f t="shared" si="58"/>
        <v>#DIV/0!</v>
      </c>
      <c r="Z76">
        <f t="shared" si="58"/>
        <v>0</v>
      </c>
      <c r="AA76">
        <f t="shared" si="58"/>
        <v>0</v>
      </c>
      <c r="AB76">
        <f t="shared" si="58"/>
        <v>0</v>
      </c>
      <c r="AC76">
        <f t="shared" si="58"/>
        <v>0</v>
      </c>
      <c r="AD76">
        <f t="shared" si="58"/>
        <v>0</v>
      </c>
      <c r="AE76">
        <f t="shared" si="58"/>
        <v>0</v>
      </c>
      <c r="AF76">
        <f t="shared" si="58"/>
        <v>0</v>
      </c>
      <c r="AG76">
        <f t="shared" si="58"/>
        <v>0</v>
      </c>
      <c r="AH76">
        <f t="shared" si="58"/>
        <v>0</v>
      </c>
      <c r="AI76" t="e">
        <f t="shared" si="58"/>
        <v>#DIV/0!</v>
      </c>
      <c r="AJ76" t="e">
        <f t="shared" si="58"/>
        <v>#DIV/0!</v>
      </c>
      <c r="AK76">
        <f t="shared" si="58"/>
        <v>4.544210926396941E-2</v>
      </c>
      <c r="AL76">
        <f t="shared" si="58"/>
        <v>1.1237746049683577E-2</v>
      </c>
      <c r="AM76">
        <f t="shared" si="58"/>
        <v>1.4588718699131429E-3</v>
      </c>
      <c r="AN76">
        <f t="shared" si="58"/>
        <v>0</v>
      </c>
      <c r="AO76">
        <f t="shared" si="58"/>
        <v>0</v>
      </c>
      <c r="AP76">
        <f t="shared" si="58"/>
        <v>0</v>
      </c>
      <c r="AQ76" s="87">
        <f t="shared" ref="AQ76:AS76" si="59">AVERAGE(AQ62:AQ64)</f>
        <v>5.426629503192777E-3</v>
      </c>
      <c r="AR76" s="87">
        <f t="shared" si="59"/>
        <v>5.4396887782651449E-3</v>
      </c>
      <c r="AS76" s="87">
        <f t="shared" si="59"/>
        <v>5.3822637618196924E-3</v>
      </c>
      <c r="AT76" s="87">
        <f>_xlfn.STDEV.P(AQ62:AQ64)</f>
        <v>2.3206012693890847E-3</v>
      </c>
      <c r="AU76" s="87">
        <f t="shared" ref="AU76:AV76" si="60">_xlfn.STDEV.P(AR62:AR64)</f>
        <v>3.3786487171410177E-3</v>
      </c>
      <c r="AV76" s="87">
        <f t="shared" si="60"/>
        <v>1.5741313733766914E-3</v>
      </c>
      <c r="AW76" s="87" t="e">
        <f t="shared" si="47"/>
        <v>#DIV/0!</v>
      </c>
      <c r="AX76" t="s">
        <v>278</v>
      </c>
    </row>
    <row r="78" spans="1:52" x14ac:dyDescent="0.25">
      <c r="A78" s="2" t="s">
        <v>75</v>
      </c>
      <c r="B78" s="2">
        <v>45203</v>
      </c>
      <c r="C78" t="s">
        <v>39</v>
      </c>
      <c r="D78" s="11">
        <v>0</v>
      </c>
      <c r="E78" s="11">
        <v>0</v>
      </c>
      <c r="F78" s="11">
        <v>0</v>
      </c>
      <c r="G78" s="11">
        <v>0</v>
      </c>
      <c r="H78" s="11">
        <v>0</v>
      </c>
      <c r="I78" s="11">
        <v>0</v>
      </c>
      <c r="J78" s="11">
        <v>0</v>
      </c>
      <c r="K78" s="11">
        <v>0</v>
      </c>
      <c r="L78" s="11">
        <v>0</v>
      </c>
      <c r="M78" s="11">
        <v>0</v>
      </c>
      <c r="N78" s="11">
        <v>0</v>
      </c>
      <c r="O78" s="10">
        <v>0</v>
      </c>
      <c r="P78" s="11">
        <v>0</v>
      </c>
      <c r="Q78" s="11">
        <v>0</v>
      </c>
      <c r="R78" s="11">
        <v>0</v>
      </c>
      <c r="S78" s="12">
        <v>45.6</v>
      </c>
      <c r="T78" s="12">
        <v>7.15</v>
      </c>
      <c r="U78" s="11">
        <v>1.5</v>
      </c>
      <c r="V78" s="11">
        <v>0</v>
      </c>
      <c r="W78" s="11">
        <v>0</v>
      </c>
      <c r="X78" s="11">
        <v>0</v>
      </c>
      <c r="Y78" s="11">
        <v>0</v>
      </c>
      <c r="Z78" s="11">
        <v>0</v>
      </c>
      <c r="AA78" s="11">
        <v>0</v>
      </c>
      <c r="AB78" s="11">
        <v>0</v>
      </c>
      <c r="AC78" s="11">
        <v>0</v>
      </c>
      <c r="AD78">
        <v>0</v>
      </c>
      <c r="AE78">
        <v>0</v>
      </c>
      <c r="AF78">
        <v>0</v>
      </c>
      <c r="AG78">
        <v>0</v>
      </c>
      <c r="AH78">
        <v>0</v>
      </c>
      <c r="AI78" s="11">
        <v>0</v>
      </c>
      <c r="AJ78" s="11">
        <v>0</v>
      </c>
      <c r="AK78" s="12">
        <v>16.7</v>
      </c>
      <c r="AL78" s="18">
        <v>54.5</v>
      </c>
      <c r="AM78" s="12">
        <v>8.68</v>
      </c>
      <c r="AN78" s="11">
        <v>0.81899999999999995</v>
      </c>
      <c r="AO78" s="11">
        <v>0</v>
      </c>
      <c r="AP78" s="11">
        <v>0</v>
      </c>
    </row>
    <row r="79" spans="1:52" x14ac:dyDescent="0.25">
      <c r="A79" t="s">
        <v>282</v>
      </c>
      <c r="C79" t="s">
        <v>40</v>
      </c>
      <c r="D79" s="11">
        <v>0</v>
      </c>
      <c r="E79" s="11">
        <v>0</v>
      </c>
      <c r="F79" s="11">
        <v>0</v>
      </c>
      <c r="G79" s="11">
        <v>0</v>
      </c>
      <c r="H79" s="11">
        <v>0</v>
      </c>
      <c r="I79" s="11">
        <v>0</v>
      </c>
      <c r="J79" s="11">
        <v>0</v>
      </c>
      <c r="K79" s="11">
        <v>0</v>
      </c>
      <c r="L79" s="11">
        <v>0</v>
      </c>
      <c r="M79" s="11">
        <v>0</v>
      </c>
      <c r="N79" s="11">
        <v>0</v>
      </c>
      <c r="O79" s="10">
        <v>0</v>
      </c>
      <c r="P79" s="11">
        <v>0</v>
      </c>
      <c r="Q79" s="11">
        <v>0</v>
      </c>
      <c r="R79" s="11">
        <v>0</v>
      </c>
      <c r="S79" s="12">
        <v>35.6</v>
      </c>
      <c r="T79" s="11">
        <v>4.28</v>
      </c>
      <c r="U79" s="11">
        <v>0</v>
      </c>
      <c r="V79" s="11">
        <v>0</v>
      </c>
      <c r="W79" s="11">
        <v>0</v>
      </c>
      <c r="X79" s="11">
        <v>0</v>
      </c>
      <c r="Y79" s="11">
        <v>0</v>
      </c>
      <c r="Z79" s="11">
        <v>0</v>
      </c>
      <c r="AA79" s="11">
        <v>0</v>
      </c>
      <c r="AB79" s="11">
        <v>0</v>
      </c>
      <c r="AC79" s="11">
        <v>0</v>
      </c>
      <c r="AD79">
        <v>0</v>
      </c>
      <c r="AE79">
        <v>0</v>
      </c>
      <c r="AF79">
        <v>0</v>
      </c>
      <c r="AG79">
        <v>0</v>
      </c>
      <c r="AH79">
        <v>0</v>
      </c>
      <c r="AI79" s="11">
        <v>0</v>
      </c>
      <c r="AJ79" s="11">
        <v>0</v>
      </c>
      <c r="AK79" s="12">
        <v>10.6</v>
      </c>
      <c r="AL79" s="12">
        <v>38.299999999999997</v>
      </c>
      <c r="AM79" s="11">
        <v>4.76</v>
      </c>
      <c r="AN79" s="11">
        <v>0</v>
      </c>
      <c r="AO79" s="11">
        <v>0</v>
      </c>
      <c r="AP79" s="11">
        <v>0</v>
      </c>
    </row>
    <row r="80" spans="1:52" x14ac:dyDescent="0.25">
      <c r="C80" t="s">
        <v>41</v>
      </c>
      <c r="D80" s="11">
        <v>0</v>
      </c>
      <c r="E80" s="11">
        <v>0</v>
      </c>
      <c r="F80" s="11">
        <v>0</v>
      </c>
      <c r="G80" s="11">
        <v>0</v>
      </c>
      <c r="H80" s="11">
        <v>0</v>
      </c>
      <c r="I80" s="11">
        <v>0</v>
      </c>
      <c r="J80" s="11">
        <v>0</v>
      </c>
      <c r="K80" s="11">
        <v>0</v>
      </c>
      <c r="L80" s="11">
        <v>0</v>
      </c>
      <c r="M80" s="11">
        <v>0</v>
      </c>
      <c r="N80" s="11">
        <v>0</v>
      </c>
      <c r="O80" s="10">
        <v>0</v>
      </c>
      <c r="P80" s="11">
        <v>0</v>
      </c>
      <c r="Q80" s="11">
        <v>0</v>
      </c>
      <c r="R80" s="11">
        <v>0</v>
      </c>
      <c r="S80" s="12">
        <v>54.4</v>
      </c>
      <c r="T80" s="11">
        <v>5.21</v>
      </c>
      <c r="U80" s="11">
        <v>0.64900000000000002</v>
      </c>
      <c r="V80" s="11">
        <v>0</v>
      </c>
      <c r="W80" s="11">
        <v>0</v>
      </c>
      <c r="X80" s="11">
        <v>0</v>
      </c>
      <c r="Y80" s="11">
        <v>0</v>
      </c>
      <c r="Z80" s="11">
        <v>0</v>
      </c>
      <c r="AA80" s="11">
        <v>0</v>
      </c>
      <c r="AB80" s="11">
        <v>0</v>
      </c>
      <c r="AC80" s="11">
        <v>0</v>
      </c>
      <c r="AD80">
        <v>0</v>
      </c>
      <c r="AE80">
        <v>0</v>
      </c>
      <c r="AF80">
        <v>0</v>
      </c>
      <c r="AG80">
        <v>0</v>
      </c>
      <c r="AH80">
        <v>0</v>
      </c>
      <c r="AI80" s="11">
        <v>0</v>
      </c>
      <c r="AJ80" s="11">
        <v>0</v>
      </c>
      <c r="AK80" s="12">
        <v>15.9</v>
      </c>
      <c r="AL80" s="12">
        <v>66.099999999999994</v>
      </c>
      <c r="AM80" s="11">
        <v>7.78</v>
      </c>
      <c r="AN80" s="11">
        <v>0</v>
      </c>
      <c r="AO80" s="11">
        <v>0</v>
      </c>
      <c r="AP80" s="11">
        <v>0</v>
      </c>
    </row>
    <row r="81" spans="1:49" x14ac:dyDescent="0.25">
      <c r="C81" t="s">
        <v>89</v>
      </c>
      <c r="D81" s="89">
        <f>AVERAGE(D78:D80)</f>
        <v>0</v>
      </c>
      <c r="E81" s="89">
        <f t="shared" ref="E81:AP81" si="61">AVERAGE(E78:E80)</f>
        <v>0</v>
      </c>
      <c r="F81" s="89">
        <f t="shared" si="61"/>
        <v>0</v>
      </c>
      <c r="G81" s="89">
        <f t="shared" si="61"/>
        <v>0</v>
      </c>
      <c r="H81" s="89">
        <f t="shared" si="61"/>
        <v>0</v>
      </c>
      <c r="I81" s="89">
        <f t="shared" si="61"/>
        <v>0</v>
      </c>
      <c r="J81" s="89">
        <f t="shared" si="61"/>
        <v>0</v>
      </c>
      <c r="K81" s="89">
        <f t="shared" si="61"/>
        <v>0</v>
      </c>
      <c r="L81" s="89">
        <f t="shared" si="61"/>
        <v>0</v>
      </c>
      <c r="M81" s="89">
        <f t="shared" si="61"/>
        <v>0</v>
      </c>
      <c r="N81" s="89">
        <f t="shared" si="61"/>
        <v>0</v>
      </c>
      <c r="O81" s="89">
        <f t="shared" si="61"/>
        <v>0</v>
      </c>
      <c r="P81" s="89">
        <f t="shared" si="61"/>
        <v>0</v>
      </c>
      <c r="Q81" s="89">
        <f t="shared" si="61"/>
        <v>0</v>
      </c>
      <c r="R81" s="89">
        <f t="shared" si="61"/>
        <v>0</v>
      </c>
      <c r="S81" s="89">
        <f t="shared" si="61"/>
        <v>45.199999999999996</v>
      </c>
      <c r="T81" s="89">
        <f t="shared" si="61"/>
        <v>5.5466666666666669</v>
      </c>
      <c r="U81" s="89">
        <f t="shared" si="61"/>
        <v>0.71633333333333338</v>
      </c>
      <c r="V81" s="89">
        <f t="shared" si="61"/>
        <v>0</v>
      </c>
      <c r="W81" s="89">
        <f t="shared" si="61"/>
        <v>0</v>
      </c>
      <c r="X81" s="89">
        <f t="shared" si="61"/>
        <v>0</v>
      </c>
      <c r="Y81" s="89">
        <f t="shared" si="61"/>
        <v>0</v>
      </c>
      <c r="Z81" s="89">
        <f t="shared" si="61"/>
        <v>0</v>
      </c>
      <c r="AA81" s="89">
        <f t="shared" si="61"/>
        <v>0</v>
      </c>
      <c r="AB81" s="89">
        <f t="shared" si="61"/>
        <v>0</v>
      </c>
      <c r="AC81" s="89">
        <f t="shared" si="61"/>
        <v>0</v>
      </c>
      <c r="AD81" s="89">
        <f t="shared" si="61"/>
        <v>0</v>
      </c>
      <c r="AE81" s="89">
        <f t="shared" si="61"/>
        <v>0</v>
      </c>
      <c r="AF81" s="89">
        <f t="shared" si="61"/>
        <v>0</v>
      </c>
      <c r="AG81" s="89">
        <f t="shared" si="61"/>
        <v>0</v>
      </c>
      <c r="AH81" s="89">
        <f t="shared" si="61"/>
        <v>0</v>
      </c>
      <c r="AI81" s="89">
        <f t="shared" si="61"/>
        <v>0</v>
      </c>
      <c r="AJ81" s="89">
        <f t="shared" si="61"/>
        <v>0</v>
      </c>
      <c r="AK81" s="89">
        <f t="shared" si="61"/>
        <v>14.399999999999999</v>
      </c>
      <c r="AL81" s="89">
        <f t="shared" si="61"/>
        <v>52.966666666666661</v>
      </c>
      <c r="AM81" s="89">
        <f t="shared" si="61"/>
        <v>7.0733333333333333</v>
      </c>
      <c r="AN81" s="89">
        <f t="shared" si="61"/>
        <v>0.27299999999999996</v>
      </c>
      <c r="AO81" s="89">
        <f t="shared" si="61"/>
        <v>0</v>
      </c>
      <c r="AP81" s="89">
        <f t="shared" si="61"/>
        <v>0</v>
      </c>
      <c r="AQ81" s="33">
        <f>SUM(D81:AP81)</f>
        <v>126.176</v>
      </c>
      <c r="AR81" s="33">
        <f t="shared" ref="AR81" si="62">SUM(D81:X81)</f>
        <v>51.462999999999994</v>
      </c>
      <c r="AS81" s="33">
        <f t="shared" ref="AS81" si="63">SUM(Y81:AP81)</f>
        <v>74.712999999999994</v>
      </c>
      <c r="AT81" s="33">
        <f>_xlfn.STDEV.P(AQ58:AQ60)</f>
        <v>7.4375598524324888E-4</v>
      </c>
      <c r="AU81" s="33">
        <f>_xlfn.STDEV.P(AR58:AR60)</f>
        <v>8.248617877145999E-4</v>
      </c>
      <c r="AV81" s="33">
        <f>_xlfn.STDEV.P(AS58:AS60)</f>
        <v>6.2817136972145513E-4</v>
      </c>
      <c r="AW81" s="33">
        <f>SUM(D81,F81:G81,I81,K81:R81,Y81:AJ81,AO81:AP81)</f>
        <v>0</v>
      </c>
    </row>
    <row r="82" spans="1:49" x14ac:dyDescent="0.25">
      <c r="A82" t="s">
        <v>281</v>
      </c>
      <c r="C82" t="s">
        <v>177</v>
      </c>
      <c r="D82" s="89">
        <v>0</v>
      </c>
      <c r="E82" s="89">
        <v>0</v>
      </c>
      <c r="F82" s="89">
        <v>0</v>
      </c>
      <c r="G82" s="89">
        <v>0</v>
      </c>
      <c r="H82" s="89">
        <v>0</v>
      </c>
      <c r="I82" s="89">
        <v>0</v>
      </c>
      <c r="J82">
        <v>0.71950000000000003</v>
      </c>
      <c r="K82" s="89">
        <v>0</v>
      </c>
      <c r="L82" s="89">
        <v>0</v>
      </c>
      <c r="M82" s="89">
        <v>0</v>
      </c>
      <c r="N82" s="89">
        <v>0</v>
      </c>
      <c r="O82" s="89">
        <v>0</v>
      </c>
      <c r="P82" s="89">
        <v>0</v>
      </c>
      <c r="Q82" s="89">
        <v>0</v>
      </c>
      <c r="R82" s="89">
        <v>0</v>
      </c>
      <c r="S82">
        <v>148.33333333333334</v>
      </c>
      <c r="T82">
        <v>32.866666666666667</v>
      </c>
      <c r="U82">
        <v>9.1566666666666663</v>
      </c>
      <c r="V82" s="89">
        <v>0</v>
      </c>
      <c r="W82" s="89">
        <v>0</v>
      </c>
      <c r="X82" s="89">
        <v>0</v>
      </c>
      <c r="Y82" s="89">
        <v>0</v>
      </c>
      <c r="Z82" s="89">
        <v>0</v>
      </c>
      <c r="AA82" s="89">
        <v>0</v>
      </c>
      <c r="AB82" s="89">
        <v>0</v>
      </c>
      <c r="AC82" s="89">
        <v>0</v>
      </c>
      <c r="AD82" s="89">
        <v>0</v>
      </c>
      <c r="AE82" s="89">
        <v>0</v>
      </c>
      <c r="AF82" s="89">
        <v>0</v>
      </c>
      <c r="AG82" s="89">
        <v>0</v>
      </c>
      <c r="AH82" s="89">
        <v>0</v>
      </c>
      <c r="AI82" s="89">
        <v>0</v>
      </c>
      <c r="AJ82" s="89">
        <v>0</v>
      </c>
      <c r="AK82">
        <v>36.033333333333339</v>
      </c>
      <c r="AL82">
        <v>166.66666666666666</v>
      </c>
      <c r="AM82">
        <v>24.466666666666669</v>
      </c>
      <c r="AN82">
        <v>0.66633333333333333</v>
      </c>
      <c r="AO82" s="89">
        <v>0</v>
      </c>
      <c r="AP82" s="89">
        <v>0</v>
      </c>
      <c r="AQ82">
        <v>418.90916666666669</v>
      </c>
      <c r="AR82">
        <v>191.07616666666669</v>
      </c>
      <c r="AS82">
        <v>227.833</v>
      </c>
      <c r="AT82">
        <v>82.682941897884561</v>
      </c>
      <c r="AU82">
        <v>33.646681464232771</v>
      </c>
      <c r="AV82">
        <v>49.376603211102569</v>
      </c>
      <c r="AW82">
        <v>0</v>
      </c>
    </row>
    <row r="83" spans="1:49" x14ac:dyDescent="0.25">
      <c r="A83" t="s">
        <v>135</v>
      </c>
      <c r="C83" t="s">
        <v>178</v>
      </c>
      <c r="D83" s="89">
        <v>0</v>
      </c>
      <c r="E83" s="89">
        <v>0</v>
      </c>
      <c r="F83" s="89">
        <v>0</v>
      </c>
      <c r="G83" s="89">
        <v>0</v>
      </c>
      <c r="H83" s="89">
        <v>0</v>
      </c>
      <c r="I83" s="89">
        <v>0</v>
      </c>
      <c r="J83" s="89">
        <v>0</v>
      </c>
      <c r="K83" s="89">
        <v>0</v>
      </c>
      <c r="L83" s="89">
        <v>0</v>
      </c>
      <c r="M83" s="89">
        <v>0</v>
      </c>
      <c r="N83" s="89">
        <v>0</v>
      </c>
      <c r="O83" s="89">
        <v>0</v>
      </c>
      <c r="P83" s="89">
        <v>0</v>
      </c>
      <c r="Q83" s="89">
        <v>0</v>
      </c>
      <c r="R83" s="89">
        <v>0</v>
      </c>
      <c r="S83">
        <v>23.5</v>
      </c>
      <c r="T83">
        <v>4.5733333333333333</v>
      </c>
      <c r="U83">
        <v>1.0983333333333334</v>
      </c>
      <c r="V83" s="89">
        <v>0</v>
      </c>
      <c r="W83" s="89">
        <v>0</v>
      </c>
      <c r="X83" s="89">
        <v>0</v>
      </c>
      <c r="Y83" s="89">
        <v>0</v>
      </c>
      <c r="Z83" s="89">
        <v>0</v>
      </c>
      <c r="AA83" s="89">
        <v>0</v>
      </c>
      <c r="AB83" s="89">
        <v>0</v>
      </c>
      <c r="AC83" s="89">
        <v>0</v>
      </c>
      <c r="AD83" s="89">
        <v>0</v>
      </c>
      <c r="AE83" s="89">
        <v>0</v>
      </c>
      <c r="AF83" s="89">
        <v>0</v>
      </c>
      <c r="AG83" s="89">
        <v>0</v>
      </c>
      <c r="AH83" s="89">
        <v>0</v>
      </c>
      <c r="AI83" s="89">
        <v>0</v>
      </c>
      <c r="AJ83" s="89">
        <v>0</v>
      </c>
      <c r="AK83">
        <v>4.3999999999999995</v>
      </c>
      <c r="AL83">
        <v>14.233333333333334</v>
      </c>
      <c r="AM83">
        <v>1.2276666666666667</v>
      </c>
      <c r="AN83" s="89">
        <v>0</v>
      </c>
      <c r="AO83" s="89">
        <v>0</v>
      </c>
      <c r="AP83" s="89">
        <v>0</v>
      </c>
      <c r="AQ83">
        <v>49.032666666666664</v>
      </c>
      <c r="AR83">
        <v>29.171666666666667</v>
      </c>
      <c r="AS83">
        <v>19.861000000000001</v>
      </c>
      <c r="AT83">
        <v>22.692948704143504</v>
      </c>
      <c r="AU83">
        <v>19.043793535486103</v>
      </c>
      <c r="AV83">
        <v>5.6595248917201539</v>
      </c>
      <c r="AW83">
        <v>0</v>
      </c>
    </row>
    <row r="84" spans="1:49" x14ac:dyDescent="0.25">
      <c r="C84" t="s">
        <v>179</v>
      </c>
      <c r="D84" s="89">
        <v>0</v>
      </c>
      <c r="E84" s="89">
        <v>0</v>
      </c>
      <c r="F84" s="89">
        <v>0</v>
      </c>
      <c r="G84" s="89">
        <v>0</v>
      </c>
      <c r="H84" s="89">
        <v>0</v>
      </c>
      <c r="I84" s="89">
        <v>0</v>
      </c>
      <c r="J84" s="89">
        <v>0</v>
      </c>
      <c r="K84" s="89">
        <v>0</v>
      </c>
      <c r="L84" s="89">
        <v>0</v>
      </c>
      <c r="M84" s="89">
        <v>0</v>
      </c>
      <c r="N84" s="89">
        <v>0</v>
      </c>
      <c r="O84" s="89">
        <v>0</v>
      </c>
      <c r="P84" s="89">
        <v>0</v>
      </c>
      <c r="Q84" s="89">
        <v>0</v>
      </c>
      <c r="R84" s="89">
        <v>0</v>
      </c>
      <c r="S84">
        <v>15.100000000000001</v>
      </c>
      <c r="T84">
        <v>5.376666666666666</v>
      </c>
      <c r="U84">
        <v>1.8380000000000003</v>
      </c>
      <c r="V84" s="89">
        <v>0</v>
      </c>
      <c r="W84" s="89">
        <v>0</v>
      </c>
      <c r="X84" s="89">
        <v>0</v>
      </c>
      <c r="Y84" s="89">
        <v>0</v>
      </c>
      <c r="Z84" s="89">
        <v>0</v>
      </c>
      <c r="AA84" s="89">
        <v>0</v>
      </c>
      <c r="AB84" s="89">
        <v>0</v>
      </c>
      <c r="AC84" s="89">
        <v>0</v>
      </c>
      <c r="AD84" s="89">
        <v>0</v>
      </c>
      <c r="AE84" s="89">
        <v>0</v>
      </c>
      <c r="AF84" s="89">
        <v>0</v>
      </c>
      <c r="AG84" s="89">
        <v>0</v>
      </c>
      <c r="AH84" s="89">
        <v>0</v>
      </c>
      <c r="AI84" s="89">
        <v>0</v>
      </c>
      <c r="AJ84" s="89">
        <v>0</v>
      </c>
      <c r="AK84">
        <v>3.51</v>
      </c>
      <c r="AL84">
        <v>16.133333333333333</v>
      </c>
      <c r="AM84">
        <v>1.9033333333333333</v>
      </c>
      <c r="AN84" s="89">
        <v>0</v>
      </c>
      <c r="AO84" s="89">
        <v>0</v>
      </c>
      <c r="AP84" s="89">
        <v>0</v>
      </c>
      <c r="AQ84">
        <v>43.861333333333334</v>
      </c>
      <c r="AR84">
        <v>22.314666666666668</v>
      </c>
      <c r="AS84">
        <v>21.546666666666663</v>
      </c>
      <c r="AT84">
        <v>13.935968458951436</v>
      </c>
      <c r="AU84">
        <v>11.42289237549852</v>
      </c>
      <c r="AV84">
        <v>3.8016867601397921</v>
      </c>
      <c r="AW84">
        <v>0</v>
      </c>
    </row>
    <row r="85" spans="1:49" x14ac:dyDescent="0.25">
      <c r="C85" t="s">
        <v>180</v>
      </c>
      <c r="D85" s="89">
        <v>0</v>
      </c>
      <c r="E85" s="89">
        <v>0</v>
      </c>
      <c r="F85" s="89">
        <v>0</v>
      </c>
      <c r="G85" s="89">
        <v>0</v>
      </c>
      <c r="H85">
        <v>11.13</v>
      </c>
      <c r="I85" s="89">
        <v>0</v>
      </c>
      <c r="J85" s="89">
        <v>0</v>
      </c>
      <c r="K85" s="89">
        <v>0</v>
      </c>
      <c r="L85" s="89">
        <v>0</v>
      </c>
      <c r="M85" s="89">
        <v>0</v>
      </c>
      <c r="N85" s="89">
        <v>0</v>
      </c>
      <c r="O85" s="89">
        <v>0</v>
      </c>
      <c r="P85" s="89">
        <v>0</v>
      </c>
      <c r="Q85" s="89">
        <v>0</v>
      </c>
      <c r="R85" s="89">
        <v>0</v>
      </c>
      <c r="S85">
        <v>5.81</v>
      </c>
      <c r="T85">
        <v>2.8366666666666664</v>
      </c>
      <c r="U85">
        <v>4.2066666666666661</v>
      </c>
      <c r="V85">
        <v>1.1046666666666667</v>
      </c>
      <c r="W85">
        <v>1.7699999999999998</v>
      </c>
      <c r="X85">
        <v>0.19699999999999998</v>
      </c>
      <c r="Y85" s="89">
        <v>0</v>
      </c>
      <c r="Z85" s="89">
        <v>0</v>
      </c>
      <c r="AA85" s="89">
        <v>0</v>
      </c>
      <c r="AB85" s="89">
        <v>0</v>
      </c>
      <c r="AC85" s="89">
        <v>0</v>
      </c>
      <c r="AD85" s="89">
        <v>0</v>
      </c>
      <c r="AE85" s="89">
        <v>0</v>
      </c>
      <c r="AF85" s="89">
        <v>0</v>
      </c>
      <c r="AG85" s="89">
        <v>0</v>
      </c>
      <c r="AH85" s="89">
        <v>0</v>
      </c>
      <c r="AI85" s="89">
        <v>0</v>
      </c>
      <c r="AJ85" s="89">
        <v>0</v>
      </c>
      <c r="AK85">
        <v>0.35066666666666668</v>
      </c>
      <c r="AL85">
        <v>2.6</v>
      </c>
      <c r="AM85" s="89">
        <v>0</v>
      </c>
      <c r="AN85" s="89">
        <v>0</v>
      </c>
      <c r="AO85" s="89">
        <v>0</v>
      </c>
      <c r="AP85" s="89">
        <v>0</v>
      </c>
      <c r="AQ85">
        <v>30.005666666666666</v>
      </c>
      <c r="AR85">
        <v>27.055</v>
      </c>
      <c r="AS85">
        <v>2.9506666666666668</v>
      </c>
      <c r="AT85">
        <v>10.13067483767329</v>
      </c>
      <c r="AU85">
        <v>9.9821026954355823</v>
      </c>
      <c r="AV85">
        <v>0.41067451291205737</v>
      </c>
      <c r="AW85">
        <v>0</v>
      </c>
    </row>
    <row r="86" spans="1:49" x14ac:dyDescent="0.25">
      <c r="C86" t="s">
        <v>181</v>
      </c>
      <c r="D86" s="89">
        <v>0</v>
      </c>
      <c r="E86" s="89">
        <v>0</v>
      </c>
      <c r="F86" s="89">
        <v>0</v>
      </c>
      <c r="G86" s="89">
        <v>0</v>
      </c>
      <c r="H86" s="89">
        <v>0</v>
      </c>
      <c r="I86" s="89">
        <v>0</v>
      </c>
      <c r="J86" s="89">
        <v>0</v>
      </c>
      <c r="K86" s="89">
        <v>0</v>
      </c>
      <c r="L86" s="89">
        <v>0</v>
      </c>
      <c r="M86" s="89">
        <v>0</v>
      </c>
      <c r="N86" s="89">
        <v>0</v>
      </c>
      <c r="O86" s="89">
        <v>0</v>
      </c>
      <c r="P86" s="89">
        <v>0</v>
      </c>
      <c r="Q86" s="89">
        <v>0</v>
      </c>
      <c r="R86" s="89">
        <v>0</v>
      </c>
      <c r="S86">
        <v>11.416666666666666</v>
      </c>
      <c r="T86">
        <v>2.2766666666666668</v>
      </c>
      <c r="U86">
        <v>0.47766666666666668</v>
      </c>
      <c r="V86" s="89">
        <v>0</v>
      </c>
      <c r="W86" s="89">
        <v>0</v>
      </c>
      <c r="X86" s="89">
        <v>0</v>
      </c>
      <c r="Y86" s="89">
        <v>0</v>
      </c>
      <c r="Z86" s="89">
        <v>0</v>
      </c>
      <c r="AA86" s="89">
        <v>0</v>
      </c>
      <c r="AB86" s="89">
        <v>0</v>
      </c>
      <c r="AC86" s="89">
        <v>0</v>
      </c>
      <c r="AD86" s="89">
        <v>0</v>
      </c>
      <c r="AE86" s="89">
        <v>0</v>
      </c>
      <c r="AF86" s="89">
        <v>0</v>
      </c>
      <c r="AG86" s="89">
        <v>0</v>
      </c>
      <c r="AH86" s="89">
        <v>0</v>
      </c>
      <c r="AI86" s="89">
        <v>0</v>
      </c>
      <c r="AJ86" s="89">
        <v>0</v>
      </c>
      <c r="AK86">
        <v>2.81</v>
      </c>
      <c r="AL86">
        <v>9.89</v>
      </c>
      <c r="AM86">
        <v>1.1623333333333334</v>
      </c>
      <c r="AN86" s="89">
        <v>0</v>
      </c>
      <c r="AO86" s="89">
        <v>0</v>
      </c>
      <c r="AP86" s="89">
        <v>0</v>
      </c>
      <c r="AQ86">
        <v>28.033333333333331</v>
      </c>
      <c r="AR86">
        <v>14.170999999999999</v>
      </c>
      <c r="AS86">
        <v>13.862333333333334</v>
      </c>
      <c r="AT86">
        <v>2.1737490399972321</v>
      </c>
      <c r="AU86">
        <v>0.82301194807041822</v>
      </c>
      <c r="AV86">
        <v>1.5245362865110343</v>
      </c>
      <c r="AW86">
        <v>0</v>
      </c>
    </row>
    <row r="87" spans="1:49" x14ac:dyDescent="0.25">
      <c r="C87" t="s">
        <v>182</v>
      </c>
      <c r="D87" s="89">
        <v>0</v>
      </c>
      <c r="E87" s="89">
        <v>0</v>
      </c>
      <c r="F87" s="89">
        <v>0</v>
      </c>
      <c r="G87" s="89">
        <v>0</v>
      </c>
      <c r="H87" s="89">
        <v>0</v>
      </c>
      <c r="I87" s="89">
        <v>0</v>
      </c>
      <c r="J87" s="89">
        <v>0</v>
      </c>
      <c r="K87" s="89">
        <v>0</v>
      </c>
      <c r="L87" s="89">
        <v>0</v>
      </c>
      <c r="M87" s="89">
        <v>0</v>
      </c>
      <c r="N87" s="89">
        <v>0</v>
      </c>
      <c r="O87" s="89">
        <v>0</v>
      </c>
      <c r="P87" s="89">
        <v>0</v>
      </c>
      <c r="Q87" s="89">
        <v>0</v>
      </c>
      <c r="R87" s="89">
        <v>0</v>
      </c>
      <c r="S87">
        <v>10.543333333333335</v>
      </c>
      <c r="T87">
        <v>2.9133333333333336</v>
      </c>
      <c r="U87">
        <v>0.99399999999999988</v>
      </c>
      <c r="V87" s="89">
        <v>0</v>
      </c>
      <c r="W87" s="89">
        <v>0</v>
      </c>
      <c r="X87" s="89">
        <v>0</v>
      </c>
      <c r="Y87" s="89">
        <v>0</v>
      </c>
      <c r="Z87" s="89">
        <v>0</v>
      </c>
      <c r="AA87" s="89">
        <v>0</v>
      </c>
      <c r="AB87" s="89">
        <v>0</v>
      </c>
      <c r="AC87" s="89">
        <v>0</v>
      </c>
      <c r="AD87" s="89">
        <v>0</v>
      </c>
      <c r="AE87" s="89">
        <v>0</v>
      </c>
      <c r="AF87" s="89">
        <v>0</v>
      </c>
      <c r="AG87" s="89">
        <v>0</v>
      </c>
      <c r="AH87" s="89">
        <v>0</v>
      </c>
      <c r="AI87" s="89">
        <v>0</v>
      </c>
      <c r="AJ87" s="89">
        <v>0</v>
      </c>
      <c r="AK87">
        <v>1.1756666666666666</v>
      </c>
      <c r="AL87">
        <v>5.7833333333333341</v>
      </c>
      <c r="AM87">
        <v>0.24233333333333332</v>
      </c>
      <c r="AN87" s="89">
        <v>0</v>
      </c>
      <c r="AO87" s="89">
        <v>0</v>
      </c>
      <c r="AP87" s="89">
        <v>0</v>
      </c>
      <c r="AQ87">
        <v>21.652000000000005</v>
      </c>
      <c r="AR87">
        <v>14.450666666666669</v>
      </c>
      <c r="AS87">
        <v>7.2013333333333343</v>
      </c>
      <c r="AT87">
        <v>1.8361243603489019</v>
      </c>
      <c r="AU87">
        <v>1.3084001256836106</v>
      </c>
      <c r="AV87">
        <v>0.59784408967184377</v>
      </c>
      <c r="AW87">
        <v>0</v>
      </c>
    </row>
    <row r="88" spans="1:49" x14ac:dyDescent="0.25">
      <c r="C88" t="s">
        <v>183</v>
      </c>
      <c r="D88" s="89">
        <v>0</v>
      </c>
      <c r="E88">
        <v>0.56999999999999995</v>
      </c>
      <c r="F88" s="89">
        <v>0</v>
      </c>
      <c r="G88" s="89">
        <v>0</v>
      </c>
      <c r="H88" s="89">
        <v>0</v>
      </c>
      <c r="I88" s="89">
        <v>0</v>
      </c>
      <c r="J88" s="89">
        <v>0</v>
      </c>
      <c r="K88" s="89">
        <v>0</v>
      </c>
      <c r="L88" s="89">
        <v>0</v>
      </c>
      <c r="M88" s="89">
        <v>0</v>
      </c>
      <c r="N88" s="89">
        <v>0</v>
      </c>
      <c r="O88" s="89">
        <v>0</v>
      </c>
      <c r="P88" s="89">
        <v>0</v>
      </c>
      <c r="Q88" s="89">
        <v>0</v>
      </c>
      <c r="R88" s="89">
        <v>0</v>
      </c>
      <c r="S88">
        <v>3.3466666666666662</v>
      </c>
      <c r="T88">
        <v>1.0423333333333333</v>
      </c>
      <c r="U88">
        <v>0.42</v>
      </c>
      <c r="V88" s="89">
        <v>0</v>
      </c>
      <c r="W88" s="89">
        <v>0</v>
      </c>
      <c r="X88" s="89">
        <v>0</v>
      </c>
      <c r="Y88" s="89">
        <v>0</v>
      </c>
      <c r="Z88" s="89">
        <v>0</v>
      </c>
      <c r="AA88" s="89">
        <v>0</v>
      </c>
      <c r="AB88" s="89">
        <v>0</v>
      </c>
      <c r="AC88" s="89">
        <v>0</v>
      </c>
      <c r="AD88" s="89">
        <v>0</v>
      </c>
      <c r="AE88" s="89">
        <v>0</v>
      </c>
      <c r="AF88" s="89">
        <v>0</v>
      </c>
      <c r="AG88" s="89">
        <v>0</v>
      </c>
      <c r="AH88" s="89">
        <v>0</v>
      </c>
      <c r="AI88" s="89">
        <v>0</v>
      </c>
      <c r="AJ88" s="89">
        <v>0</v>
      </c>
      <c r="AK88">
        <v>0.40633333333333327</v>
      </c>
      <c r="AL88">
        <v>2.2133333333333334</v>
      </c>
      <c r="AM88" s="89">
        <v>0</v>
      </c>
      <c r="AN88" s="89">
        <v>0</v>
      </c>
      <c r="AO88" s="89">
        <v>0</v>
      </c>
      <c r="AP88" s="89">
        <v>0</v>
      </c>
      <c r="AQ88">
        <v>7.9986666666666668</v>
      </c>
      <c r="AR88">
        <v>5.3789999999999996</v>
      </c>
      <c r="AS88">
        <v>2.6196666666666668</v>
      </c>
      <c r="AT88">
        <v>1.9746961510290364</v>
      </c>
      <c r="AU88">
        <v>1.4321971465781742</v>
      </c>
      <c r="AV88">
        <v>0.54954910810793156</v>
      </c>
      <c r="AW88">
        <v>0</v>
      </c>
    </row>
    <row r="90" spans="1:49" x14ac:dyDescent="0.25">
      <c r="A90" t="s">
        <v>283</v>
      </c>
      <c r="C90" t="s">
        <v>177</v>
      </c>
      <c r="D90" t="e">
        <f>D82/D$81</f>
        <v>#DIV/0!</v>
      </c>
      <c r="E90" t="e">
        <f t="shared" ref="E90:AP96" si="64">E82/E$81</f>
        <v>#DIV/0!</v>
      </c>
      <c r="F90" t="e">
        <f t="shared" si="64"/>
        <v>#DIV/0!</v>
      </c>
      <c r="G90" t="e">
        <f t="shared" si="64"/>
        <v>#DIV/0!</v>
      </c>
      <c r="H90" t="e">
        <f t="shared" si="64"/>
        <v>#DIV/0!</v>
      </c>
      <c r="I90" t="e">
        <f t="shared" si="64"/>
        <v>#DIV/0!</v>
      </c>
      <c r="J90" t="e">
        <f t="shared" si="64"/>
        <v>#DIV/0!</v>
      </c>
      <c r="K90" t="e">
        <f t="shared" si="64"/>
        <v>#DIV/0!</v>
      </c>
      <c r="L90" t="e">
        <f t="shared" si="64"/>
        <v>#DIV/0!</v>
      </c>
      <c r="M90" t="e">
        <f t="shared" si="64"/>
        <v>#DIV/0!</v>
      </c>
      <c r="N90" t="e">
        <f t="shared" si="64"/>
        <v>#DIV/0!</v>
      </c>
      <c r="O90" t="e">
        <f t="shared" si="64"/>
        <v>#DIV/0!</v>
      </c>
      <c r="P90" t="e">
        <f t="shared" si="64"/>
        <v>#DIV/0!</v>
      </c>
      <c r="Q90" t="e">
        <f t="shared" si="64"/>
        <v>#DIV/0!</v>
      </c>
      <c r="R90" t="e">
        <f t="shared" si="64"/>
        <v>#DIV/0!</v>
      </c>
      <c r="S90">
        <f t="shared" si="64"/>
        <v>3.281710914454278</v>
      </c>
      <c r="T90">
        <f t="shared" si="64"/>
        <v>5.9254807692307692</v>
      </c>
      <c r="U90">
        <f t="shared" si="64"/>
        <v>12.7826896230805</v>
      </c>
      <c r="V90" t="e">
        <f t="shared" si="64"/>
        <v>#DIV/0!</v>
      </c>
      <c r="W90" t="e">
        <f t="shared" si="64"/>
        <v>#DIV/0!</v>
      </c>
      <c r="X90" t="e">
        <f t="shared" si="64"/>
        <v>#DIV/0!</v>
      </c>
      <c r="Y90" t="e">
        <f t="shared" si="64"/>
        <v>#DIV/0!</v>
      </c>
      <c r="Z90" t="e">
        <f t="shared" si="64"/>
        <v>#DIV/0!</v>
      </c>
      <c r="AA90" t="e">
        <f t="shared" si="64"/>
        <v>#DIV/0!</v>
      </c>
      <c r="AB90" t="e">
        <f t="shared" si="64"/>
        <v>#DIV/0!</v>
      </c>
      <c r="AC90" t="e">
        <f t="shared" si="64"/>
        <v>#DIV/0!</v>
      </c>
      <c r="AD90" t="e">
        <f t="shared" si="64"/>
        <v>#DIV/0!</v>
      </c>
      <c r="AE90" t="e">
        <f t="shared" si="64"/>
        <v>#DIV/0!</v>
      </c>
      <c r="AF90" t="e">
        <f t="shared" si="64"/>
        <v>#DIV/0!</v>
      </c>
      <c r="AG90" t="e">
        <f t="shared" si="64"/>
        <v>#DIV/0!</v>
      </c>
      <c r="AH90" t="e">
        <f t="shared" si="64"/>
        <v>#DIV/0!</v>
      </c>
      <c r="AI90" t="e">
        <f t="shared" si="64"/>
        <v>#DIV/0!</v>
      </c>
      <c r="AJ90" t="e">
        <f t="shared" si="64"/>
        <v>#DIV/0!</v>
      </c>
      <c r="AK90">
        <f t="shared" si="64"/>
        <v>2.5023148148148153</v>
      </c>
      <c r="AL90">
        <f t="shared" si="64"/>
        <v>3.1466331025802394</v>
      </c>
      <c r="AM90">
        <f t="shared" si="64"/>
        <v>3.4590009425070689</v>
      </c>
      <c r="AN90">
        <f t="shared" si="64"/>
        <v>2.440781440781441</v>
      </c>
      <c r="AO90" t="e">
        <f t="shared" si="64"/>
        <v>#DIV/0!</v>
      </c>
      <c r="AP90" t="e">
        <f t="shared" si="64"/>
        <v>#DIV/0!</v>
      </c>
    </row>
    <row r="91" spans="1:49" x14ac:dyDescent="0.25">
      <c r="A91" t="s">
        <v>285</v>
      </c>
      <c r="C91" t="s">
        <v>178</v>
      </c>
      <c r="D91" t="e">
        <f t="shared" ref="D91:S96" si="65">D83/D$81</f>
        <v>#DIV/0!</v>
      </c>
      <c r="E91" t="e">
        <f t="shared" si="65"/>
        <v>#DIV/0!</v>
      </c>
      <c r="F91" t="e">
        <f t="shared" si="65"/>
        <v>#DIV/0!</v>
      </c>
      <c r="G91" t="e">
        <f t="shared" si="65"/>
        <v>#DIV/0!</v>
      </c>
      <c r="H91" t="e">
        <f t="shared" si="65"/>
        <v>#DIV/0!</v>
      </c>
      <c r="I91" t="e">
        <f t="shared" si="65"/>
        <v>#DIV/0!</v>
      </c>
      <c r="J91" t="e">
        <f t="shared" si="65"/>
        <v>#DIV/0!</v>
      </c>
      <c r="K91" t="e">
        <f t="shared" si="65"/>
        <v>#DIV/0!</v>
      </c>
      <c r="L91" t="e">
        <f t="shared" si="65"/>
        <v>#DIV/0!</v>
      </c>
      <c r="M91" t="e">
        <f t="shared" si="65"/>
        <v>#DIV/0!</v>
      </c>
      <c r="N91" t="e">
        <f t="shared" si="65"/>
        <v>#DIV/0!</v>
      </c>
      <c r="O91" t="e">
        <f t="shared" si="65"/>
        <v>#DIV/0!</v>
      </c>
      <c r="P91" t="e">
        <f t="shared" si="65"/>
        <v>#DIV/0!</v>
      </c>
      <c r="Q91" t="e">
        <f t="shared" si="65"/>
        <v>#DIV/0!</v>
      </c>
      <c r="R91" t="e">
        <f t="shared" si="65"/>
        <v>#DIV/0!</v>
      </c>
      <c r="S91">
        <f t="shared" si="65"/>
        <v>0.51991150442477885</v>
      </c>
      <c r="T91">
        <f t="shared" si="64"/>
        <v>0.82451923076923073</v>
      </c>
      <c r="U91">
        <f t="shared" si="64"/>
        <v>1.5332712889716147</v>
      </c>
      <c r="V91" t="e">
        <f t="shared" si="64"/>
        <v>#DIV/0!</v>
      </c>
      <c r="W91" t="e">
        <f t="shared" si="64"/>
        <v>#DIV/0!</v>
      </c>
      <c r="X91" t="e">
        <f t="shared" si="64"/>
        <v>#DIV/0!</v>
      </c>
      <c r="Y91" t="e">
        <f t="shared" si="64"/>
        <v>#DIV/0!</v>
      </c>
      <c r="Z91" t="e">
        <f t="shared" si="64"/>
        <v>#DIV/0!</v>
      </c>
      <c r="AA91" t="e">
        <f t="shared" si="64"/>
        <v>#DIV/0!</v>
      </c>
      <c r="AB91" t="e">
        <f t="shared" si="64"/>
        <v>#DIV/0!</v>
      </c>
      <c r="AC91" t="e">
        <f t="shared" si="64"/>
        <v>#DIV/0!</v>
      </c>
      <c r="AD91" t="e">
        <f t="shared" si="64"/>
        <v>#DIV/0!</v>
      </c>
      <c r="AE91" t="e">
        <f t="shared" si="64"/>
        <v>#DIV/0!</v>
      </c>
      <c r="AF91" t="e">
        <f t="shared" si="64"/>
        <v>#DIV/0!</v>
      </c>
      <c r="AG91" t="e">
        <f t="shared" si="64"/>
        <v>#DIV/0!</v>
      </c>
      <c r="AH91" t="e">
        <f t="shared" si="64"/>
        <v>#DIV/0!</v>
      </c>
      <c r="AI91" t="e">
        <f t="shared" si="64"/>
        <v>#DIV/0!</v>
      </c>
      <c r="AJ91" t="e">
        <f t="shared" si="64"/>
        <v>#DIV/0!</v>
      </c>
      <c r="AK91">
        <f t="shared" si="64"/>
        <v>0.30555555555555552</v>
      </c>
      <c r="AL91">
        <f t="shared" si="64"/>
        <v>0.26872246696035246</v>
      </c>
      <c r="AM91">
        <f t="shared" si="64"/>
        <v>0.17356267672007542</v>
      </c>
      <c r="AN91">
        <f t="shared" si="64"/>
        <v>0</v>
      </c>
      <c r="AO91" t="e">
        <f t="shared" si="64"/>
        <v>#DIV/0!</v>
      </c>
      <c r="AP91" t="e">
        <f t="shared" si="64"/>
        <v>#DIV/0!</v>
      </c>
    </row>
    <row r="92" spans="1:49" x14ac:dyDescent="0.25">
      <c r="C92" t="s">
        <v>179</v>
      </c>
      <c r="D92" t="e">
        <f t="shared" si="65"/>
        <v>#DIV/0!</v>
      </c>
      <c r="E92" t="e">
        <f t="shared" si="64"/>
        <v>#DIV/0!</v>
      </c>
      <c r="F92" t="e">
        <f t="shared" si="64"/>
        <v>#DIV/0!</v>
      </c>
      <c r="G92" t="e">
        <f t="shared" si="64"/>
        <v>#DIV/0!</v>
      </c>
      <c r="H92" t="e">
        <f t="shared" si="64"/>
        <v>#DIV/0!</v>
      </c>
      <c r="I92" t="e">
        <f t="shared" si="64"/>
        <v>#DIV/0!</v>
      </c>
      <c r="J92" t="e">
        <f t="shared" si="64"/>
        <v>#DIV/0!</v>
      </c>
      <c r="K92" t="e">
        <f t="shared" si="64"/>
        <v>#DIV/0!</v>
      </c>
      <c r="L92" t="e">
        <f t="shared" si="64"/>
        <v>#DIV/0!</v>
      </c>
      <c r="M92" t="e">
        <f t="shared" si="64"/>
        <v>#DIV/0!</v>
      </c>
      <c r="N92" t="e">
        <f t="shared" si="64"/>
        <v>#DIV/0!</v>
      </c>
      <c r="O92" t="e">
        <f t="shared" si="64"/>
        <v>#DIV/0!</v>
      </c>
      <c r="P92" t="e">
        <f t="shared" si="64"/>
        <v>#DIV/0!</v>
      </c>
      <c r="Q92" t="e">
        <f t="shared" si="64"/>
        <v>#DIV/0!</v>
      </c>
      <c r="R92" t="e">
        <f t="shared" si="64"/>
        <v>#DIV/0!</v>
      </c>
      <c r="S92">
        <f t="shared" si="64"/>
        <v>0.33407079646017707</v>
      </c>
      <c r="T92">
        <f t="shared" si="64"/>
        <v>0.96935096153846134</v>
      </c>
      <c r="U92">
        <f t="shared" si="64"/>
        <v>2.5658445788738953</v>
      </c>
      <c r="V92" t="e">
        <f t="shared" si="64"/>
        <v>#DIV/0!</v>
      </c>
      <c r="W92" t="e">
        <f t="shared" si="64"/>
        <v>#DIV/0!</v>
      </c>
      <c r="X92" t="e">
        <f t="shared" si="64"/>
        <v>#DIV/0!</v>
      </c>
      <c r="Y92" t="e">
        <f t="shared" si="64"/>
        <v>#DIV/0!</v>
      </c>
      <c r="Z92" t="e">
        <f t="shared" si="64"/>
        <v>#DIV/0!</v>
      </c>
      <c r="AA92" t="e">
        <f t="shared" si="64"/>
        <v>#DIV/0!</v>
      </c>
      <c r="AB92" t="e">
        <f t="shared" si="64"/>
        <v>#DIV/0!</v>
      </c>
      <c r="AC92" t="e">
        <f t="shared" si="64"/>
        <v>#DIV/0!</v>
      </c>
      <c r="AD92" t="e">
        <f t="shared" si="64"/>
        <v>#DIV/0!</v>
      </c>
      <c r="AE92" t="e">
        <f t="shared" si="64"/>
        <v>#DIV/0!</v>
      </c>
      <c r="AF92" t="e">
        <f t="shared" si="64"/>
        <v>#DIV/0!</v>
      </c>
      <c r="AG92" t="e">
        <f t="shared" si="64"/>
        <v>#DIV/0!</v>
      </c>
      <c r="AH92" t="e">
        <f t="shared" si="64"/>
        <v>#DIV/0!</v>
      </c>
      <c r="AI92" t="e">
        <f t="shared" si="64"/>
        <v>#DIV/0!</v>
      </c>
      <c r="AJ92" t="e">
        <f t="shared" si="64"/>
        <v>#DIV/0!</v>
      </c>
      <c r="AK92">
        <f t="shared" si="64"/>
        <v>0.24375000000000002</v>
      </c>
      <c r="AL92">
        <f t="shared" si="64"/>
        <v>0.30459408432976715</v>
      </c>
      <c r="AM92">
        <f t="shared" si="64"/>
        <v>0.26908576814326107</v>
      </c>
      <c r="AN92">
        <f t="shared" si="64"/>
        <v>0</v>
      </c>
      <c r="AO92" t="e">
        <f t="shared" si="64"/>
        <v>#DIV/0!</v>
      </c>
      <c r="AP92" t="e">
        <f t="shared" si="64"/>
        <v>#DIV/0!</v>
      </c>
    </row>
    <row r="93" spans="1:49" x14ac:dyDescent="0.25">
      <c r="C93" t="s">
        <v>180</v>
      </c>
      <c r="D93" t="e">
        <f t="shared" si="65"/>
        <v>#DIV/0!</v>
      </c>
      <c r="E93" t="e">
        <f t="shared" si="64"/>
        <v>#DIV/0!</v>
      </c>
      <c r="F93" t="e">
        <f t="shared" si="64"/>
        <v>#DIV/0!</v>
      </c>
      <c r="G93" t="e">
        <f t="shared" si="64"/>
        <v>#DIV/0!</v>
      </c>
      <c r="H93" t="e">
        <f t="shared" si="64"/>
        <v>#DIV/0!</v>
      </c>
      <c r="I93" t="e">
        <f t="shared" si="64"/>
        <v>#DIV/0!</v>
      </c>
      <c r="J93" t="e">
        <f t="shared" si="64"/>
        <v>#DIV/0!</v>
      </c>
      <c r="K93" t="e">
        <f t="shared" si="64"/>
        <v>#DIV/0!</v>
      </c>
      <c r="L93" t="e">
        <f t="shared" si="64"/>
        <v>#DIV/0!</v>
      </c>
      <c r="M93" t="e">
        <f t="shared" si="64"/>
        <v>#DIV/0!</v>
      </c>
      <c r="N93" t="e">
        <f t="shared" si="64"/>
        <v>#DIV/0!</v>
      </c>
      <c r="O93" t="e">
        <f t="shared" si="64"/>
        <v>#DIV/0!</v>
      </c>
      <c r="P93" t="e">
        <f t="shared" si="64"/>
        <v>#DIV/0!</v>
      </c>
      <c r="Q93" t="e">
        <f t="shared" si="64"/>
        <v>#DIV/0!</v>
      </c>
      <c r="R93" t="e">
        <f t="shared" si="64"/>
        <v>#DIV/0!</v>
      </c>
      <c r="S93">
        <f t="shared" si="64"/>
        <v>0.12853982300884956</v>
      </c>
      <c r="T93">
        <f t="shared" si="64"/>
        <v>0.51141826923076916</v>
      </c>
      <c r="U93">
        <f t="shared" si="64"/>
        <v>5.8724988366682167</v>
      </c>
      <c r="V93" t="e">
        <f t="shared" si="64"/>
        <v>#DIV/0!</v>
      </c>
      <c r="W93" t="e">
        <f t="shared" si="64"/>
        <v>#DIV/0!</v>
      </c>
      <c r="X93" t="e">
        <f t="shared" si="64"/>
        <v>#DIV/0!</v>
      </c>
      <c r="Y93" t="e">
        <f t="shared" si="64"/>
        <v>#DIV/0!</v>
      </c>
      <c r="Z93" t="e">
        <f t="shared" si="64"/>
        <v>#DIV/0!</v>
      </c>
      <c r="AA93" t="e">
        <f t="shared" si="64"/>
        <v>#DIV/0!</v>
      </c>
      <c r="AB93" t="e">
        <f t="shared" si="64"/>
        <v>#DIV/0!</v>
      </c>
      <c r="AC93" t="e">
        <f t="shared" si="64"/>
        <v>#DIV/0!</v>
      </c>
      <c r="AD93" t="e">
        <f t="shared" si="64"/>
        <v>#DIV/0!</v>
      </c>
      <c r="AE93" t="e">
        <f t="shared" si="64"/>
        <v>#DIV/0!</v>
      </c>
      <c r="AF93" t="e">
        <f t="shared" si="64"/>
        <v>#DIV/0!</v>
      </c>
      <c r="AG93" t="e">
        <f t="shared" si="64"/>
        <v>#DIV/0!</v>
      </c>
      <c r="AH93" t="e">
        <f t="shared" si="64"/>
        <v>#DIV/0!</v>
      </c>
      <c r="AI93" t="e">
        <f t="shared" si="64"/>
        <v>#DIV/0!</v>
      </c>
      <c r="AJ93" t="e">
        <f t="shared" si="64"/>
        <v>#DIV/0!</v>
      </c>
      <c r="AK93">
        <f t="shared" si="64"/>
        <v>2.4351851851851854E-2</v>
      </c>
      <c r="AL93">
        <f t="shared" si="64"/>
        <v>4.9087476400251739E-2</v>
      </c>
      <c r="AM93">
        <f t="shared" si="64"/>
        <v>0</v>
      </c>
      <c r="AN93">
        <f t="shared" si="64"/>
        <v>0</v>
      </c>
      <c r="AO93" t="e">
        <f t="shared" si="64"/>
        <v>#DIV/0!</v>
      </c>
      <c r="AP93" t="e">
        <f t="shared" si="64"/>
        <v>#DIV/0!</v>
      </c>
    </row>
    <row r="94" spans="1:49" x14ac:dyDescent="0.25">
      <c r="C94" t="s">
        <v>181</v>
      </c>
      <c r="D94" t="e">
        <f t="shared" si="65"/>
        <v>#DIV/0!</v>
      </c>
      <c r="E94" t="e">
        <f t="shared" si="64"/>
        <v>#DIV/0!</v>
      </c>
      <c r="F94" t="e">
        <f t="shared" si="64"/>
        <v>#DIV/0!</v>
      </c>
      <c r="G94" t="e">
        <f t="shared" si="64"/>
        <v>#DIV/0!</v>
      </c>
      <c r="H94" t="e">
        <f t="shared" si="64"/>
        <v>#DIV/0!</v>
      </c>
      <c r="I94" t="e">
        <f t="shared" si="64"/>
        <v>#DIV/0!</v>
      </c>
      <c r="J94" t="e">
        <f t="shared" si="64"/>
        <v>#DIV/0!</v>
      </c>
      <c r="K94" t="e">
        <f t="shared" si="64"/>
        <v>#DIV/0!</v>
      </c>
      <c r="L94" t="e">
        <f t="shared" si="64"/>
        <v>#DIV/0!</v>
      </c>
      <c r="M94" t="e">
        <f t="shared" si="64"/>
        <v>#DIV/0!</v>
      </c>
      <c r="N94" t="e">
        <f t="shared" si="64"/>
        <v>#DIV/0!</v>
      </c>
      <c r="O94" t="e">
        <f t="shared" si="64"/>
        <v>#DIV/0!</v>
      </c>
      <c r="P94" t="e">
        <f t="shared" si="64"/>
        <v>#DIV/0!</v>
      </c>
      <c r="Q94" t="e">
        <f t="shared" si="64"/>
        <v>#DIV/0!</v>
      </c>
      <c r="R94" t="e">
        <f t="shared" si="64"/>
        <v>#DIV/0!</v>
      </c>
      <c r="S94">
        <f t="shared" si="64"/>
        <v>0.2525811209439528</v>
      </c>
      <c r="T94">
        <f t="shared" si="64"/>
        <v>0.41045673076923078</v>
      </c>
      <c r="U94">
        <f t="shared" si="64"/>
        <v>0.66682177757096317</v>
      </c>
      <c r="V94" t="e">
        <f t="shared" si="64"/>
        <v>#DIV/0!</v>
      </c>
      <c r="W94" t="e">
        <f t="shared" si="64"/>
        <v>#DIV/0!</v>
      </c>
      <c r="X94" t="e">
        <f t="shared" si="64"/>
        <v>#DIV/0!</v>
      </c>
      <c r="Y94" t="e">
        <f t="shared" si="64"/>
        <v>#DIV/0!</v>
      </c>
      <c r="Z94" t="e">
        <f t="shared" si="64"/>
        <v>#DIV/0!</v>
      </c>
      <c r="AA94" t="e">
        <f t="shared" si="64"/>
        <v>#DIV/0!</v>
      </c>
      <c r="AB94" t="e">
        <f t="shared" si="64"/>
        <v>#DIV/0!</v>
      </c>
      <c r="AC94" t="e">
        <f t="shared" si="64"/>
        <v>#DIV/0!</v>
      </c>
      <c r="AD94" t="e">
        <f t="shared" si="64"/>
        <v>#DIV/0!</v>
      </c>
      <c r="AE94" t="e">
        <f t="shared" si="64"/>
        <v>#DIV/0!</v>
      </c>
      <c r="AF94" t="e">
        <f t="shared" si="64"/>
        <v>#DIV/0!</v>
      </c>
      <c r="AG94" t="e">
        <f t="shared" si="64"/>
        <v>#DIV/0!</v>
      </c>
      <c r="AH94" t="e">
        <f t="shared" si="64"/>
        <v>#DIV/0!</v>
      </c>
      <c r="AI94" t="e">
        <f t="shared" si="64"/>
        <v>#DIV/0!</v>
      </c>
      <c r="AJ94" t="e">
        <f t="shared" si="64"/>
        <v>#DIV/0!</v>
      </c>
      <c r="AK94">
        <f t="shared" si="64"/>
        <v>0.19513888888888892</v>
      </c>
      <c r="AL94">
        <f t="shared" si="64"/>
        <v>0.18672120830711142</v>
      </c>
      <c r="AM94">
        <f t="shared" si="64"/>
        <v>0.16432610744580586</v>
      </c>
      <c r="AN94">
        <f t="shared" si="64"/>
        <v>0</v>
      </c>
      <c r="AO94" t="e">
        <f t="shared" si="64"/>
        <v>#DIV/0!</v>
      </c>
      <c r="AP94" t="e">
        <f t="shared" si="64"/>
        <v>#DIV/0!</v>
      </c>
    </row>
    <row r="95" spans="1:49" x14ac:dyDescent="0.25">
      <c r="C95" t="s">
        <v>182</v>
      </c>
      <c r="D95" t="e">
        <f t="shared" si="65"/>
        <v>#DIV/0!</v>
      </c>
      <c r="E95" t="e">
        <f t="shared" si="64"/>
        <v>#DIV/0!</v>
      </c>
      <c r="F95" t="e">
        <f t="shared" si="64"/>
        <v>#DIV/0!</v>
      </c>
      <c r="G95" t="e">
        <f t="shared" si="64"/>
        <v>#DIV/0!</v>
      </c>
      <c r="H95" t="e">
        <f t="shared" si="64"/>
        <v>#DIV/0!</v>
      </c>
      <c r="I95" t="e">
        <f t="shared" si="64"/>
        <v>#DIV/0!</v>
      </c>
      <c r="J95" t="e">
        <f t="shared" si="64"/>
        <v>#DIV/0!</v>
      </c>
      <c r="K95" t="e">
        <f t="shared" si="64"/>
        <v>#DIV/0!</v>
      </c>
      <c r="L95" t="e">
        <f t="shared" si="64"/>
        <v>#DIV/0!</v>
      </c>
      <c r="M95" t="e">
        <f t="shared" si="64"/>
        <v>#DIV/0!</v>
      </c>
      <c r="N95" t="e">
        <f t="shared" si="64"/>
        <v>#DIV/0!</v>
      </c>
      <c r="O95" t="e">
        <f t="shared" si="64"/>
        <v>#DIV/0!</v>
      </c>
      <c r="P95" t="e">
        <f t="shared" si="64"/>
        <v>#DIV/0!</v>
      </c>
      <c r="Q95" t="e">
        <f t="shared" si="64"/>
        <v>#DIV/0!</v>
      </c>
      <c r="R95" t="e">
        <f t="shared" si="64"/>
        <v>#DIV/0!</v>
      </c>
      <c r="S95">
        <f t="shared" si="64"/>
        <v>0.23325958702064903</v>
      </c>
      <c r="T95">
        <f t="shared" si="64"/>
        <v>0.52524038461538469</v>
      </c>
      <c r="U95">
        <f t="shared" si="64"/>
        <v>1.3876221498371333</v>
      </c>
      <c r="V95" t="e">
        <f t="shared" si="64"/>
        <v>#DIV/0!</v>
      </c>
      <c r="W95" t="e">
        <f t="shared" si="64"/>
        <v>#DIV/0!</v>
      </c>
      <c r="X95" t="e">
        <f t="shared" si="64"/>
        <v>#DIV/0!</v>
      </c>
      <c r="Y95" t="e">
        <f t="shared" si="64"/>
        <v>#DIV/0!</v>
      </c>
      <c r="Z95" t="e">
        <f t="shared" si="64"/>
        <v>#DIV/0!</v>
      </c>
      <c r="AA95" t="e">
        <f t="shared" si="64"/>
        <v>#DIV/0!</v>
      </c>
      <c r="AB95" t="e">
        <f t="shared" si="64"/>
        <v>#DIV/0!</v>
      </c>
      <c r="AC95" t="e">
        <f t="shared" si="64"/>
        <v>#DIV/0!</v>
      </c>
      <c r="AD95" t="e">
        <f t="shared" si="64"/>
        <v>#DIV/0!</v>
      </c>
      <c r="AE95" t="e">
        <f t="shared" si="64"/>
        <v>#DIV/0!</v>
      </c>
      <c r="AF95" t="e">
        <f t="shared" si="64"/>
        <v>#DIV/0!</v>
      </c>
      <c r="AG95" t="e">
        <f t="shared" si="64"/>
        <v>#DIV/0!</v>
      </c>
      <c r="AH95" t="e">
        <f t="shared" si="64"/>
        <v>#DIV/0!</v>
      </c>
      <c r="AI95" t="e">
        <f t="shared" si="64"/>
        <v>#DIV/0!</v>
      </c>
      <c r="AJ95" t="e">
        <f t="shared" si="64"/>
        <v>#DIV/0!</v>
      </c>
      <c r="AK95">
        <f t="shared" si="64"/>
        <v>8.1643518518518518E-2</v>
      </c>
      <c r="AL95">
        <f t="shared" si="64"/>
        <v>0.10918816865953432</v>
      </c>
      <c r="AM95">
        <f t="shared" si="64"/>
        <v>3.4260131950989633E-2</v>
      </c>
      <c r="AN95">
        <f t="shared" si="64"/>
        <v>0</v>
      </c>
      <c r="AO95" t="e">
        <f t="shared" si="64"/>
        <v>#DIV/0!</v>
      </c>
      <c r="AP95" t="e">
        <f t="shared" si="64"/>
        <v>#DIV/0!</v>
      </c>
    </row>
    <row r="96" spans="1:49" x14ac:dyDescent="0.25">
      <c r="C96" t="s">
        <v>183</v>
      </c>
      <c r="D96" t="e">
        <f t="shared" si="65"/>
        <v>#DIV/0!</v>
      </c>
      <c r="E96" t="e">
        <f t="shared" si="64"/>
        <v>#DIV/0!</v>
      </c>
      <c r="F96" t="e">
        <f t="shared" si="64"/>
        <v>#DIV/0!</v>
      </c>
      <c r="G96" t="e">
        <f t="shared" si="64"/>
        <v>#DIV/0!</v>
      </c>
      <c r="H96" t="e">
        <f t="shared" si="64"/>
        <v>#DIV/0!</v>
      </c>
      <c r="I96" t="e">
        <f t="shared" si="64"/>
        <v>#DIV/0!</v>
      </c>
      <c r="J96" t="e">
        <f t="shared" si="64"/>
        <v>#DIV/0!</v>
      </c>
      <c r="K96" t="e">
        <f t="shared" si="64"/>
        <v>#DIV/0!</v>
      </c>
      <c r="L96" t="e">
        <f t="shared" si="64"/>
        <v>#DIV/0!</v>
      </c>
      <c r="M96" t="e">
        <f t="shared" si="64"/>
        <v>#DIV/0!</v>
      </c>
      <c r="N96" t="e">
        <f t="shared" si="64"/>
        <v>#DIV/0!</v>
      </c>
      <c r="O96" t="e">
        <f t="shared" si="64"/>
        <v>#DIV/0!</v>
      </c>
      <c r="P96" t="e">
        <f t="shared" si="64"/>
        <v>#DIV/0!</v>
      </c>
      <c r="Q96" t="e">
        <f t="shared" si="64"/>
        <v>#DIV/0!</v>
      </c>
      <c r="R96" t="e">
        <f t="shared" si="64"/>
        <v>#DIV/0!</v>
      </c>
      <c r="S96">
        <f t="shared" si="64"/>
        <v>7.4041297935103237E-2</v>
      </c>
      <c r="T96">
        <f t="shared" si="64"/>
        <v>0.18792067307692306</v>
      </c>
      <c r="U96">
        <f t="shared" si="64"/>
        <v>0.58631921824104227</v>
      </c>
      <c r="V96" t="e">
        <f t="shared" si="64"/>
        <v>#DIV/0!</v>
      </c>
      <c r="W96" t="e">
        <f t="shared" si="64"/>
        <v>#DIV/0!</v>
      </c>
      <c r="X96" t="e">
        <f t="shared" si="64"/>
        <v>#DIV/0!</v>
      </c>
      <c r="Y96" t="e">
        <f t="shared" si="64"/>
        <v>#DIV/0!</v>
      </c>
      <c r="Z96" t="e">
        <f t="shared" si="64"/>
        <v>#DIV/0!</v>
      </c>
      <c r="AA96" t="e">
        <f t="shared" si="64"/>
        <v>#DIV/0!</v>
      </c>
      <c r="AB96" t="e">
        <f t="shared" si="64"/>
        <v>#DIV/0!</v>
      </c>
      <c r="AC96" t="e">
        <f t="shared" si="64"/>
        <v>#DIV/0!</v>
      </c>
      <c r="AD96" t="e">
        <f t="shared" si="64"/>
        <v>#DIV/0!</v>
      </c>
      <c r="AE96" t="e">
        <f t="shared" si="64"/>
        <v>#DIV/0!</v>
      </c>
      <c r="AF96" t="e">
        <f t="shared" si="64"/>
        <v>#DIV/0!</v>
      </c>
      <c r="AG96" t="e">
        <f t="shared" si="64"/>
        <v>#DIV/0!</v>
      </c>
      <c r="AH96" t="e">
        <f t="shared" si="64"/>
        <v>#DIV/0!</v>
      </c>
      <c r="AI96" t="e">
        <f t="shared" si="64"/>
        <v>#DIV/0!</v>
      </c>
      <c r="AJ96" t="e">
        <f t="shared" si="64"/>
        <v>#DIV/0!</v>
      </c>
      <c r="AK96">
        <f t="shared" si="64"/>
        <v>2.8217592592592589E-2</v>
      </c>
      <c r="AL96">
        <f t="shared" si="64"/>
        <v>4.1787287602265584E-2</v>
      </c>
      <c r="AM96">
        <f t="shared" si="64"/>
        <v>0</v>
      </c>
      <c r="AN96">
        <f t="shared" si="64"/>
        <v>0</v>
      </c>
      <c r="AO96" t="e">
        <f t="shared" si="64"/>
        <v>#DIV/0!</v>
      </c>
      <c r="AP96" t="e">
        <f t="shared" si="64"/>
        <v>#DIV/0!</v>
      </c>
    </row>
    <row r="97" spans="1:8" x14ac:dyDescent="0.25">
      <c r="A97" t="s">
        <v>284</v>
      </c>
    </row>
    <row r="98" spans="1:8" x14ac:dyDescent="0.25">
      <c r="B98" t="s">
        <v>177</v>
      </c>
      <c r="C98" t="s">
        <v>178</v>
      </c>
      <c r="D98" t="s">
        <v>179</v>
      </c>
      <c r="E98" t="s">
        <v>180</v>
      </c>
      <c r="F98" t="s">
        <v>181</v>
      </c>
      <c r="G98" t="s">
        <v>182</v>
      </c>
      <c r="H98" t="s">
        <v>183</v>
      </c>
    </row>
    <row r="99" spans="1:8" x14ac:dyDescent="0.25">
      <c r="A99" t="s">
        <v>250</v>
      </c>
      <c r="B99" s="4">
        <v>3.281710914454278</v>
      </c>
      <c r="C99" s="4">
        <v>0.51991150442477885</v>
      </c>
      <c r="D99" s="4">
        <v>0.33407079646017707</v>
      </c>
      <c r="E99" s="4">
        <v>0.12853982300884956</v>
      </c>
      <c r="F99" s="4">
        <v>0.2525811209439528</v>
      </c>
      <c r="G99" s="4">
        <v>0.23325958702064903</v>
      </c>
      <c r="H99" s="4">
        <v>7.4041297935103237E-2</v>
      </c>
    </row>
    <row r="100" spans="1:8" x14ac:dyDescent="0.25">
      <c r="A100" t="s">
        <v>251</v>
      </c>
      <c r="B100" s="4">
        <v>5.9254807692307692</v>
      </c>
      <c r="C100" s="4">
        <v>0.82451923076923073</v>
      </c>
      <c r="D100" s="4">
        <v>0.96935096153846134</v>
      </c>
      <c r="E100" s="4">
        <v>0.51141826923076916</v>
      </c>
      <c r="F100" s="4">
        <v>0.41045673076923078</v>
      </c>
      <c r="G100" s="4">
        <v>0.52524038461538469</v>
      </c>
      <c r="H100" s="4">
        <v>0.18792067307692306</v>
      </c>
    </row>
    <row r="101" spans="1:8" x14ac:dyDescent="0.25">
      <c r="A101" t="s">
        <v>252</v>
      </c>
      <c r="B101" s="4">
        <v>12.7826896230805</v>
      </c>
      <c r="C101" s="4">
        <v>1.5332712889716147</v>
      </c>
      <c r="D101" s="4">
        <v>2.5658445788738953</v>
      </c>
      <c r="E101" s="4">
        <v>5.8724988366682167</v>
      </c>
      <c r="F101" s="4">
        <v>0.66682177757096317</v>
      </c>
      <c r="G101" s="4">
        <v>1.3876221498371333</v>
      </c>
      <c r="H101" s="4">
        <v>0.58631921824104227</v>
      </c>
    </row>
    <row r="102" spans="1:8" x14ac:dyDescent="0.25">
      <c r="A102" t="s">
        <v>250</v>
      </c>
      <c r="B102" s="4">
        <v>2.5023148148148153</v>
      </c>
      <c r="C102" s="4">
        <v>0.30555555555555552</v>
      </c>
      <c r="D102" s="4">
        <v>0.24375000000000002</v>
      </c>
      <c r="E102" s="4">
        <v>2.4351851851851854E-2</v>
      </c>
      <c r="F102" s="4">
        <v>0.19513888888888892</v>
      </c>
      <c r="G102" s="4">
        <v>8.1643518518518518E-2</v>
      </c>
      <c r="H102" s="4">
        <v>2.8217592592592589E-2</v>
      </c>
    </row>
    <row r="103" spans="1:8" x14ac:dyDescent="0.25">
      <c r="A103" t="s">
        <v>251</v>
      </c>
      <c r="B103" s="4">
        <v>3.1466331025802394</v>
      </c>
      <c r="C103" s="4">
        <v>0.26872246696035246</v>
      </c>
      <c r="D103" s="4">
        <v>0.30459408432976715</v>
      </c>
      <c r="E103" s="4">
        <v>4.9087476400251739E-2</v>
      </c>
      <c r="F103" s="4">
        <v>0.18672120830711142</v>
      </c>
      <c r="G103" s="4">
        <v>0.10918816865953432</v>
      </c>
      <c r="H103" s="4">
        <v>4.1787287602265584E-2</v>
      </c>
    </row>
    <row r="104" spans="1:8" x14ac:dyDescent="0.25">
      <c r="A104" t="s">
        <v>252</v>
      </c>
      <c r="B104" s="4">
        <v>3.4590009425070689</v>
      </c>
      <c r="C104" s="4">
        <v>0.17356267672007542</v>
      </c>
      <c r="D104" s="4">
        <v>0.26908576814326107</v>
      </c>
      <c r="E104" s="4">
        <v>0</v>
      </c>
      <c r="F104" s="4">
        <v>0.16432610744580586</v>
      </c>
      <c r="G104" s="4">
        <v>3.4260131950989633E-2</v>
      </c>
      <c r="H104" s="4">
        <v>0</v>
      </c>
    </row>
    <row r="105" spans="1:8" x14ac:dyDescent="0.25">
      <c r="A105" t="s">
        <v>253</v>
      </c>
      <c r="B105" s="4">
        <v>2.440781440781441</v>
      </c>
      <c r="C105" s="4">
        <v>0</v>
      </c>
      <c r="D105" s="4">
        <v>0</v>
      </c>
      <c r="E105" s="4">
        <v>0</v>
      </c>
      <c r="F105" s="4">
        <v>0</v>
      </c>
      <c r="G105" s="4">
        <v>0</v>
      </c>
      <c r="H105" s="4">
        <v>0</v>
      </c>
    </row>
  </sheetData>
  <phoneticPr fontId="4" type="noConversion"/>
  <conditionalFormatting sqref="D3:AC30 AH3:AP30">
    <cfRule type="notContainsText" dxfId="16" priority="2" operator="notContains" text="&lt;">
      <formula>ISERROR(SEARCH("&lt;",D3))</formula>
    </cfRule>
  </conditionalFormatting>
  <conditionalFormatting sqref="D78:AC80 AI78:AP80 D81:AP81 K82:R82 AO82:AP82 D82:I84 J83:R84 V82:AJ84 AN83:AP84 I85:R85 Y85:AJ85 AM85:AP85 D85:G87 H86:R87 AN86:AP87 D88 F88:R88 V86:AJ88 AM88:AP88">
    <cfRule type="notContainsText" dxfId="15" priority="1" operator="notContains" text="&lt;">
      <formula>ISERROR(SEARCH("&lt;",D78))</formula>
    </cfRule>
  </conditionalFormatting>
  <pageMargins left="0.7" right="0.7" top="0.78740157499999996" bottom="0.78740157499999996"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26EA0B-4FA2-4E94-B1AF-387FB47D2E17}">
  <dimension ref="A1:AP51"/>
  <sheetViews>
    <sheetView zoomScale="85" zoomScaleNormal="85" workbookViewId="0">
      <selection activeCell="B2" sqref="B2:AP26"/>
    </sheetView>
  </sheetViews>
  <sheetFormatPr baseColWidth="10" defaultRowHeight="15" x14ac:dyDescent="0.25"/>
  <cols>
    <col min="2" max="2" width="11.5703125" bestFit="1" customWidth="1"/>
    <col min="27" max="27" width="12" bestFit="1" customWidth="1"/>
  </cols>
  <sheetData>
    <row r="1" spans="1:42" x14ac:dyDescent="0.25">
      <c r="E1" t="s">
        <v>0</v>
      </c>
      <c r="Z1" t="s">
        <v>17</v>
      </c>
    </row>
    <row r="2" spans="1:42" x14ac:dyDescent="0.25">
      <c r="A2" t="s">
        <v>33</v>
      </c>
      <c r="B2" t="s">
        <v>34</v>
      </c>
      <c r="C2" t="s">
        <v>35</v>
      </c>
      <c r="D2" t="s">
        <v>84</v>
      </c>
      <c r="E2" t="s">
        <v>78</v>
      </c>
      <c r="F2" t="s">
        <v>79</v>
      </c>
      <c r="G2" t="s">
        <v>80</v>
      </c>
      <c r="H2" t="s">
        <v>1</v>
      </c>
      <c r="I2" t="s">
        <v>2</v>
      </c>
      <c r="J2" t="s">
        <v>3</v>
      </c>
      <c r="K2" t="s">
        <v>4</v>
      </c>
      <c r="L2" t="s">
        <v>5</v>
      </c>
      <c r="M2" t="s">
        <v>6</v>
      </c>
      <c r="N2" t="s">
        <v>7</v>
      </c>
      <c r="O2" t="s">
        <v>8</v>
      </c>
      <c r="P2" t="s">
        <v>81</v>
      </c>
      <c r="Q2" t="s">
        <v>82</v>
      </c>
      <c r="R2" t="s">
        <v>9</v>
      </c>
      <c r="S2" t="s">
        <v>10</v>
      </c>
      <c r="T2" t="s">
        <v>11</v>
      </c>
      <c r="U2" t="s">
        <v>12</v>
      </c>
      <c r="V2" t="s">
        <v>13</v>
      </c>
      <c r="W2" t="s">
        <v>14</v>
      </c>
      <c r="X2" t="s">
        <v>15</v>
      </c>
      <c r="Y2" t="s">
        <v>16</v>
      </c>
      <c r="AA2" t="s">
        <v>18</v>
      </c>
      <c r="AB2" t="s">
        <v>19</v>
      </c>
      <c r="AC2" t="s">
        <v>20</v>
      </c>
      <c r="AD2" t="s">
        <v>21</v>
      </c>
      <c r="AE2" t="s">
        <v>22</v>
      </c>
      <c r="AF2" t="s">
        <v>23</v>
      </c>
      <c r="AG2" t="s">
        <v>24</v>
      </c>
      <c r="AH2" t="s">
        <v>25</v>
      </c>
      <c r="AI2" t="s">
        <v>26</v>
      </c>
      <c r="AJ2" t="s">
        <v>77</v>
      </c>
      <c r="AK2" t="s">
        <v>27</v>
      </c>
      <c r="AL2" t="s">
        <v>28</v>
      </c>
      <c r="AM2" t="s">
        <v>29</v>
      </c>
      <c r="AN2" t="s">
        <v>30</v>
      </c>
      <c r="AO2" t="s">
        <v>31</v>
      </c>
      <c r="AP2" t="s">
        <v>32</v>
      </c>
    </row>
    <row r="3" spans="1:42" x14ac:dyDescent="0.25">
      <c r="A3" t="s">
        <v>63</v>
      </c>
      <c r="B3" s="2">
        <v>45068</v>
      </c>
      <c r="C3" t="s">
        <v>36</v>
      </c>
      <c r="E3" s="19"/>
      <c r="F3" s="20"/>
      <c r="G3" s="20"/>
      <c r="H3" s="20"/>
      <c r="I3" s="20"/>
      <c r="J3" s="20"/>
      <c r="K3" s="20"/>
      <c r="L3" s="20"/>
      <c r="M3" s="20"/>
      <c r="N3" s="20"/>
      <c r="O3" s="20"/>
      <c r="P3" s="19"/>
      <c r="Q3" s="20"/>
      <c r="R3" s="20"/>
      <c r="S3" s="20"/>
      <c r="T3" s="20"/>
      <c r="U3" s="20"/>
      <c r="V3" s="20"/>
      <c r="W3" s="20"/>
      <c r="X3" s="20"/>
      <c r="Y3" s="20"/>
      <c r="Z3" s="20"/>
      <c r="AA3" s="20"/>
      <c r="AB3" s="20"/>
      <c r="AC3" s="20"/>
      <c r="AD3" s="20"/>
      <c r="AE3" s="20"/>
      <c r="AF3" s="20"/>
      <c r="AG3" s="20"/>
      <c r="AH3" s="20"/>
      <c r="AI3" s="20"/>
      <c r="AJ3" s="20"/>
      <c r="AK3" s="20"/>
      <c r="AL3" s="20"/>
      <c r="AM3" s="20"/>
      <c r="AN3" s="20"/>
      <c r="AO3" s="20"/>
      <c r="AP3" s="20"/>
    </row>
    <row r="4" spans="1:42" x14ac:dyDescent="0.25">
      <c r="B4" s="2"/>
      <c r="C4" t="s">
        <v>39</v>
      </c>
      <c r="E4" s="10" t="s">
        <v>65</v>
      </c>
      <c r="F4" s="11" t="s">
        <v>65</v>
      </c>
      <c r="G4" s="11" t="s">
        <v>65</v>
      </c>
      <c r="H4" s="11" t="s">
        <v>65</v>
      </c>
      <c r="I4" s="11" t="s">
        <v>65</v>
      </c>
      <c r="J4" s="11" t="s">
        <v>65</v>
      </c>
      <c r="K4" s="11" t="s">
        <v>65</v>
      </c>
      <c r="L4" s="11" t="s">
        <v>65</v>
      </c>
      <c r="M4" s="11" t="s">
        <v>65</v>
      </c>
      <c r="N4" s="11" t="s">
        <v>65</v>
      </c>
      <c r="O4" s="11" t="s">
        <v>65</v>
      </c>
      <c r="P4" s="10" t="s">
        <v>65</v>
      </c>
      <c r="Q4" s="11" t="s">
        <v>65</v>
      </c>
      <c r="R4" s="11" t="s">
        <v>65</v>
      </c>
      <c r="S4" s="11" t="s">
        <v>65</v>
      </c>
      <c r="T4" s="11" t="s">
        <v>65</v>
      </c>
      <c r="U4" s="11" t="s">
        <v>65</v>
      </c>
      <c r="V4" s="11" t="s">
        <v>65</v>
      </c>
      <c r="W4" s="11" t="s">
        <v>65</v>
      </c>
      <c r="X4" s="11" t="s">
        <v>65</v>
      </c>
      <c r="Y4" s="11" t="s">
        <v>65</v>
      </c>
      <c r="Z4" s="11" t="s">
        <v>65</v>
      </c>
      <c r="AA4" s="11" t="s">
        <v>65</v>
      </c>
      <c r="AB4" s="11" t="s">
        <v>65</v>
      </c>
      <c r="AC4" s="11" t="s">
        <v>65</v>
      </c>
      <c r="AD4" s="11" t="s">
        <v>65</v>
      </c>
      <c r="AE4" s="11" t="s">
        <v>65</v>
      </c>
      <c r="AF4" s="11" t="s">
        <v>65</v>
      </c>
      <c r="AG4" s="11" t="s">
        <v>65</v>
      </c>
      <c r="AH4" s="11" t="s">
        <v>65</v>
      </c>
      <c r="AI4" s="11" t="s">
        <v>65</v>
      </c>
      <c r="AJ4" s="11" t="s">
        <v>65</v>
      </c>
      <c r="AK4" s="11" t="s">
        <v>65</v>
      </c>
      <c r="AL4" s="11" t="s">
        <v>65</v>
      </c>
      <c r="AM4" s="11" t="s">
        <v>65</v>
      </c>
      <c r="AN4" s="11" t="s">
        <v>65</v>
      </c>
      <c r="AO4" s="11" t="s">
        <v>65</v>
      </c>
      <c r="AP4" s="11" t="s">
        <v>65</v>
      </c>
    </row>
    <row r="5" spans="1:42" x14ac:dyDescent="0.25">
      <c r="B5" s="2"/>
      <c r="C5" t="s">
        <v>40</v>
      </c>
      <c r="E5" s="10" t="s">
        <v>65</v>
      </c>
      <c r="F5" s="11" t="s">
        <v>65</v>
      </c>
      <c r="G5" s="11" t="s">
        <v>65</v>
      </c>
      <c r="H5" s="11" t="s">
        <v>65</v>
      </c>
      <c r="I5" s="11" t="s">
        <v>65</v>
      </c>
      <c r="J5" s="11" t="s">
        <v>65</v>
      </c>
      <c r="K5" s="11" t="s">
        <v>65</v>
      </c>
      <c r="L5" s="11" t="s">
        <v>65</v>
      </c>
      <c r="M5" s="11" t="s">
        <v>65</v>
      </c>
      <c r="N5" s="11" t="s">
        <v>65</v>
      </c>
      <c r="O5" s="11" t="s">
        <v>65</v>
      </c>
      <c r="P5" s="10" t="s">
        <v>65</v>
      </c>
      <c r="Q5" s="11" t="s">
        <v>65</v>
      </c>
      <c r="R5" s="11" t="s">
        <v>65</v>
      </c>
      <c r="S5" s="11" t="s">
        <v>65</v>
      </c>
      <c r="T5" s="11" t="s">
        <v>65</v>
      </c>
      <c r="U5" s="11" t="s">
        <v>65</v>
      </c>
      <c r="V5" s="11" t="s">
        <v>65</v>
      </c>
      <c r="W5" s="11" t="s">
        <v>65</v>
      </c>
      <c r="X5" s="11" t="s">
        <v>65</v>
      </c>
      <c r="Y5" s="11" t="s">
        <v>65</v>
      </c>
      <c r="Z5" s="11" t="s">
        <v>65</v>
      </c>
      <c r="AA5" s="11" t="s">
        <v>65</v>
      </c>
      <c r="AB5" s="11" t="s">
        <v>65</v>
      </c>
      <c r="AC5" s="11" t="s">
        <v>65</v>
      </c>
      <c r="AD5" s="11" t="s">
        <v>65</v>
      </c>
      <c r="AE5" s="11" t="s">
        <v>65</v>
      </c>
      <c r="AF5" s="11" t="s">
        <v>65</v>
      </c>
      <c r="AG5" s="11" t="s">
        <v>65</v>
      </c>
      <c r="AH5" s="11" t="s">
        <v>65</v>
      </c>
      <c r="AI5" s="11" t="s">
        <v>65</v>
      </c>
      <c r="AJ5" s="11" t="s">
        <v>65</v>
      </c>
      <c r="AK5" s="11" t="s">
        <v>65</v>
      </c>
      <c r="AL5" s="11" t="s">
        <v>65</v>
      </c>
      <c r="AM5" s="11" t="s">
        <v>65</v>
      </c>
      <c r="AN5" s="11" t="s">
        <v>65</v>
      </c>
      <c r="AO5" s="11" t="s">
        <v>65</v>
      </c>
      <c r="AP5" s="11" t="s">
        <v>65</v>
      </c>
    </row>
    <row r="6" spans="1:42" x14ac:dyDescent="0.25">
      <c r="B6" s="2"/>
      <c r="C6" t="s">
        <v>41</v>
      </c>
      <c r="E6" s="10" t="s">
        <v>65</v>
      </c>
      <c r="F6" s="11" t="s">
        <v>65</v>
      </c>
      <c r="G6" s="11" t="s">
        <v>65</v>
      </c>
      <c r="H6" s="11" t="s">
        <v>65</v>
      </c>
      <c r="I6" s="11" t="s">
        <v>65</v>
      </c>
      <c r="J6" s="11" t="s">
        <v>65</v>
      </c>
      <c r="K6" s="11" t="s">
        <v>65</v>
      </c>
      <c r="L6" s="11" t="s">
        <v>65</v>
      </c>
      <c r="M6" s="11" t="s">
        <v>65</v>
      </c>
      <c r="N6" s="11" t="s">
        <v>65</v>
      </c>
      <c r="O6" s="11" t="s">
        <v>65</v>
      </c>
      <c r="P6" s="10" t="s">
        <v>65</v>
      </c>
      <c r="Q6" s="11" t="s">
        <v>65</v>
      </c>
      <c r="R6" s="11" t="s">
        <v>65</v>
      </c>
      <c r="S6" s="11" t="s">
        <v>65</v>
      </c>
      <c r="T6" s="11" t="s">
        <v>65</v>
      </c>
      <c r="U6" s="11" t="s">
        <v>65</v>
      </c>
      <c r="V6" s="11" t="s">
        <v>65</v>
      </c>
      <c r="W6" s="11" t="s">
        <v>65</v>
      </c>
      <c r="X6" s="11" t="s">
        <v>65</v>
      </c>
      <c r="Y6" s="11" t="s">
        <v>65</v>
      </c>
      <c r="Z6" s="11" t="s">
        <v>65</v>
      </c>
      <c r="AA6" s="11" t="s">
        <v>65</v>
      </c>
      <c r="AB6" s="11" t="s">
        <v>65</v>
      </c>
      <c r="AC6" s="11" t="s">
        <v>65</v>
      </c>
      <c r="AD6" s="11" t="s">
        <v>65</v>
      </c>
      <c r="AE6" s="11" t="s">
        <v>65</v>
      </c>
      <c r="AF6" s="11" t="s">
        <v>65</v>
      </c>
      <c r="AG6" s="11" t="s">
        <v>65</v>
      </c>
      <c r="AH6" s="11" t="s">
        <v>65</v>
      </c>
      <c r="AI6" s="11" t="s">
        <v>65</v>
      </c>
      <c r="AJ6" s="11" t="s">
        <v>65</v>
      </c>
      <c r="AK6" s="11" t="s">
        <v>65</v>
      </c>
      <c r="AL6" s="11" t="s">
        <v>65</v>
      </c>
      <c r="AM6" s="11" t="s">
        <v>65</v>
      </c>
      <c r="AN6" s="11" t="s">
        <v>65</v>
      </c>
      <c r="AO6" s="11" t="s">
        <v>65</v>
      </c>
      <c r="AP6" s="11" t="s">
        <v>65</v>
      </c>
    </row>
    <row r="7" spans="1:42" x14ac:dyDescent="0.25">
      <c r="B7" s="2">
        <v>45072</v>
      </c>
      <c r="C7" t="s">
        <v>36</v>
      </c>
      <c r="E7" s="19"/>
      <c r="F7" s="20"/>
      <c r="G7" s="20"/>
      <c r="H7" s="20"/>
      <c r="I7" s="20"/>
      <c r="J7" s="20"/>
      <c r="K7" s="20"/>
      <c r="L7" s="20"/>
      <c r="M7" s="20"/>
      <c r="N7" s="20"/>
      <c r="O7" s="20"/>
      <c r="P7" s="19"/>
      <c r="Q7" s="20"/>
      <c r="R7" s="20"/>
      <c r="S7" s="20"/>
      <c r="T7" s="20"/>
      <c r="U7" s="20"/>
      <c r="V7" s="20"/>
      <c r="W7" s="20"/>
      <c r="X7" s="20"/>
      <c r="Y7" s="20"/>
      <c r="Z7" s="20"/>
      <c r="AA7" s="20"/>
      <c r="AB7" s="20"/>
      <c r="AC7" s="20"/>
      <c r="AD7" s="20"/>
      <c r="AE7" s="20"/>
      <c r="AF7" s="20"/>
      <c r="AG7" s="20"/>
      <c r="AH7" s="20"/>
      <c r="AI7" s="20"/>
      <c r="AJ7" s="20"/>
      <c r="AK7" s="20"/>
      <c r="AL7" s="20"/>
      <c r="AM7" s="20"/>
      <c r="AN7" s="20"/>
      <c r="AO7" s="20"/>
      <c r="AP7" s="20"/>
    </row>
    <row r="8" spans="1:42" x14ac:dyDescent="0.25">
      <c r="C8" t="s">
        <v>39</v>
      </c>
      <c r="E8" s="10">
        <v>4.54</v>
      </c>
      <c r="F8" s="11">
        <v>5.41</v>
      </c>
      <c r="G8" s="11" t="s">
        <v>65</v>
      </c>
      <c r="H8" s="11" t="s">
        <v>65</v>
      </c>
      <c r="I8" s="11" t="s">
        <v>65</v>
      </c>
      <c r="J8" s="11" t="s">
        <v>65</v>
      </c>
      <c r="K8" s="11" t="s">
        <v>65</v>
      </c>
      <c r="L8" s="11" t="s">
        <v>65</v>
      </c>
      <c r="M8" s="11" t="s">
        <v>65</v>
      </c>
      <c r="N8" s="11" t="s">
        <v>65</v>
      </c>
      <c r="O8" s="11" t="s">
        <v>65</v>
      </c>
      <c r="P8" s="10" t="s">
        <v>65</v>
      </c>
      <c r="Q8" s="11" t="s">
        <v>65</v>
      </c>
      <c r="R8" s="11" t="s">
        <v>65</v>
      </c>
      <c r="S8" s="11" t="s">
        <v>65</v>
      </c>
      <c r="T8" s="11">
        <v>0.82</v>
      </c>
      <c r="U8" s="11">
        <v>1.25</v>
      </c>
      <c r="V8" s="11">
        <v>4.78</v>
      </c>
      <c r="W8" s="11">
        <v>0.72399999999999998</v>
      </c>
      <c r="X8" s="11">
        <v>1.1299999999999999</v>
      </c>
      <c r="Y8" s="11" t="s">
        <v>65</v>
      </c>
      <c r="Z8" s="11" t="s">
        <v>65</v>
      </c>
      <c r="AA8" s="11" t="s">
        <v>65</v>
      </c>
      <c r="AB8" s="11" t="s">
        <v>65</v>
      </c>
      <c r="AC8" s="11" t="s">
        <v>65</v>
      </c>
      <c r="AD8" s="11" t="s">
        <v>65</v>
      </c>
      <c r="AE8" s="11" t="s">
        <v>65</v>
      </c>
      <c r="AF8" s="11" t="s">
        <v>65</v>
      </c>
      <c r="AG8" s="11" t="s">
        <v>65</v>
      </c>
      <c r="AH8" s="11" t="s">
        <v>65</v>
      </c>
      <c r="AI8" s="11" t="s">
        <v>65</v>
      </c>
      <c r="AJ8" s="11" t="s">
        <v>65</v>
      </c>
      <c r="AK8" s="11" t="s">
        <v>65</v>
      </c>
      <c r="AL8" s="11">
        <v>1.2</v>
      </c>
      <c r="AM8" s="11">
        <v>1.84</v>
      </c>
      <c r="AN8" s="11">
        <v>2.67</v>
      </c>
      <c r="AO8" s="11">
        <v>5.19</v>
      </c>
      <c r="AP8" s="11">
        <v>5.85</v>
      </c>
    </row>
    <row r="9" spans="1:42" x14ac:dyDescent="0.25">
      <c r="C9" t="s">
        <v>40</v>
      </c>
      <c r="E9" s="10">
        <v>9.57</v>
      </c>
      <c r="F9" s="11">
        <v>3.82</v>
      </c>
      <c r="G9" s="11" t="s">
        <v>65</v>
      </c>
      <c r="H9" s="11" t="s">
        <v>65</v>
      </c>
      <c r="I9" s="11" t="s">
        <v>65</v>
      </c>
      <c r="J9" s="11" t="s">
        <v>65</v>
      </c>
      <c r="K9" s="11" t="s">
        <v>65</v>
      </c>
      <c r="L9" s="11" t="s">
        <v>65</v>
      </c>
      <c r="M9" s="11" t="s">
        <v>65</v>
      </c>
      <c r="N9" s="11" t="s">
        <v>65</v>
      </c>
      <c r="O9" s="11" t="s">
        <v>65</v>
      </c>
      <c r="P9" s="10" t="s">
        <v>65</v>
      </c>
      <c r="Q9" s="11" t="s">
        <v>65</v>
      </c>
      <c r="R9" s="11" t="s">
        <v>65</v>
      </c>
      <c r="S9" s="11" t="s">
        <v>65</v>
      </c>
      <c r="T9" s="11" t="s">
        <v>65</v>
      </c>
      <c r="U9" s="11">
        <v>0.72199999999999998</v>
      </c>
      <c r="V9" s="11">
        <v>2.58</v>
      </c>
      <c r="W9" s="11" t="s">
        <v>65</v>
      </c>
      <c r="X9" s="11">
        <v>0.82299999999999995</v>
      </c>
      <c r="Y9" s="11" t="s">
        <v>65</v>
      </c>
      <c r="Z9" s="11" t="s">
        <v>65</v>
      </c>
      <c r="AA9" s="11" t="s">
        <v>65</v>
      </c>
      <c r="AB9" s="11" t="s">
        <v>65</v>
      </c>
      <c r="AC9" s="11" t="s">
        <v>65</v>
      </c>
      <c r="AD9" s="11" t="s">
        <v>65</v>
      </c>
      <c r="AE9" s="11" t="s">
        <v>65</v>
      </c>
      <c r="AF9" s="11" t="s">
        <v>65</v>
      </c>
      <c r="AG9" s="11" t="s">
        <v>65</v>
      </c>
      <c r="AH9" s="11" t="s">
        <v>65</v>
      </c>
      <c r="AI9" s="11" t="s">
        <v>65</v>
      </c>
      <c r="AJ9" s="11" t="s">
        <v>65</v>
      </c>
      <c r="AK9" s="11" t="s">
        <v>65</v>
      </c>
      <c r="AL9" s="11">
        <v>0.64600000000000002</v>
      </c>
      <c r="AM9" s="11">
        <v>1.07</v>
      </c>
      <c r="AN9" s="11">
        <v>2.3199999999999998</v>
      </c>
      <c r="AO9" s="11">
        <v>4.8099999999999996</v>
      </c>
      <c r="AP9" s="11">
        <v>5.96</v>
      </c>
    </row>
    <row r="10" spans="1:42" x14ac:dyDescent="0.25">
      <c r="C10" t="s">
        <v>41</v>
      </c>
      <c r="E10" s="10">
        <v>1.69</v>
      </c>
      <c r="F10" s="11">
        <v>1.23</v>
      </c>
      <c r="G10" s="11" t="s">
        <v>65</v>
      </c>
      <c r="H10" s="11" t="s">
        <v>65</v>
      </c>
      <c r="I10" s="11" t="s">
        <v>65</v>
      </c>
      <c r="J10" s="11" t="s">
        <v>65</v>
      </c>
      <c r="K10" s="11" t="s">
        <v>65</v>
      </c>
      <c r="L10" s="11" t="s">
        <v>65</v>
      </c>
      <c r="M10" s="11" t="s">
        <v>65</v>
      </c>
      <c r="N10" s="11" t="s">
        <v>65</v>
      </c>
      <c r="O10" s="11" t="s">
        <v>65</v>
      </c>
      <c r="P10" s="10" t="s">
        <v>65</v>
      </c>
      <c r="Q10" s="11" t="s">
        <v>65</v>
      </c>
      <c r="R10" s="11" t="s">
        <v>65</v>
      </c>
      <c r="S10" s="11" t="s">
        <v>65</v>
      </c>
      <c r="T10" s="11" t="s">
        <v>65</v>
      </c>
      <c r="U10" s="11">
        <v>0.56399999999999995</v>
      </c>
      <c r="V10" s="11">
        <v>1.93</v>
      </c>
      <c r="W10" s="11" t="s">
        <v>65</v>
      </c>
      <c r="X10" s="11" t="s">
        <v>65</v>
      </c>
      <c r="Y10" s="11" t="s">
        <v>65</v>
      </c>
      <c r="Z10" s="11" t="s">
        <v>65</v>
      </c>
      <c r="AA10" s="11" t="s">
        <v>65</v>
      </c>
      <c r="AB10" s="11" t="s">
        <v>65</v>
      </c>
      <c r="AC10" s="11" t="s">
        <v>65</v>
      </c>
      <c r="AD10" s="11" t="s">
        <v>65</v>
      </c>
      <c r="AE10" s="11" t="s">
        <v>65</v>
      </c>
      <c r="AF10" s="11" t="s">
        <v>65</v>
      </c>
      <c r="AG10" s="11" t="s">
        <v>65</v>
      </c>
      <c r="AH10" s="11" t="s">
        <v>65</v>
      </c>
      <c r="AI10" s="11" t="s">
        <v>65</v>
      </c>
      <c r="AJ10" s="11" t="s">
        <v>65</v>
      </c>
      <c r="AK10" s="11" t="s">
        <v>65</v>
      </c>
      <c r="AL10" s="11" t="s">
        <v>65</v>
      </c>
      <c r="AM10" s="11">
        <v>0.70399999999999996</v>
      </c>
      <c r="AN10" s="11">
        <v>1.32</v>
      </c>
      <c r="AO10" s="11">
        <v>3.15</v>
      </c>
      <c r="AP10" s="11">
        <v>3.76</v>
      </c>
    </row>
    <row r="11" spans="1:42" x14ac:dyDescent="0.25">
      <c r="B11" s="2">
        <v>45105</v>
      </c>
      <c r="C11" t="s">
        <v>36</v>
      </c>
      <c r="E11" s="19"/>
      <c r="F11" s="20"/>
      <c r="G11" s="20"/>
      <c r="H11" s="20"/>
      <c r="I11" s="20"/>
      <c r="J11" s="20"/>
      <c r="K11" s="20"/>
      <c r="L11" s="20"/>
      <c r="M11" s="20"/>
      <c r="N11" s="20"/>
      <c r="O11" s="20"/>
      <c r="P11" s="19"/>
      <c r="Q11" s="20"/>
      <c r="R11" s="20"/>
      <c r="S11" s="20"/>
      <c r="T11" s="20"/>
      <c r="U11" s="21"/>
      <c r="V11" s="21"/>
      <c r="W11" s="20"/>
      <c r="X11" s="20"/>
      <c r="Y11" s="20"/>
      <c r="Z11" s="20"/>
      <c r="AA11" s="20"/>
      <c r="AB11" s="20"/>
      <c r="AC11" s="20"/>
      <c r="AD11" s="20"/>
      <c r="AE11" s="20"/>
      <c r="AF11" s="20"/>
      <c r="AG11" s="20"/>
      <c r="AH11" s="20"/>
      <c r="AI11" s="20"/>
      <c r="AJ11" s="20"/>
      <c r="AK11" s="20"/>
      <c r="AL11" s="21"/>
      <c r="AM11" s="21"/>
      <c r="AN11" s="21"/>
      <c r="AO11" s="21"/>
      <c r="AP11" s="21"/>
    </row>
    <row r="12" spans="1:42" x14ac:dyDescent="0.25">
      <c r="C12" t="s">
        <v>39</v>
      </c>
      <c r="E12" s="10">
        <v>2.59</v>
      </c>
      <c r="F12" s="11">
        <v>1.65</v>
      </c>
      <c r="G12" s="11" t="s">
        <v>65</v>
      </c>
      <c r="H12" s="11" t="s">
        <v>65</v>
      </c>
      <c r="I12" s="11">
        <v>0.52600000000000002</v>
      </c>
      <c r="J12" s="11" t="s">
        <v>65</v>
      </c>
      <c r="K12" s="11" t="s">
        <v>65</v>
      </c>
      <c r="L12" s="11" t="s">
        <v>65</v>
      </c>
      <c r="M12" s="11" t="s">
        <v>65</v>
      </c>
      <c r="N12" s="11" t="s">
        <v>65</v>
      </c>
      <c r="O12" s="11" t="s">
        <v>65</v>
      </c>
      <c r="P12" s="10" t="s">
        <v>65</v>
      </c>
      <c r="Q12" s="11" t="s">
        <v>65</v>
      </c>
      <c r="R12" s="11" t="s">
        <v>65</v>
      </c>
      <c r="S12" s="11" t="s">
        <v>65</v>
      </c>
      <c r="T12" s="12">
        <v>11.7</v>
      </c>
      <c r="U12" s="12">
        <v>14.8</v>
      </c>
      <c r="V12" s="12">
        <v>25.5</v>
      </c>
      <c r="W12" s="11">
        <v>3.51</v>
      </c>
      <c r="X12" s="11">
        <v>3.41</v>
      </c>
      <c r="Y12" s="11" t="s">
        <v>65</v>
      </c>
      <c r="Z12" s="11" t="s">
        <v>65</v>
      </c>
      <c r="AA12" s="11" t="s">
        <v>65</v>
      </c>
      <c r="AB12" s="11" t="s">
        <v>65</v>
      </c>
      <c r="AC12" s="11" t="s">
        <v>65</v>
      </c>
      <c r="AD12" s="11" t="s">
        <v>65</v>
      </c>
      <c r="AE12" s="11" t="s">
        <v>65</v>
      </c>
      <c r="AF12" s="11" t="s">
        <v>65</v>
      </c>
      <c r="AG12" s="11" t="s">
        <v>65</v>
      </c>
      <c r="AH12" s="11" t="s">
        <v>65</v>
      </c>
      <c r="AI12" s="11" t="s">
        <v>65</v>
      </c>
      <c r="AJ12" s="11" t="s">
        <v>65</v>
      </c>
      <c r="AK12" s="11">
        <v>1.2</v>
      </c>
      <c r="AL12" s="12">
        <v>18</v>
      </c>
      <c r="AM12" s="12">
        <v>25</v>
      </c>
      <c r="AN12" s="12">
        <v>19.8</v>
      </c>
      <c r="AO12" s="12">
        <v>16.8</v>
      </c>
      <c r="AP12" s="12">
        <v>10.5</v>
      </c>
    </row>
    <row r="13" spans="1:42" x14ac:dyDescent="0.25">
      <c r="C13" t="s">
        <v>40</v>
      </c>
      <c r="E13" s="10">
        <v>6.35</v>
      </c>
      <c r="F13" s="11">
        <v>3.98</v>
      </c>
      <c r="G13" s="11" t="s">
        <v>65</v>
      </c>
      <c r="H13" s="11" t="s">
        <v>65</v>
      </c>
      <c r="I13" s="11" t="s">
        <v>65</v>
      </c>
      <c r="J13" s="11" t="s">
        <v>65</v>
      </c>
      <c r="K13" s="11" t="s">
        <v>65</v>
      </c>
      <c r="L13" s="11" t="s">
        <v>65</v>
      </c>
      <c r="M13" s="11" t="s">
        <v>65</v>
      </c>
      <c r="N13" s="11" t="s">
        <v>65</v>
      </c>
      <c r="O13" s="11" t="s">
        <v>65</v>
      </c>
      <c r="P13" s="10" t="s">
        <v>65</v>
      </c>
      <c r="Q13" s="11" t="s">
        <v>65</v>
      </c>
      <c r="R13" s="11" t="s">
        <v>65</v>
      </c>
      <c r="S13" s="11" t="s">
        <v>65</v>
      </c>
      <c r="T13" s="11">
        <v>8.14</v>
      </c>
      <c r="U13" s="12">
        <v>10.4</v>
      </c>
      <c r="V13" s="12">
        <v>20.8</v>
      </c>
      <c r="W13" s="11">
        <v>2.2799999999999998</v>
      </c>
      <c r="X13" s="11">
        <v>2.23</v>
      </c>
      <c r="Y13" s="11" t="s">
        <v>65</v>
      </c>
      <c r="Z13" s="11" t="s">
        <v>65</v>
      </c>
      <c r="AA13" s="11" t="s">
        <v>65</v>
      </c>
      <c r="AB13" s="11" t="s">
        <v>65</v>
      </c>
      <c r="AC13" s="11" t="s">
        <v>65</v>
      </c>
      <c r="AD13" s="11" t="s">
        <v>65</v>
      </c>
      <c r="AE13" s="11" t="s">
        <v>65</v>
      </c>
      <c r="AF13" s="11" t="s">
        <v>65</v>
      </c>
      <c r="AG13" s="11" t="s">
        <v>65</v>
      </c>
      <c r="AH13" s="11" t="s">
        <v>65</v>
      </c>
      <c r="AI13" s="11" t="s">
        <v>65</v>
      </c>
      <c r="AJ13" s="11" t="s">
        <v>65</v>
      </c>
      <c r="AK13" s="11">
        <v>0.85499999999999998</v>
      </c>
      <c r="AL13" s="12">
        <v>11.6</v>
      </c>
      <c r="AM13" s="12">
        <v>16.5</v>
      </c>
      <c r="AN13" s="12">
        <v>10.6</v>
      </c>
      <c r="AO13" s="12">
        <v>8.89</v>
      </c>
      <c r="AP13" s="11">
        <v>6.63</v>
      </c>
    </row>
    <row r="14" spans="1:42" x14ac:dyDescent="0.25">
      <c r="C14" t="s">
        <v>41</v>
      </c>
      <c r="E14" s="10">
        <v>4.2300000000000004</v>
      </c>
      <c r="F14" s="11">
        <v>4.07</v>
      </c>
      <c r="G14" s="11" t="s">
        <v>65</v>
      </c>
      <c r="H14" s="11" t="s">
        <v>65</v>
      </c>
      <c r="I14" s="11" t="s">
        <v>65</v>
      </c>
      <c r="J14" s="11" t="s">
        <v>65</v>
      </c>
      <c r="K14" s="11" t="s">
        <v>65</v>
      </c>
      <c r="L14" s="11" t="s">
        <v>65</v>
      </c>
      <c r="M14" s="11" t="s">
        <v>65</v>
      </c>
      <c r="N14" s="11" t="s">
        <v>65</v>
      </c>
      <c r="O14" s="11" t="s">
        <v>65</v>
      </c>
      <c r="P14" s="10" t="s">
        <v>65</v>
      </c>
      <c r="Q14" s="11" t="s">
        <v>65</v>
      </c>
      <c r="R14" s="11" t="s">
        <v>65</v>
      </c>
      <c r="S14" s="11" t="s">
        <v>65</v>
      </c>
      <c r="T14" s="12">
        <v>10.6</v>
      </c>
      <c r="U14" s="12">
        <v>14.3</v>
      </c>
      <c r="V14" s="12">
        <v>25.9</v>
      </c>
      <c r="W14" s="11">
        <v>3.44</v>
      </c>
      <c r="X14" s="11">
        <v>3.97</v>
      </c>
      <c r="Y14" s="11">
        <v>0.60699999999999998</v>
      </c>
      <c r="Z14" s="11" t="s">
        <v>65</v>
      </c>
      <c r="AA14" s="11" t="s">
        <v>65</v>
      </c>
      <c r="AB14" s="11" t="s">
        <v>65</v>
      </c>
      <c r="AC14" s="11" t="s">
        <v>65</v>
      </c>
      <c r="AD14" s="11" t="s">
        <v>65</v>
      </c>
      <c r="AE14" s="11" t="s">
        <v>65</v>
      </c>
      <c r="AF14" s="11" t="s">
        <v>65</v>
      </c>
      <c r="AG14" s="11" t="s">
        <v>65</v>
      </c>
      <c r="AH14" s="11" t="s">
        <v>65</v>
      </c>
      <c r="AI14" s="11" t="s">
        <v>65</v>
      </c>
      <c r="AJ14" s="11" t="s">
        <v>65</v>
      </c>
      <c r="AK14" s="11">
        <v>0.876</v>
      </c>
      <c r="AL14" s="12">
        <v>14.2</v>
      </c>
      <c r="AM14" s="12">
        <v>24</v>
      </c>
      <c r="AN14" s="12">
        <v>20.8</v>
      </c>
      <c r="AO14" s="12">
        <v>16</v>
      </c>
      <c r="AP14" s="12">
        <v>10.7</v>
      </c>
    </row>
    <row r="15" spans="1:42" x14ac:dyDescent="0.25">
      <c r="B15" s="2">
        <v>45124</v>
      </c>
      <c r="C15" t="s">
        <v>36</v>
      </c>
      <c r="E15" s="19"/>
      <c r="F15" s="20"/>
      <c r="G15" s="20"/>
      <c r="H15" s="20"/>
      <c r="I15" s="20"/>
      <c r="J15" s="20"/>
      <c r="K15" s="20"/>
      <c r="L15" s="20"/>
      <c r="M15" s="20"/>
      <c r="N15" s="20"/>
      <c r="O15" s="20"/>
      <c r="P15" s="19"/>
      <c r="Q15" s="20"/>
      <c r="R15" s="20"/>
      <c r="S15" s="20"/>
      <c r="T15" s="21"/>
      <c r="U15" s="21"/>
      <c r="V15" s="21"/>
      <c r="W15" s="20"/>
      <c r="X15" s="20"/>
      <c r="Y15" s="20"/>
      <c r="Z15" s="20"/>
      <c r="AA15" s="20"/>
      <c r="AB15" s="20"/>
      <c r="AC15" s="20"/>
      <c r="AD15" s="20"/>
      <c r="AE15" s="20"/>
      <c r="AF15" s="20"/>
      <c r="AG15" s="20"/>
      <c r="AH15" s="20"/>
      <c r="AI15" s="20"/>
      <c r="AJ15" s="20"/>
      <c r="AK15" s="20"/>
      <c r="AL15" s="21"/>
      <c r="AM15" s="21"/>
      <c r="AN15" s="21"/>
      <c r="AO15" s="21"/>
      <c r="AP15" s="21"/>
    </row>
    <row r="16" spans="1:42" x14ac:dyDescent="0.25">
      <c r="C16" t="s">
        <v>39</v>
      </c>
      <c r="E16" s="10">
        <v>2.1</v>
      </c>
      <c r="F16" s="11">
        <v>1.93</v>
      </c>
      <c r="G16" s="11" t="s">
        <v>65</v>
      </c>
      <c r="H16" s="11" t="s">
        <v>65</v>
      </c>
      <c r="I16" s="11" t="s">
        <v>65</v>
      </c>
      <c r="J16" s="11" t="s">
        <v>65</v>
      </c>
      <c r="K16" s="11" t="s">
        <v>65</v>
      </c>
      <c r="L16" s="11" t="s">
        <v>65</v>
      </c>
      <c r="M16" s="11" t="s">
        <v>65</v>
      </c>
      <c r="N16" s="11" t="s">
        <v>65</v>
      </c>
      <c r="O16" s="11" t="s">
        <v>65</v>
      </c>
      <c r="P16" s="10" t="s">
        <v>65</v>
      </c>
      <c r="Q16" s="11" t="s">
        <v>65</v>
      </c>
      <c r="R16" s="11" t="s">
        <v>65</v>
      </c>
      <c r="S16" s="11" t="s">
        <v>65</v>
      </c>
      <c r="T16" s="12">
        <v>15.7</v>
      </c>
      <c r="U16" s="12">
        <v>20.5</v>
      </c>
      <c r="V16" s="12">
        <v>30.3</v>
      </c>
      <c r="W16" s="11">
        <v>4.6100000000000003</v>
      </c>
      <c r="X16" s="11">
        <v>4.2300000000000004</v>
      </c>
      <c r="Y16" s="11">
        <v>0.54900000000000004</v>
      </c>
      <c r="Z16" s="11" t="s">
        <v>65</v>
      </c>
      <c r="AA16" s="11" t="s">
        <v>65</v>
      </c>
      <c r="AB16" s="11" t="s">
        <v>65</v>
      </c>
      <c r="AC16" s="11" t="s">
        <v>65</v>
      </c>
      <c r="AD16" s="11" t="s">
        <v>65</v>
      </c>
      <c r="AE16" s="11" t="s">
        <v>65</v>
      </c>
      <c r="AF16" s="11" t="s">
        <v>65</v>
      </c>
      <c r="AG16" s="11" t="s">
        <v>65</v>
      </c>
      <c r="AH16" s="11" t="s">
        <v>65</v>
      </c>
      <c r="AI16" s="11" t="s">
        <v>65</v>
      </c>
      <c r="AJ16" s="11" t="s">
        <v>65</v>
      </c>
      <c r="AK16" s="11">
        <v>1.68</v>
      </c>
      <c r="AL16" s="12">
        <v>23.1</v>
      </c>
      <c r="AM16" s="12">
        <v>29.6</v>
      </c>
      <c r="AN16" s="12">
        <v>21.6</v>
      </c>
      <c r="AO16" s="12">
        <v>21.2</v>
      </c>
      <c r="AP16" s="12">
        <v>13</v>
      </c>
    </row>
    <row r="17" spans="1:42" x14ac:dyDescent="0.25">
      <c r="C17" t="s">
        <v>40</v>
      </c>
      <c r="E17" s="10">
        <v>2.52</v>
      </c>
      <c r="F17" s="11">
        <v>1.97</v>
      </c>
      <c r="G17" s="11" t="s">
        <v>65</v>
      </c>
      <c r="H17" s="11" t="s">
        <v>65</v>
      </c>
      <c r="I17" s="11" t="s">
        <v>65</v>
      </c>
      <c r="J17" s="11" t="s">
        <v>65</v>
      </c>
      <c r="K17" s="11" t="s">
        <v>65</v>
      </c>
      <c r="L17" s="11" t="s">
        <v>65</v>
      </c>
      <c r="M17" s="11" t="s">
        <v>65</v>
      </c>
      <c r="N17" s="11" t="s">
        <v>65</v>
      </c>
      <c r="O17" s="11" t="s">
        <v>65</v>
      </c>
      <c r="P17" s="10" t="s">
        <v>65</v>
      </c>
      <c r="Q17" s="11" t="s">
        <v>65</v>
      </c>
      <c r="R17" s="11" t="s">
        <v>65</v>
      </c>
      <c r="S17" s="11" t="s">
        <v>65</v>
      </c>
      <c r="T17" s="12">
        <v>11.3</v>
      </c>
      <c r="U17" s="12">
        <v>15.1</v>
      </c>
      <c r="V17" s="12">
        <v>26.2</v>
      </c>
      <c r="W17" s="11">
        <v>2.59</v>
      </c>
      <c r="X17" s="11">
        <v>2.16</v>
      </c>
      <c r="Y17" s="11" t="s">
        <v>65</v>
      </c>
      <c r="Z17" s="11" t="s">
        <v>65</v>
      </c>
      <c r="AA17" s="11" t="s">
        <v>65</v>
      </c>
      <c r="AB17" s="11" t="s">
        <v>65</v>
      </c>
      <c r="AC17" s="11" t="s">
        <v>65</v>
      </c>
      <c r="AD17" s="11" t="s">
        <v>65</v>
      </c>
      <c r="AE17" s="11" t="s">
        <v>65</v>
      </c>
      <c r="AF17" s="11" t="s">
        <v>65</v>
      </c>
      <c r="AG17" s="11" t="s">
        <v>65</v>
      </c>
      <c r="AH17" s="11" t="s">
        <v>65</v>
      </c>
      <c r="AI17" s="11" t="s">
        <v>65</v>
      </c>
      <c r="AJ17" s="11" t="s">
        <v>65</v>
      </c>
      <c r="AK17" s="11">
        <v>1.04</v>
      </c>
      <c r="AL17" s="12">
        <v>16.100000000000001</v>
      </c>
      <c r="AM17" s="12">
        <v>19.600000000000001</v>
      </c>
      <c r="AN17" s="12">
        <v>10.6</v>
      </c>
      <c r="AO17" s="12">
        <v>10.3</v>
      </c>
      <c r="AP17" s="11">
        <v>6.67</v>
      </c>
    </row>
    <row r="18" spans="1:42" x14ac:dyDescent="0.25">
      <c r="C18" t="s">
        <v>41</v>
      </c>
      <c r="E18" s="10">
        <v>2.0299999999999998</v>
      </c>
      <c r="F18" s="11">
        <v>2.2799999999999998</v>
      </c>
      <c r="G18" s="11" t="s">
        <v>65</v>
      </c>
      <c r="H18" s="11" t="s">
        <v>65</v>
      </c>
      <c r="I18" s="11" t="s">
        <v>65</v>
      </c>
      <c r="J18" s="11" t="s">
        <v>65</v>
      </c>
      <c r="K18" s="11" t="s">
        <v>65</v>
      </c>
      <c r="L18" s="11" t="s">
        <v>65</v>
      </c>
      <c r="M18" s="11" t="s">
        <v>65</v>
      </c>
      <c r="N18" s="11" t="s">
        <v>65</v>
      </c>
      <c r="O18" s="11" t="s">
        <v>65</v>
      </c>
      <c r="P18" s="10" t="s">
        <v>65</v>
      </c>
      <c r="Q18" s="11" t="s">
        <v>65</v>
      </c>
      <c r="R18" s="11" t="s">
        <v>65</v>
      </c>
      <c r="S18" s="11" t="s">
        <v>65</v>
      </c>
      <c r="T18" s="12">
        <v>17.5</v>
      </c>
      <c r="U18" s="12">
        <v>22.2</v>
      </c>
      <c r="V18" s="12">
        <v>32.700000000000003</v>
      </c>
      <c r="W18" s="11">
        <v>3.59</v>
      </c>
      <c r="X18" s="11">
        <v>3.91</v>
      </c>
      <c r="Y18" s="11">
        <v>0.51500000000000001</v>
      </c>
      <c r="Z18" s="11" t="s">
        <v>65</v>
      </c>
      <c r="AA18" s="11" t="s">
        <v>65</v>
      </c>
      <c r="AB18" s="11" t="s">
        <v>65</v>
      </c>
      <c r="AC18" s="11" t="s">
        <v>65</v>
      </c>
      <c r="AD18" s="11" t="s">
        <v>65</v>
      </c>
      <c r="AE18" s="11" t="s">
        <v>65</v>
      </c>
      <c r="AF18" s="11" t="s">
        <v>65</v>
      </c>
      <c r="AG18" s="11" t="s">
        <v>65</v>
      </c>
      <c r="AH18" s="11" t="s">
        <v>65</v>
      </c>
      <c r="AI18" s="11" t="s">
        <v>65</v>
      </c>
      <c r="AJ18" s="11" t="s">
        <v>65</v>
      </c>
      <c r="AK18" s="11">
        <v>1.5</v>
      </c>
      <c r="AL18" s="12">
        <v>26.1</v>
      </c>
      <c r="AM18" s="12">
        <v>28.9</v>
      </c>
      <c r="AN18" s="12">
        <v>18</v>
      </c>
      <c r="AO18" s="12">
        <v>15.9</v>
      </c>
      <c r="AP18" s="12">
        <v>11</v>
      </c>
    </row>
    <row r="19" spans="1:42" x14ac:dyDescent="0.25">
      <c r="B19" s="2">
        <v>45128</v>
      </c>
      <c r="C19" t="s">
        <v>36</v>
      </c>
      <c r="E19" s="19"/>
      <c r="F19" s="20"/>
      <c r="G19" s="20"/>
      <c r="H19" s="20"/>
      <c r="I19" s="20"/>
      <c r="J19" s="20"/>
      <c r="K19" s="20"/>
      <c r="L19" s="20"/>
      <c r="M19" s="20"/>
      <c r="N19" s="20"/>
      <c r="O19" s="20"/>
      <c r="P19" s="19"/>
      <c r="Q19" s="20"/>
      <c r="R19" s="20"/>
      <c r="S19" s="20"/>
      <c r="T19" s="21"/>
      <c r="U19" s="21"/>
      <c r="V19" s="21"/>
      <c r="W19" s="20"/>
      <c r="X19" s="20"/>
      <c r="Y19" s="20"/>
      <c r="Z19" s="20"/>
      <c r="AA19" s="20"/>
      <c r="AB19" s="20"/>
      <c r="AC19" s="20"/>
      <c r="AD19" s="20"/>
      <c r="AE19" s="20"/>
      <c r="AF19" s="20"/>
      <c r="AG19" s="20"/>
      <c r="AH19" s="20"/>
      <c r="AI19" s="20"/>
      <c r="AJ19" s="20"/>
      <c r="AK19" s="20"/>
      <c r="AL19" s="21"/>
      <c r="AM19" s="21"/>
      <c r="AN19" s="21"/>
      <c r="AO19" s="21"/>
      <c r="AP19" s="20"/>
    </row>
    <row r="20" spans="1:42" x14ac:dyDescent="0.25">
      <c r="C20" t="s">
        <v>39</v>
      </c>
      <c r="E20" s="10" t="s">
        <v>65</v>
      </c>
      <c r="F20" s="11" t="s">
        <v>65</v>
      </c>
      <c r="G20" s="11" t="s">
        <v>65</v>
      </c>
      <c r="H20" s="11" t="s">
        <v>65</v>
      </c>
      <c r="I20" s="11" t="s">
        <v>65</v>
      </c>
      <c r="J20" s="11" t="s">
        <v>65</v>
      </c>
      <c r="K20" s="11" t="s">
        <v>65</v>
      </c>
      <c r="L20" s="11" t="s">
        <v>65</v>
      </c>
      <c r="M20" s="11" t="s">
        <v>65</v>
      </c>
      <c r="N20" s="11" t="s">
        <v>65</v>
      </c>
      <c r="O20" s="11" t="s">
        <v>65</v>
      </c>
      <c r="P20" s="10" t="s">
        <v>65</v>
      </c>
      <c r="Q20" s="11" t="s">
        <v>65</v>
      </c>
      <c r="R20" s="11" t="s">
        <v>65</v>
      </c>
      <c r="S20" s="11" t="s">
        <v>65</v>
      </c>
      <c r="T20" s="12">
        <v>21.3</v>
      </c>
      <c r="U20" s="12">
        <v>23.6</v>
      </c>
      <c r="V20" s="12">
        <v>42.2</v>
      </c>
      <c r="W20" s="11">
        <v>4.34</v>
      </c>
      <c r="X20" s="11">
        <v>3.16</v>
      </c>
      <c r="Y20" s="11" t="s">
        <v>65</v>
      </c>
      <c r="Z20" s="11" t="s">
        <v>65</v>
      </c>
      <c r="AA20" s="11" t="s">
        <v>65</v>
      </c>
      <c r="AB20" s="11" t="s">
        <v>65</v>
      </c>
      <c r="AC20" s="11" t="s">
        <v>65</v>
      </c>
      <c r="AD20" s="11" t="s">
        <v>65</v>
      </c>
      <c r="AE20" s="11" t="s">
        <v>65</v>
      </c>
      <c r="AF20" s="11" t="s">
        <v>65</v>
      </c>
      <c r="AG20" s="11" t="s">
        <v>65</v>
      </c>
      <c r="AH20" s="11" t="s">
        <v>65</v>
      </c>
      <c r="AI20" s="11" t="s">
        <v>65</v>
      </c>
      <c r="AJ20" s="11" t="s">
        <v>65</v>
      </c>
      <c r="AK20" s="11">
        <v>1.82</v>
      </c>
      <c r="AL20" s="12">
        <v>32.1</v>
      </c>
      <c r="AM20" s="12">
        <v>34.4</v>
      </c>
      <c r="AN20" s="12">
        <v>13.4</v>
      </c>
      <c r="AO20" s="11">
        <v>6.79</v>
      </c>
      <c r="AP20" s="11">
        <v>1.55</v>
      </c>
    </row>
    <row r="21" spans="1:42" x14ac:dyDescent="0.25">
      <c r="C21" t="s">
        <v>40</v>
      </c>
      <c r="E21" s="10" t="s">
        <v>65</v>
      </c>
      <c r="F21" s="11" t="s">
        <v>65</v>
      </c>
      <c r="G21" s="11" t="s">
        <v>65</v>
      </c>
      <c r="H21" s="11" t="s">
        <v>65</v>
      </c>
      <c r="I21" s="11" t="s">
        <v>65</v>
      </c>
      <c r="J21" s="11" t="s">
        <v>65</v>
      </c>
      <c r="K21" s="11" t="s">
        <v>65</v>
      </c>
      <c r="L21" s="11" t="s">
        <v>65</v>
      </c>
      <c r="M21" s="11" t="s">
        <v>65</v>
      </c>
      <c r="N21" s="11" t="s">
        <v>65</v>
      </c>
      <c r="O21" s="11" t="s">
        <v>65</v>
      </c>
      <c r="P21" s="10" t="s">
        <v>65</v>
      </c>
      <c r="Q21" s="11" t="s">
        <v>65</v>
      </c>
      <c r="R21" s="11" t="s">
        <v>65</v>
      </c>
      <c r="S21" s="11" t="s">
        <v>65</v>
      </c>
      <c r="T21" s="12">
        <v>12.5</v>
      </c>
      <c r="U21" s="12">
        <v>14.7</v>
      </c>
      <c r="V21" s="12">
        <v>24.5</v>
      </c>
      <c r="W21" s="11">
        <v>2.0299999999999998</v>
      </c>
      <c r="X21" s="11">
        <v>1.48</v>
      </c>
      <c r="Y21" s="11" t="s">
        <v>65</v>
      </c>
      <c r="Z21" s="11" t="s">
        <v>65</v>
      </c>
      <c r="AA21" s="11" t="s">
        <v>65</v>
      </c>
      <c r="AB21" s="11" t="s">
        <v>65</v>
      </c>
      <c r="AC21" s="11" t="s">
        <v>65</v>
      </c>
      <c r="AD21" s="11" t="s">
        <v>65</v>
      </c>
      <c r="AE21" s="11" t="s">
        <v>65</v>
      </c>
      <c r="AF21" s="11" t="s">
        <v>65</v>
      </c>
      <c r="AG21" s="11" t="s">
        <v>65</v>
      </c>
      <c r="AH21" s="11" t="s">
        <v>65</v>
      </c>
      <c r="AI21" s="11" t="s">
        <v>65</v>
      </c>
      <c r="AJ21" s="11" t="s">
        <v>65</v>
      </c>
      <c r="AK21" s="11">
        <v>1.1499999999999999</v>
      </c>
      <c r="AL21" s="12">
        <v>16.600000000000001</v>
      </c>
      <c r="AM21" s="12">
        <v>16</v>
      </c>
      <c r="AN21" s="11">
        <v>7.2</v>
      </c>
      <c r="AO21" s="11">
        <v>2.64</v>
      </c>
      <c r="AP21" s="11" t="s">
        <v>65</v>
      </c>
    </row>
    <row r="22" spans="1:42" x14ac:dyDescent="0.25">
      <c r="C22" t="s">
        <v>41</v>
      </c>
      <c r="E22" s="10" t="s">
        <v>65</v>
      </c>
      <c r="F22" s="11" t="s">
        <v>65</v>
      </c>
      <c r="G22" s="11" t="s">
        <v>65</v>
      </c>
      <c r="H22" s="11" t="s">
        <v>65</v>
      </c>
      <c r="I22" s="11" t="s">
        <v>65</v>
      </c>
      <c r="J22" s="11" t="s">
        <v>65</v>
      </c>
      <c r="K22" s="11" t="s">
        <v>65</v>
      </c>
      <c r="L22" s="11" t="s">
        <v>65</v>
      </c>
      <c r="M22" s="11" t="s">
        <v>65</v>
      </c>
      <c r="N22" s="11" t="s">
        <v>65</v>
      </c>
      <c r="O22" s="11" t="s">
        <v>65</v>
      </c>
      <c r="P22" s="10" t="s">
        <v>65</v>
      </c>
      <c r="Q22" s="11" t="s">
        <v>65</v>
      </c>
      <c r="R22" s="11" t="s">
        <v>65</v>
      </c>
      <c r="S22" s="11" t="s">
        <v>65</v>
      </c>
      <c r="T22" s="12">
        <v>18.899999999999999</v>
      </c>
      <c r="U22" s="12">
        <v>22.9</v>
      </c>
      <c r="V22" s="12">
        <v>33.700000000000003</v>
      </c>
      <c r="W22" s="11">
        <v>2.91</v>
      </c>
      <c r="X22" s="11">
        <v>2.04</v>
      </c>
      <c r="Y22" s="11" t="s">
        <v>65</v>
      </c>
      <c r="Z22" s="11" t="s">
        <v>65</v>
      </c>
      <c r="AA22" s="11" t="s">
        <v>65</v>
      </c>
      <c r="AB22" s="11" t="s">
        <v>65</v>
      </c>
      <c r="AC22" s="11" t="s">
        <v>65</v>
      </c>
      <c r="AD22" s="11" t="s">
        <v>65</v>
      </c>
      <c r="AE22" s="11" t="s">
        <v>65</v>
      </c>
      <c r="AF22" s="11" t="s">
        <v>65</v>
      </c>
      <c r="AG22" s="11" t="s">
        <v>65</v>
      </c>
      <c r="AH22" s="11" t="s">
        <v>65</v>
      </c>
      <c r="AI22" s="11" t="s">
        <v>65</v>
      </c>
      <c r="AJ22" s="11" t="s">
        <v>65</v>
      </c>
      <c r="AK22" s="11">
        <v>1.62</v>
      </c>
      <c r="AL22" s="12">
        <v>27.9</v>
      </c>
      <c r="AM22" s="12">
        <v>27.8</v>
      </c>
      <c r="AN22" s="12">
        <v>11.5</v>
      </c>
      <c r="AO22" s="11">
        <v>4.0999999999999996</v>
      </c>
      <c r="AP22" s="11">
        <v>0.65900000000000003</v>
      </c>
    </row>
    <row r="23" spans="1:42" x14ac:dyDescent="0.25">
      <c r="B23" s="2">
        <v>45203</v>
      </c>
      <c r="C23" t="s">
        <v>36</v>
      </c>
      <c r="E23" s="19"/>
      <c r="F23" s="20"/>
      <c r="G23" s="20"/>
      <c r="H23" s="20"/>
      <c r="I23" s="20"/>
      <c r="J23" s="20"/>
      <c r="K23" s="20"/>
      <c r="L23" s="20"/>
      <c r="M23" s="20"/>
      <c r="N23" s="20"/>
      <c r="O23" s="20"/>
      <c r="P23" s="19"/>
      <c r="Q23" s="20"/>
      <c r="R23" s="20"/>
      <c r="S23" s="20"/>
      <c r="T23" s="20"/>
      <c r="U23" s="20"/>
      <c r="V23" s="20"/>
      <c r="W23" s="20"/>
      <c r="X23" s="20"/>
      <c r="Y23" s="20"/>
      <c r="Z23" s="20"/>
      <c r="AA23" s="20"/>
      <c r="AB23" s="20"/>
      <c r="AC23" s="20"/>
      <c r="AD23" s="20"/>
      <c r="AE23" s="20"/>
      <c r="AF23" s="20"/>
      <c r="AG23" s="20"/>
      <c r="AH23" s="20"/>
      <c r="AI23" s="20"/>
      <c r="AJ23" s="20"/>
      <c r="AK23" s="20"/>
      <c r="AL23" s="20"/>
      <c r="AM23" s="20"/>
      <c r="AN23" s="20"/>
      <c r="AO23" s="20"/>
      <c r="AP23" s="20"/>
    </row>
    <row r="24" spans="1:42" x14ac:dyDescent="0.25">
      <c r="C24" t="s">
        <v>39</v>
      </c>
      <c r="E24" s="10" t="s">
        <v>65</v>
      </c>
      <c r="F24" s="11" t="s">
        <v>65</v>
      </c>
      <c r="G24" s="11" t="s">
        <v>65</v>
      </c>
      <c r="H24" s="11" t="s">
        <v>65</v>
      </c>
      <c r="I24" s="11" t="s">
        <v>65</v>
      </c>
      <c r="J24" s="11" t="s">
        <v>65</v>
      </c>
      <c r="K24" s="11" t="s">
        <v>65</v>
      </c>
      <c r="L24" s="11" t="s">
        <v>65</v>
      </c>
      <c r="M24" s="11" t="s">
        <v>65</v>
      </c>
      <c r="N24" s="11" t="s">
        <v>65</v>
      </c>
      <c r="O24" s="11" t="s">
        <v>65</v>
      </c>
      <c r="P24" s="10" t="s">
        <v>65</v>
      </c>
      <c r="Q24" s="11" t="s">
        <v>65</v>
      </c>
      <c r="R24" s="11" t="s">
        <v>65</v>
      </c>
      <c r="S24" s="11" t="s">
        <v>65</v>
      </c>
      <c r="T24" s="11">
        <v>2.87</v>
      </c>
      <c r="U24" s="11">
        <v>1.36</v>
      </c>
      <c r="V24" s="11">
        <v>0.70599999999999996</v>
      </c>
      <c r="W24" s="11" t="s">
        <v>65</v>
      </c>
      <c r="X24" s="11" t="s">
        <v>65</v>
      </c>
      <c r="Y24" s="11" t="s">
        <v>65</v>
      </c>
      <c r="Z24" s="11" t="s">
        <v>65</v>
      </c>
      <c r="AA24" s="11" t="s">
        <v>65</v>
      </c>
      <c r="AB24" s="11" t="s">
        <v>65</v>
      </c>
      <c r="AC24" s="11" t="s">
        <v>65</v>
      </c>
      <c r="AD24" s="11" t="s">
        <v>65</v>
      </c>
      <c r="AE24" s="11" t="s">
        <v>65</v>
      </c>
      <c r="AF24" s="11" t="s">
        <v>65</v>
      </c>
      <c r="AG24" s="11" t="s">
        <v>65</v>
      </c>
      <c r="AH24" s="11" t="s">
        <v>65</v>
      </c>
      <c r="AI24" s="11" t="s">
        <v>65</v>
      </c>
      <c r="AJ24" s="11" t="s">
        <v>65</v>
      </c>
      <c r="AK24" s="11" t="s">
        <v>65</v>
      </c>
      <c r="AL24" s="11">
        <v>2.93</v>
      </c>
      <c r="AM24" s="11">
        <v>0.72499999999999998</v>
      </c>
      <c r="AN24" s="11" t="s">
        <v>65</v>
      </c>
      <c r="AO24" s="11" t="s">
        <v>65</v>
      </c>
      <c r="AP24" s="11" t="s">
        <v>65</v>
      </c>
    </row>
    <row r="25" spans="1:42" x14ac:dyDescent="0.25">
      <c r="C25" t="s">
        <v>40</v>
      </c>
      <c r="E25" s="10" t="s">
        <v>65</v>
      </c>
      <c r="F25" s="11" t="s">
        <v>65</v>
      </c>
      <c r="G25" s="11" t="s">
        <v>65</v>
      </c>
      <c r="H25" s="11" t="s">
        <v>65</v>
      </c>
      <c r="I25" s="11" t="s">
        <v>65</v>
      </c>
      <c r="J25" s="11" t="s">
        <v>65</v>
      </c>
      <c r="K25" s="11" t="s">
        <v>65</v>
      </c>
      <c r="L25" s="11" t="s">
        <v>65</v>
      </c>
      <c r="M25" s="11" t="s">
        <v>65</v>
      </c>
      <c r="N25" s="11" t="s">
        <v>65</v>
      </c>
      <c r="O25" s="11" t="s">
        <v>65</v>
      </c>
      <c r="P25" s="10" t="s">
        <v>65</v>
      </c>
      <c r="Q25" s="11" t="s">
        <v>65</v>
      </c>
      <c r="R25" s="11" t="s">
        <v>65</v>
      </c>
      <c r="S25" s="11" t="s">
        <v>65</v>
      </c>
      <c r="T25" s="11">
        <v>1.87</v>
      </c>
      <c r="U25" s="11">
        <v>0.76200000000000001</v>
      </c>
      <c r="V25" s="11" t="s">
        <v>65</v>
      </c>
      <c r="W25" s="11" t="s">
        <v>65</v>
      </c>
      <c r="X25" s="11" t="s">
        <v>65</v>
      </c>
      <c r="Y25" s="11" t="s">
        <v>65</v>
      </c>
      <c r="Z25" s="11" t="s">
        <v>65</v>
      </c>
      <c r="AA25" s="11" t="s">
        <v>65</v>
      </c>
      <c r="AB25" s="11" t="s">
        <v>65</v>
      </c>
      <c r="AC25" s="11" t="s">
        <v>65</v>
      </c>
      <c r="AD25" s="11" t="s">
        <v>65</v>
      </c>
      <c r="AE25" s="11" t="s">
        <v>65</v>
      </c>
      <c r="AF25" s="11" t="s">
        <v>65</v>
      </c>
      <c r="AG25" s="11" t="s">
        <v>65</v>
      </c>
      <c r="AH25" s="11" t="s">
        <v>65</v>
      </c>
      <c r="AI25" s="11" t="s">
        <v>65</v>
      </c>
      <c r="AJ25" s="11" t="s">
        <v>65</v>
      </c>
      <c r="AK25" s="11" t="s">
        <v>65</v>
      </c>
      <c r="AL25" s="11">
        <v>1.54</v>
      </c>
      <c r="AM25" s="11" t="s">
        <v>65</v>
      </c>
      <c r="AN25" s="11" t="s">
        <v>65</v>
      </c>
      <c r="AO25" s="11" t="s">
        <v>65</v>
      </c>
      <c r="AP25" s="11" t="s">
        <v>65</v>
      </c>
    </row>
    <row r="26" spans="1:42" ht="15.75" thickBot="1" x14ac:dyDescent="0.3">
      <c r="C26" t="s">
        <v>41</v>
      </c>
      <c r="E26" s="13" t="s">
        <v>65</v>
      </c>
      <c r="F26" s="14" t="s">
        <v>65</v>
      </c>
      <c r="G26" s="14" t="s">
        <v>65</v>
      </c>
      <c r="H26" s="14" t="s">
        <v>65</v>
      </c>
      <c r="I26" s="14" t="s">
        <v>65</v>
      </c>
      <c r="J26" s="14" t="s">
        <v>65</v>
      </c>
      <c r="K26" s="14" t="s">
        <v>65</v>
      </c>
      <c r="L26" s="14" t="s">
        <v>65</v>
      </c>
      <c r="M26" s="14" t="s">
        <v>65</v>
      </c>
      <c r="N26" s="14" t="s">
        <v>65</v>
      </c>
      <c r="O26" s="14" t="s">
        <v>65</v>
      </c>
      <c r="P26" s="13" t="s">
        <v>65</v>
      </c>
      <c r="Q26" s="14" t="s">
        <v>65</v>
      </c>
      <c r="R26" s="14" t="s">
        <v>65</v>
      </c>
      <c r="S26" s="14" t="s">
        <v>65</v>
      </c>
      <c r="T26" s="14">
        <v>3.73</v>
      </c>
      <c r="U26" s="14">
        <v>2.08</v>
      </c>
      <c r="V26" s="14">
        <v>1.88</v>
      </c>
      <c r="W26" s="14" t="s">
        <v>65</v>
      </c>
      <c r="X26" s="14" t="s">
        <v>65</v>
      </c>
      <c r="Y26" s="14" t="s">
        <v>65</v>
      </c>
      <c r="Z26" s="14" t="s">
        <v>65</v>
      </c>
      <c r="AA26" s="14" t="s">
        <v>65</v>
      </c>
      <c r="AB26" s="14" t="s">
        <v>65</v>
      </c>
      <c r="AC26" s="14" t="s">
        <v>65</v>
      </c>
      <c r="AD26" s="14" t="s">
        <v>65</v>
      </c>
      <c r="AE26" s="14" t="s">
        <v>65</v>
      </c>
      <c r="AF26" s="14" t="s">
        <v>65</v>
      </c>
      <c r="AG26" s="14" t="s">
        <v>65</v>
      </c>
      <c r="AH26" s="14" t="s">
        <v>65</v>
      </c>
      <c r="AI26" s="14" t="s">
        <v>65</v>
      </c>
      <c r="AJ26" s="14" t="s">
        <v>65</v>
      </c>
      <c r="AK26" s="14" t="s">
        <v>65</v>
      </c>
      <c r="AL26" s="14">
        <v>4.9000000000000004</v>
      </c>
      <c r="AM26" s="14">
        <v>1.86</v>
      </c>
      <c r="AN26" s="14" t="s">
        <v>65</v>
      </c>
      <c r="AO26" s="14" t="s">
        <v>65</v>
      </c>
      <c r="AP26" s="14" t="s">
        <v>65</v>
      </c>
    </row>
    <row r="27" spans="1:42" x14ac:dyDescent="0.25">
      <c r="A27" t="s">
        <v>105</v>
      </c>
      <c r="B27" s="31">
        <v>1</v>
      </c>
      <c r="C27" t="s">
        <v>36</v>
      </c>
      <c r="D27">
        <v>1</v>
      </c>
      <c r="E27" t="e">
        <f t="shared" ref="E27:AP27" si="0">LN(E15)</f>
        <v>#NUM!</v>
      </c>
      <c r="F27" t="e">
        <f t="shared" si="0"/>
        <v>#NUM!</v>
      </c>
      <c r="G27" t="e">
        <f t="shared" si="0"/>
        <v>#NUM!</v>
      </c>
      <c r="H27" t="e">
        <f t="shared" si="0"/>
        <v>#NUM!</v>
      </c>
      <c r="I27" t="e">
        <f t="shared" si="0"/>
        <v>#NUM!</v>
      </c>
      <c r="J27" t="e">
        <f t="shared" si="0"/>
        <v>#NUM!</v>
      </c>
      <c r="K27" t="e">
        <f t="shared" si="0"/>
        <v>#NUM!</v>
      </c>
      <c r="L27" t="e">
        <f t="shared" si="0"/>
        <v>#NUM!</v>
      </c>
      <c r="M27" t="e">
        <f t="shared" si="0"/>
        <v>#NUM!</v>
      </c>
      <c r="N27" t="e">
        <f t="shared" si="0"/>
        <v>#NUM!</v>
      </c>
      <c r="O27" t="e">
        <f t="shared" si="0"/>
        <v>#NUM!</v>
      </c>
      <c r="P27" t="e">
        <f t="shared" si="0"/>
        <v>#NUM!</v>
      </c>
      <c r="Q27" t="e">
        <f t="shared" si="0"/>
        <v>#NUM!</v>
      </c>
      <c r="R27" t="e">
        <f t="shared" si="0"/>
        <v>#NUM!</v>
      </c>
      <c r="S27" t="e">
        <f t="shared" si="0"/>
        <v>#NUM!</v>
      </c>
      <c r="T27" t="e">
        <f t="shared" si="0"/>
        <v>#NUM!</v>
      </c>
      <c r="U27" t="e">
        <f t="shared" si="0"/>
        <v>#NUM!</v>
      </c>
      <c r="V27" t="e">
        <f t="shared" si="0"/>
        <v>#NUM!</v>
      </c>
      <c r="W27" t="e">
        <f t="shared" si="0"/>
        <v>#NUM!</v>
      </c>
      <c r="X27" t="e">
        <f t="shared" si="0"/>
        <v>#NUM!</v>
      </c>
      <c r="Y27" t="e">
        <f t="shared" si="0"/>
        <v>#NUM!</v>
      </c>
      <c r="Z27" t="e">
        <f t="shared" si="0"/>
        <v>#NUM!</v>
      </c>
      <c r="AA27" t="e">
        <f t="shared" si="0"/>
        <v>#NUM!</v>
      </c>
      <c r="AB27" t="e">
        <f t="shared" si="0"/>
        <v>#NUM!</v>
      </c>
      <c r="AC27" t="e">
        <f t="shared" si="0"/>
        <v>#NUM!</v>
      </c>
      <c r="AD27" t="e">
        <f t="shared" si="0"/>
        <v>#NUM!</v>
      </c>
      <c r="AE27" t="e">
        <f t="shared" si="0"/>
        <v>#NUM!</v>
      </c>
      <c r="AF27" t="e">
        <f t="shared" si="0"/>
        <v>#NUM!</v>
      </c>
      <c r="AG27" t="e">
        <f t="shared" si="0"/>
        <v>#NUM!</v>
      </c>
      <c r="AH27" t="e">
        <f t="shared" si="0"/>
        <v>#NUM!</v>
      </c>
      <c r="AI27" t="e">
        <f t="shared" si="0"/>
        <v>#NUM!</v>
      </c>
      <c r="AJ27" t="e">
        <f t="shared" si="0"/>
        <v>#NUM!</v>
      </c>
      <c r="AK27" t="e">
        <f t="shared" si="0"/>
        <v>#NUM!</v>
      </c>
      <c r="AL27" t="e">
        <f t="shared" si="0"/>
        <v>#NUM!</v>
      </c>
      <c r="AM27" t="e">
        <f t="shared" si="0"/>
        <v>#NUM!</v>
      </c>
      <c r="AN27" t="e">
        <f t="shared" si="0"/>
        <v>#NUM!</v>
      </c>
      <c r="AO27" t="e">
        <f t="shared" si="0"/>
        <v>#NUM!</v>
      </c>
      <c r="AP27" t="e">
        <f t="shared" si="0"/>
        <v>#NUM!</v>
      </c>
    </row>
    <row r="28" spans="1:42" x14ac:dyDescent="0.25">
      <c r="D28">
        <v>5</v>
      </c>
      <c r="E28" t="e">
        <f t="shared" ref="E28:AP28" si="1">LN(E19)</f>
        <v>#NUM!</v>
      </c>
      <c r="F28" t="e">
        <f t="shared" si="1"/>
        <v>#NUM!</v>
      </c>
      <c r="G28" t="e">
        <f t="shared" si="1"/>
        <v>#NUM!</v>
      </c>
      <c r="H28" t="e">
        <f t="shared" si="1"/>
        <v>#NUM!</v>
      </c>
      <c r="I28" t="e">
        <f t="shared" si="1"/>
        <v>#NUM!</v>
      </c>
      <c r="J28" t="e">
        <f t="shared" si="1"/>
        <v>#NUM!</v>
      </c>
      <c r="K28" t="e">
        <f t="shared" si="1"/>
        <v>#NUM!</v>
      </c>
      <c r="L28" t="e">
        <f t="shared" si="1"/>
        <v>#NUM!</v>
      </c>
      <c r="M28" t="e">
        <f t="shared" si="1"/>
        <v>#NUM!</v>
      </c>
      <c r="N28" t="e">
        <f t="shared" si="1"/>
        <v>#NUM!</v>
      </c>
      <c r="O28" t="e">
        <f t="shared" si="1"/>
        <v>#NUM!</v>
      </c>
      <c r="P28" t="e">
        <f t="shared" si="1"/>
        <v>#NUM!</v>
      </c>
      <c r="Q28" t="e">
        <f t="shared" si="1"/>
        <v>#NUM!</v>
      </c>
      <c r="R28" t="e">
        <f t="shared" si="1"/>
        <v>#NUM!</v>
      </c>
      <c r="S28" t="e">
        <f t="shared" si="1"/>
        <v>#NUM!</v>
      </c>
      <c r="T28" t="e">
        <f t="shared" si="1"/>
        <v>#NUM!</v>
      </c>
      <c r="U28" t="e">
        <f t="shared" si="1"/>
        <v>#NUM!</v>
      </c>
      <c r="V28" t="e">
        <f t="shared" si="1"/>
        <v>#NUM!</v>
      </c>
      <c r="W28" t="e">
        <f t="shared" si="1"/>
        <v>#NUM!</v>
      </c>
      <c r="X28" t="e">
        <f t="shared" si="1"/>
        <v>#NUM!</v>
      </c>
      <c r="Y28" t="e">
        <f t="shared" si="1"/>
        <v>#NUM!</v>
      </c>
      <c r="Z28" t="e">
        <f t="shared" si="1"/>
        <v>#NUM!</v>
      </c>
      <c r="AA28" t="e">
        <f t="shared" si="1"/>
        <v>#NUM!</v>
      </c>
      <c r="AB28" t="e">
        <f t="shared" si="1"/>
        <v>#NUM!</v>
      </c>
      <c r="AC28" t="e">
        <f t="shared" si="1"/>
        <v>#NUM!</v>
      </c>
      <c r="AD28" t="e">
        <f t="shared" si="1"/>
        <v>#NUM!</v>
      </c>
      <c r="AE28" t="e">
        <f t="shared" si="1"/>
        <v>#NUM!</v>
      </c>
      <c r="AF28" t="e">
        <f t="shared" si="1"/>
        <v>#NUM!</v>
      </c>
      <c r="AG28" t="e">
        <f t="shared" si="1"/>
        <v>#NUM!</v>
      </c>
      <c r="AH28" t="e">
        <f t="shared" si="1"/>
        <v>#NUM!</v>
      </c>
      <c r="AI28" t="e">
        <f t="shared" si="1"/>
        <v>#NUM!</v>
      </c>
      <c r="AJ28" t="e">
        <f t="shared" si="1"/>
        <v>#NUM!</v>
      </c>
      <c r="AK28" t="e">
        <f t="shared" si="1"/>
        <v>#NUM!</v>
      </c>
      <c r="AL28" t="e">
        <f t="shared" si="1"/>
        <v>#NUM!</v>
      </c>
      <c r="AM28" t="e">
        <f t="shared" si="1"/>
        <v>#NUM!</v>
      </c>
      <c r="AN28" t="e">
        <f t="shared" si="1"/>
        <v>#NUM!</v>
      </c>
      <c r="AO28" t="e">
        <f t="shared" si="1"/>
        <v>#NUM!</v>
      </c>
      <c r="AP28" t="e">
        <f t="shared" si="1"/>
        <v>#NUM!</v>
      </c>
    </row>
    <row r="29" spans="1:42" x14ac:dyDescent="0.25">
      <c r="D29">
        <v>80</v>
      </c>
      <c r="E29" t="e">
        <f t="shared" ref="E29:AP29" si="2">LN(E23)</f>
        <v>#NUM!</v>
      </c>
      <c r="F29" t="e">
        <f t="shared" si="2"/>
        <v>#NUM!</v>
      </c>
      <c r="G29" t="e">
        <f t="shared" si="2"/>
        <v>#NUM!</v>
      </c>
      <c r="H29" t="e">
        <f t="shared" si="2"/>
        <v>#NUM!</v>
      </c>
      <c r="I29" t="e">
        <f t="shared" si="2"/>
        <v>#NUM!</v>
      </c>
      <c r="J29" t="e">
        <f t="shared" si="2"/>
        <v>#NUM!</v>
      </c>
      <c r="K29" t="e">
        <f t="shared" si="2"/>
        <v>#NUM!</v>
      </c>
      <c r="L29" t="e">
        <f t="shared" si="2"/>
        <v>#NUM!</v>
      </c>
      <c r="M29" t="e">
        <f t="shared" si="2"/>
        <v>#NUM!</v>
      </c>
      <c r="N29" t="e">
        <f t="shared" si="2"/>
        <v>#NUM!</v>
      </c>
      <c r="O29" t="e">
        <f t="shared" si="2"/>
        <v>#NUM!</v>
      </c>
      <c r="P29" t="e">
        <f t="shared" si="2"/>
        <v>#NUM!</v>
      </c>
      <c r="Q29" t="e">
        <f t="shared" si="2"/>
        <v>#NUM!</v>
      </c>
      <c r="R29" t="e">
        <f t="shared" si="2"/>
        <v>#NUM!</v>
      </c>
      <c r="S29" t="e">
        <f t="shared" si="2"/>
        <v>#NUM!</v>
      </c>
      <c r="T29" t="e">
        <f t="shared" si="2"/>
        <v>#NUM!</v>
      </c>
      <c r="U29" t="e">
        <f t="shared" si="2"/>
        <v>#NUM!</v>
      </c>
      <c r="V29" t="e">
        <f t="shared" si="2"/>
        <v>#NUM!</v>
      </c>
      <c r="W29" t="e">
        <f t="shared" si="2"/>
        <v>#NUM!</v>
      </c>
      <c r="X29" t="e">
        <f t="shared" si="2"/>
        <v>#NUM!</v>
      </c>
      <c r="Y29" t="e">
        <f t="shared" si="2"/>
        <v>#NUM!</v>
      </c>
      <c r="Z29" t="e">
        <f t="shared" si="2"/>
        <v>#NUM!</v>
      </c>
      <c r="AA29" t="e">
        <f t="shared" si="2"/>
        <v>#NUM!</v>
      </c>
      <c r="AB29" t="e">
        <f t="shared" si="2"/>
        <v>#NUM!</v>
      </c>
      <c r="AC29" t="e">
        <f t="shared" si="2"/>
        <v>#NUM!</v>
      </c>
      <c r="AD29" t="e">
        <f t="shared" si="2"/>
        <v>#NUM!</v>
      </c>
      <c r="AE29" t="e">
        <f t="shared" si="2"/>
        <v>#NUM!</v>
      </c>
      <c r="AF29" t="e">
        <f t="shared" si="2"/>
        <v>#NUM!</v>
      </c>
      <c r="AG29" t="e">
        <f t="shared" si="2"/>
        <v>#NUM!</v>
      </c>
      <c r="AH29" t="e">
        <f t="shared" si="2"/>
        <v>#NUM!</v>
      </c>
      <c r="AI29" t="e">
        <f t="shared" si="2"/>
        <v>#NUM!</v>
      </c>
      <c r="AJ29" t="e">
        <f t="shared" si="2"/>
        <v>#NUM!</v>
      </c>
      <c r="AK29" t="e">
        <f t="shared" si="2"/>
        <v>#NUM!</v>
      </c>
      <c r="AL29" t="e">
        <f t="shared" si="2"/>
        <v>#NUM!</v>
      </c>
      <c r="AM29" t="e">
        <f t="shared" si="2"/>
        <v>#NUM!</v>
      </c>
      <c r="AN29" t="e">
        <f t="shared" si="2"/>
        <v>#NUM!</v>
      </c>
      <c r="AO29" t="e">
        <f t="shared" si="2"/>
        <v>#NUM!</v>
      </c>
      <c r="AP29" t="e">
        <f t="shared" si="2"/>
        <v>#NUM!</v>
      </c>
    </row>
    <row r="30" spans="1:42" x14ac:dyDescent="0.25">
      <c r="D30" t="s">
        <v>106</v>
      </c>
    </row>
    <row r="31" spans="1:42" x14ac:dyDescent="0.25">
      <c r="C31" t="s">
        <v>39</v>
      </c>
      <c r="D31">
        <v>1</v>
      </c>
      <c r="E31">
        <f t="shared" ref="E31:AP31" si="3">LN(E16)</f>
        <v>0.74193734472937733</v>
      </c>
      <c r="F31">
        <f t="shared" si="3"/>
        <v>0.65752000291679413</v>
      </c>
      <c r="G31" t="e">
        <f t="shared" si="3"/>
        <v>#VALUE!</v>
      </c>
      <c r="H31" t="e">
        <f t="shared" si="3"/>
        <v>#VALUE!</v>
      </c>
      <c r="I31" t="e">
        <f t="shared" si="3"/>
        <v>#VALUE!</v>
      </c>
      <c r="J31" t="e">
        <f t="shared" si="3"/>
        <v>#VALUE!</v>
      </c>
      <c r="K31" t="e">
        <f t="shared" si="3"/>
        <v>#VALUE!</v>
      </c>
      <c r="L31" t="e">
        <f t="shared" si="3"/>
        <v>#VALUE!</v>
      </c>
      <c r="M31" t="e">
        <f t="shared" si="3"/>
        <v>#VALUE!</v>
      </c>
      <c r="N31" t="e">
        <f t="shared" si="3"/>
        <v>#VALUE!</v>
      </c>
      <c r="O31" t="e">
        <f t="shared" si="3"/>
        <v>#VALUE!</v>
      </c>
      <c r="P31" t="e">
        <f t="shared" si="3"/>
        <v>#VALUE!</v>
      </c>
      <c r="Q31" t="e">
        <f t="shared" si="3"/>
        <v>#VALUE!</v>
      </c>
      <c r="R31" t="e">
        <f t="shared" si="3"/>
        <v>#VALUE!</v>
      </c>
      <c r="S31" t="e">
        <f t="shared" si="3"/>
        <v>#VALUE!</v>
      </c>
      <c r="T31">
        <f t="shared" si="3"/>
        <v>2.7536607123542622</v>
      </c>
      <c r="U31">
        <f t="shared" si="3"/>
        <v>3.0204248861443626</v>
      </c>
      <c r="V31">
        <f t="shared" si="3"/>
        <v>3.4111477125153233</v>
      </c>
      <c r="W31">
        <f t="shared" si="3"/>
        <v>1.5282278570085572</v>
      </c>
      <c r="X31">
        <f t="shared" si="3"/>
        <v>1.4422019930581866</v>
      </c>
      <c r="Y31">
        <f t="shared" si="3"/>
        <v>-0.59965683747260634</v>
      </c>
      <c r="Z31" t="e">
        <f t="shared" si="3"/>
        <v>#VALUE!</v>
      </c>
      <c r="AA31" t="e">
        <f t="shared" si="3"/>
        <v>#VALUE!</v>
      </c>
      <c r="AB31" t="e">
        <f t="shared" si="3"/>
        <v>#VALUE!</v>
      </c>
      <c r="AC31" t="e">
        <f t="shared" si="3"/>
        <v>#VALUE!</v>
      </c>
      <c r="AD31" t="e">
        <f t="shared" si="3"/>
        <v>#VALUE!</v>
      </c>
      <c r="AE31" t="e">
        <f t="shared" si="3"/>
        <v>#VALUE!</v>
      </c>
      <c r="AF31" t="e">
        <f t="shared" si="3"/>
        <v>#VALUE!</v>
      </c>
      <c r="AG31" t="e">
        <f t="shared" si="3"/>
        <v>#VALUE!</v>
      </c>
      <c r="AH31" t="e">
        <f t="shared" si="3"/>
        <v>#VALUE!</v>
      </c>
      <c r="AI31" t="e">
        <f t="shared" si="3"/>
        <v>#VALUE!</v>
      </c>
      <c r="AJ31" t="e">
        <f t="shared" si="3"/>
        <v>#VALUE!</v>
      </c>
      <c r="AK31">
        <f t="shared" si="3"/>
        <v>0.51879379341516751</v>
      </c>
      <c r="AL31">
        <f t="shared" si="3"/>
        <v>3.1398326175277478</v>
      </c>
      <c r="AM31">
        <f t="shared" si="3"/>
        <v>3.3877743613300146</v>
      </c>
      <c r="AN31">
        <f t="shared" si="3"/>
        <v>3.0726933146901194</v>
      </c>
      <c r="AO31">
        <f t="shared" si="3"/>
        <v>3.0540011816779669</v>
      </c>
      <c r="AP31">
        <f t="shared" si="3"/>
        <v>2.5649493574615367</v>
      </c>
    </row>
    <row r="32" spans="1:42" x14ac:dyDescent="0.25">
      <c r="D32">
        <v>5</v>
      </c>
      <c r="E32" t="e">
        <f t="shared" ref="E32:AP32" si="4">LN(E20)</f>
        <v>#VALUE!</v>
      </c>
      <c r="F32" t="e">
        <f t="shared" si="4"/>
        <v>#VALUE!</v>
      </c>
      <c r="G32" t="e">
        <f t="shared" si="4"/>
        <v>#VALUE!</v>
      </c>
      <c r="H32" t="e">
        <f t="shared" si="4"/>
        <v>#VALUE!</v>
      </c>
      <c r="I32" t="e">
        <f t="shared" si="4"/>
        <v>#VALUE!</v>
      </c>
      <c r="J32" t="e">
        <f t="shared" si="4"/>
        <v>#VALUE!</v>
      </c>
      <c r="K32" t="e">
        <f t="shared" si="4"/>
        <v>#VALUE!</v>
      </c>
      <c r="L32" t="e">
        <f t="shared" si="4"/>
        <v>#VALUE!</v>
      </c>
      <c r="M32" t="e">
        <f t="shared" si="4"/>
        <v>#VALUE!</v>
      </c>
      <c r="N32" t="e">
        <f t="shared" si="4"/>
        <v>#VALUE!</v>
      </c>
      <c r="O32" t="e">
        <f t="shared" si="4"/>
        <v>#VALUE!</v>
      </c>
      <c r="P32" t="e">
        <f t="shared" si="4"/>
        <v>#VALUE!</v>
      </c>
      <c r="Q32" t="e">
        <f t="shared" si="4"/>
        <v>#VALUE!</v>
      </c>
      <c r="R32" t="e">
        <f t="shared" si="4"/>
        <v>#VALUE!</v>
      </c>
      <c r="S32" t="e">
        <f t="shared" si="4"/>
        <v>#VALUE!</v>
      </c>
      <c r="T32">
        <f t="shared" si="4"/>
        <v>3.0587070727153796</v>
      </c>
      <c r="U32">
        <f t="shared" si="4"/>
        <v>3.1612467120315646</v>
      </c>
      <c r="V32">
        <f t="shared" si="4"/>
        <v>3.7424202210419661</v>
      </c>
      <c r="W32">
        <f t="shared" si="4"/>
        <v>1.4678743481123135</v>
      </c>
      <c r="X32">
        <f t="shared" si="4"/>
        <v>1.1505720275988207</v>
      </c>
      <c r="Y32" t="e">
        <f t="shared" si="4"/>
        <v>#VALUE!</v>
      </c>
      <c r="Z32" t="e">
        <f t="shared" si="4"/>
        <v>#VALUE!</v>
      </c>
      <c r="AA32" t="e">
        <f t="shared" si="4"/>
        <v>#VALUE!</v>
      </c>
      <c r="AB32" t="e">
        <f t="shared" si="4"/>
        <v>#VALUE!</v>
      </c>
      <c r="AC32" t="e">
        <f t="shared" si="4"/>
        <v>#VALUE!</v>
      </c>
      <c r="AD32" t="e">
        <f t="shared" si="4"/>
        <v>#VALUE!</v>
      </c>
      <c r="AE32" t="e">
        <f t="shared" si="4"/>
        <v>#VALUE!</v>
      </c>
      <c r="AF32" t="e">
        <f t="shared" si="4"/>
        <v>#VALUE!</v>
      </c>
      <c r="AG32" t="e">
        <f t="shared" si="4"/>
        <v>#VALUE!</v>
      </c>
      <c r="AH32" t="e">
        <f t="shared" si="4"/>
        <v>#VALUE!</v>
      </c>
      <c r="AI32" t="e">
        <f t="shared" si="4"/>
        <v>#VALUE!</v>
      </c>
      <c r="AJ32" t="e">
        <f t="shared" si="4"/>
        <v>#VALUE!</v>
      </c>
      <c r="AK32">
        <f t="shared" si="4"/>
        <v>0.59883650108870401</v>
      </c>
      <c r="AL32">
        <f t="shared" si="4"/>
        <v>3.4688560301359703</v>
      </c>
      <c r="AM32">
        <f t="shared" si="4"/>
        <v>3.5380565643793527</v>
      </c>
      <c r="AN32">
        <f t="shared" si="4"/>
        <v>2.5952547069568657</v>
      </c>
      <c r="AO32">
        <f t="shared" si="4"/>
        <v>1.9154509415706047</v>
      </c>
      <c r="AP32">
        <f t="shared" si="4"/>
        <v>0.43825493093115531</v>
      </c>
    </row>
    <row r="33" spans="2:42" x14ac:dyDescent="0.25">
      <c r="D33">
        <v>80</v>
      </c>
      <c r="E33" t="e">
        <f t="shared" ref="E33:AP33" si="5">LN(E24)</f>
        <v>#VALUE!</v>
      </c>
      <c r="F33" t="e">
        <f t="shared" si="5"/>
        <v>#VALUE!</v>
      </c>
      <c r="G33" t="e">
        <f t="shared" si="5"/>
        <v>#VALUE!</v>
      </c>
      <c r="H33" t="e">
        <f t="shared" si="5"/>
        <v>#VALUE!</v>
      </c>
      <c r="I33" t="e">
        <f t="shared" si="5"/>
        <v>#VALUE!</v>
      </c>
      <c r="J33" t="e">
        <f t="shared" si="5"/>
        <v>#VALUE!</v>
      </c>
      <c r="K33" t="e">
        <f t="shared" si="5"/>
        <v>#VALUE!</v>
      </c>
      <c r="L33" t="e">
        <f t="shared" si="5"/>
        <v>#VALUE!</v>
      </c>
      <c r="M33" t="e">
        <f t="shared" si="5"/>
        <v>#VALUE!</v>
      </c>
      <c r="N33" t="e">
        <f t="shared" si="5"/>
        <v>#VALUE!</v>
      </c>
      <c r="O33" t="e">
        <f t="shared" si="5"/>
        <v>#VALUE!</v>
      </c>
      <c r="P33" t="e">
        <f t="shared" si="5"/>
        <v>#VALUE!</v>
      </c>
      <c r="Q33" t="e">
        <f t="shared" si="5"/>
        <v>#VALUE!</v>
      </c>
      <c r="R33" t="e">
        <f t="shared" si="5"/>
        <v>#VALUE!</v>
      </c>
      <c r="S33" t="e">
        <f t="shared" si="5"/>
        <v>#VALUE!</v>
      </c>
      <c r="T33">
        <f t="shared" si="5"/>
        <v>1.0543120297715298</v>
      </c>
      <c r="U33">
        <f t="shared" si="5"/>
        <v>0.30748469974796072</v>
      </c>
      <c r="V33">
        <f t="shared" si="5"/>
        <v>-0.34814004148889505</v>
      </c>
      <c r="W33" t="e">
        <f t="shared" si="5"/>
        <v>#VALUE!</v>
      </c>
      <c r="X33" t="e">
        <f t="shared" si="5"/>
        <v>#VALUE!</v>
      </c>
      <c r="Y33" t="e">
        <f t="shared" si="5"/>
        <v>#VALUE!</v>
      </c>
      <c r="Z33" t="e">
        <f t="shared" si="5"/>
        <v>#VALUE!</v>
      </c>
      <c r="AA33" t="e">
        <f t="shared" si="5"/>
        <v>#VALUE!</v>
      </c>
      <c r="AB33" t="e">
        <f t="shared" si="5"/>
        <v>#VALUE!</v>
      </c>
      <c r="AC33" t="e">
        <f t="shared" si="5"/>
        <v>#VALUE!</v>
      </c>
      <c r="AD33" t="e">
        <f t="shared" si="5"/>
        <v>#VALUE!</v>
      </c>
      <c r="AE33" t="e">
        <f t="shared" si="5"/>
        <v>#VALUE!</v>
      </c>
      <c r="AF33" t="e">
        <f t="shared" si="5"/>
        <v>#VALUE!</v>
      </c>
      <c r="AG33" t="e">
        <f t="shared" si="5"/>
        <v>#VALUE!</v>
      </c>
      <c r="AH33" t="e">
        <f t="shared" si="5"/>
        <v>#VALUE!</v>
      </c>
      <c r="AI33" t="e">
        <f t="shared" si="5"/>
        <v>#VALUE!</v>
      </c>
      <c r="AJ33" t="e">
        <f t="shared" si="5"/>
        <v>#VALUE!</v>
      </c>
      <c r="AK33" t="e">
        <f t="shared" si="5"/>
        <v>#VALUE!</v>
      </c>
      <c r="AL33">
        <f t="shared" si="5"/>
        <v>1.0750024230289761</v>
      </c>
      <c r="AM33">
        <f t="shared" si="5"/>
        <v>-0.32158362412746233</v>
      </c>
      <c r="AN33" t="e">
        <f t="shared" si="5"/>
        <v>#VALUE!</v>
      </c>
      <c r="AO33" t="e">
        <f t="shared" si="5"/>
        <v>#VALUE!</v>
      </c>
      <c r="AP33" t="e">
        <f t="shared" si="5"/>
        <v>#VALUE!</v>
      </c>
    </row>
    <row r="34" spans="2:42" x14ac:dyDescent="0.25">
      <c r="D34" t="s">
        <v>106</v>
      </c>
      <c r="T34">
        <v>2.3800000000000002E-2</v>
      </c>
      <c r="U34">
        <v>3.5999999999999997E-2</v>
      </c>
      <c r="V34">
        <v>5.0700000000000002E-2</v>
      </c>
      <c r="W34" s="30">
        <v>1.5100000000000001E-2</v>
      </c>
      <c r="X34" s="30">
        <v>7.2900000000000006E-2</v>
      </c>
      <c r="AK34" s="30">
        <v>0.02</v>
      </c>
      <c r="AL34">
        <v>2.87E-2</v>
      </c>
      <c r="AM34">
        <v>4.9000000000000002E-2</v>
      </c>
      <c r="AN34" s="30">
        <v>0.11940000000000001</v>
      </c>
      <c r="AO34" s="30">
        <v>0.28460000000000002</v>
      </c>
      <c r="AP34" s="30">
        <v>0.53169999999999995</v>
      </c>
    </row>
    <row r="35" spans="2:42" x14ac:dyDescent="0.25">
      <c r="C35" t="s">
        <v>40</v>
      </c>
      <c r="D35">
        <v>1</v>
      </c>
      <c r="E35">
        <f t="shared" ref="E35:AP35" si="6">LN(E17)</f>
        <v>0.9242589015233319</v>
      </c>
      <c r="F35">
        <f t="shared" si="6"/>
        <v>0.67803354274989713</v>
      </c>
      <c r="G35" t="e">
        <f t="shared" si="6"/>
        <v>#VALUE!</v>
      </c>
      <c r="H35" t="e">
        <f t="shared" si="6"/>
        <v>#VALUE!</v>
      </c>
      <c r="I35" t="e">
        <f t="shared" si="6"/>
        <v>#VALUE!</v>
      </c>
      <c r="J35" t="e">
        <f t="shared" si="6"/>
        <v>#VALUE!</v>
      </c>
      <c r="K35" t="e">
        <f t="shared" si="6"/>
        <v>#VALUE!</v>
      </c>
      <c r="L35" t="e">
        <f t="shared" si="6"/>
        <v>#VALUE!</v>
      </c>
      <c r="M35" t="e">
        <f t="shared" si="6"/>
        <v>#VALUE!</v>
      </c>
      <c r="N35" t="e">
        <f t="shared" si="6"/>
        <v>#VALUE!</v>
      </c>
      <c r="O35" t="e">
        <f t="shared" si="6"/>
        <v>#VALUE!</v>
      </c>
      <c r="P35" t="e">
        <f t="shared" si="6"/>
        <v>#VALUE!</v>
      </c>
      <c r="Q35" t="e">
        <f t="shared" si="6"/>
        <v>#VALUE!</v>
      </c>
      <c r="R35" t="e">
        <f t="shared" si="6"/>
        <v>#VALUE!</v>
      </c>
      <c r="S35" t="e">
        <f t="shared" si="6"/>
        <v>#VALUE!</v>
      </c>
      <c r="T35">
        <f t="shared" si="6"/>
        <v>2.4248027257182949</v>
      </c>
      <c r="U35">
        <f t="shared" si="6"/>
        <v>2.7146947438208788</v>
      </c>
      <c r="V35">
        <f t="shared" si="6"/>
        <v>3.2657594107670511</v>
      </c>
      <c r="W35">
        <f t="shared" si="6"/>
        <v>0.95165787571144633</v>
      </c>
      <c r="X35">
        <f t="shared" si="6"/>
        <v>0.77010822169607374</v>
      </c>
      <c r="Y35" t="e">
        <f t="shared" si="6"/>
        <v>#VALUE!</v>
      </c>
      <c r="Z35" t="e">
        <f t="shared" si="6"/>
        <v>#VALUE!</v>
      </c>
      <c r="AA35" t="e">
        <f t="shared" si="6"/>
        <v>#VALUE!</v>
      </c>
      <c r="AB35" t="e">
        <f t="shared" si="6"/>
        <v>#VALUE!</v>
      </c>
      <c r="AC35" t="e">
        <f t="shared" si="6"/>
        <v>#VALUE!</v>
      </c>
      <c r="AD35" t="e">
        <f t="shared" si="6"/>
        <v>#VALUE!</v>
      </c>
      <c r="AE35" t="e">
        <f t="shared" si="6"/>
        <v>#VALUE!</v>
      </c>
      <c r="AF35" t="e">
        <f t="shared" si="6"/>
        <v>#VALUE!</v>
      </c>
      <c r="AG35" t="e">
        <f t="shared" si="6"/>
        <v>#VALUE!</v>
      </c>
      <c r="AH35" t="e">
        <f t="shared" si="6"/>
        <v>#VALUE!</v>
      </c>
      <c r="AI35" t="e">
        <f t="shared" si="6"/>
        <v>#VALUE!</v>
      </c>
      <c r="AJ35" t="e">
        <f t="shared" si="6"/>
        <v>#VALUE!</v>
      </c>
      <c r="AK35">
        <f t="shared" si="6"/>
        <v>3.9220713153281329E-2</v>
      </c>
      <c r="AL35">
        <f t="shared" si="6"/>
        <v>2.7788192719904172</v>
      </c>
      <c r="AM35">
        <f t="shared" si="6"/>
        <v>2.9755295662364718</v>
      </c>
      <c r="AN35">
        <f t="shared" si="6"/>
        <v>2.3608540011180215</v>
      </c>
      <c r="AO35">
        <f t="shared" si="6"/>
        <v>2.33214389523559</v>
      </c>
      <c r="AP35">
        <f t="shared" si="6"/>
        <v>1.8976198599275322</v>
      </c>
    </row>
    <row r="36" spans="2:42" x14ac:dyDescent="0.25">
      <c r="D36">
        <v>5</v>
      </c>
      <c r="E36" t="e">
        <f t="shared" ref="E36:AP36" si="7">LN(E21)</f>
        <v>#VALUE!</v>
      </c>
      <c r="F36" t="e">
        <f t="shared" si="7"/>
        <v>#VALUE!</v>
      </c>
      <c r="G36" t="e">
        <f t="shared" si="7"/>
        <v>#VALUE!</v>
      </c>
      <c r="H36" t="e">
        <f t="shared" si="7"/>
        <v>#VALUE!</v>
      </c>
      <c r="I36" t="e">
        <f t="shared" si="7"/>
        <v>#VALUE!</v>
      </c>
      <c r="J36" t="e">
        <f t="shared" si="7"/>
        <v>#VALUE!</v>
      </c>
      <c r="K36" t="e">
        <f t="shared" si="7"/>
        <v>#VALUE!</v>
      </c>
      <c r="L36" t="e">
        <f t="shared" si="7"/>
        <v>#VALUE!</v>
      </c>
      <c r="M36" t="e">
        <f t="shared" si="7"/>
        <v>#VALUE!</v>
      </c>
      <c r="N36" t="e">
        <f t="shared" si="7"/>
        <v>#VALUE!</v>
      </c>
      <c r="O36" t="e">
        <f t="shared" si="7"/>
        <v>#VALUE!</v>
      </c>
      <c r="P36" t="e">
        <f t="shared" si="7"/>
        <v>#VALUE!</v>
      </c>
      <c r="Q36" t="e">
        <f t="shared" si="7"/>
        <v>#VALUE!</v>
      </c>
      <c r="R36" t="e">
        <f t="shared" si="7"/>
        <v>#VALUE!</v>
      </c>
      <c r="S36" t="e">
        <f t="shared" si="7"/>
        <v>#VALUE!</v>
      </c>
      <c r="T36">
        <f t="shared" si="7"/>
        <v>2.5257286443082556</v>
      </c>
      <c r="U36">
        <f t="shared" si="7"/>
        <v>2.6878474937846906</v>
      </c>
      <c r="V36">
        <f t="shared" si="7"/>
        <v>3.1986731175506815</v>
      </c>
      <c r="W36">
        <f t="shared" si="7"/>
        <v>0.70803579305369591</v>
      </c>
      <c r="X36">
        <f t="shared" si="7"/>
        <v>0.39204208777602367</v>
      </c>
      <c r="Y36" t="e">
        <f t="shared" si="7"/>
        <v>#VALUE!</v>
      </c>
      <c r="Z36" t="e">
        <f t="shared" si="7"/>
        <v>#VALUE!</v>
      </c>
      <c r="AA36" t="e">
        <f t="shared" si="7"/>
        <v>#VALUE!</v>
      </c>
      <c r="AB36" t="e">
        <f t="shared" si="7"/>
        <v>#VALUE!</v>
      </c>
      <c r="AC36" t="e">
        <f t="shared" si="7"/>
        <v>#VALUE!</v>
      </c>
      <c r="AD36" t="e">
        <f t="shared" si="7"/>
        <v>#VALUE!</v>
      </c>
      <c r="AE36" t="e">
        <f t="shared" si="7"/>
        <v>#VALUE!</v>
      </c>
      <c r="AF36" t="e">
        <f t="shared" si="7"/>
        <v>#VALUE!</v>
      </c>
      <c r="AG36" t="e">
        <f t="shared" si="7"/>
        <v>#VALUE!</v>
      </c>
      <c r="AH36" t="e">
        <f t="shared" si="7"/>
        <v>#VALUE!</v>
      </c>
      <c r="AI36" t="e">
        <f t="shared" si="7"/>
        <v>#VALUE!</v>
      </c>
      <c r="AJ36" t="e">
        <f t="shared" si="7"/>
        <v>#VALUE!</v>
      </c>
      <c r="AK36">
        <f t="shared" si="7"/>
        <v>0.13976194237515863</v>
      </c>
      <c r="AL36">
        <f t="shared" si="7"/>
        <v>2.8094026953624978</v>
      </c>
      <c r="AM36">
        <f t="shared" si="7"/>
        <v>2.7725887222397811</v>
      </c>
      <c r="AN36">
        <f t="shared" si="7"/>
        <v>1.9740810260220096</v>
      </c>
      <c r="AO36">
        <f t="shared" si="7"/>
        <v>0.97077891715822484</v>
      </c>
      <c r="AP36" t="e">
        <f t="shared" si="7"/>
        <v>#VALUE!</v>
      </c>
    </row>
    <row r="37" spans="2:42" x14ac:dyDescent="0.25">
      <c r="D37">
        <v>80</v>
      </c>
      <c r="E37" t="e">
        <f t="shared" ref="E37:AP37" si="8">LN(E25)</f>
        <v>#VALUE!</v>
      </c>
      <c r="F37" t="e">
        <f t="shared" si="8"/>
        <v>#VALUE!</v>
      </c>
      <c r="G37" t="e">
        <f t="shared" si="8"/>
        <v>#VALUE!</v>
      </c>
      <c r="H37" t="e">
        <f t="shared" si="8"/>
        <v>#VALUE!</v>
      </c>
      <c r="I37" t="e">
        <f t="shared" si="8"/>
        <v>#VALUE!</v>
      </c>
      <c r="J37" t="e">
        <f t="shared" si="8"/>
        <v>#VALUE!</v>
      </c>
      <c r="K37" t="e">
        <f t="shared" si="8"/>
        <v>#VALUE!</v>
      </c>
      <c r="L37" t="e">
        <f t="shared" si="8"/>
        <v>#VALUE!</v>
      </c>
      <c r="M37" t="e">
        <f t="shared" si="8"/>
        <v>#VALUE!</v>
      </c>
      <c r="N37" t="e">
        <f t="shared" si="8"/>
        <v>#VALUE!</v>
      </c>
      <c r="O37" t="e">
        <f t="shared" si="8"/>
        <v>#VALUE!</v>
      </c>
      <c r="P37" t="e">
        <f t="shared" si="8"/>
        <v>#VALUE!</v>
      </c>
      <c r="Q37" t="e">
        <f t="shared" si="8"/>
        <v>#VALUE!</v>
      </c>
      <c r="R37" t="e">
        <f t="shared" si="8"/>
        <v>#VALUE!</v>
      </c>
      <c r="S37" t="e">
        <f t="shared" si="8"/>
        <v>#VALUE!</v>
      </c>
      <c r="T37">
        <f t="shared" si="8"/>
        <v>0.62593843086649537</v>
      </c>
      <c r="U37">
        <f t="shared" si="8"/>
        <v>-0.27180872329549077</v>
      </c>
      <c r="V37" t="e">
        <f t="shared" si="8"/>
        <v>#VALUE!</v>
      </c>
      <c r="W37" t="e">
        <f t="shared" si="8"/>
        <v>#VALUE!</v>
      </c>
      <c r="X37" t="e">
        <f t="shared" si="8"/>
        <v>#VALUE!</v>
      </c>
      <c r="Y37" t="e">
        <f t="shared" si="8"/>
        <v>#VALUE!</v>
      </c>
      <c r="Z37" t="e">
        <f t="shared" si="8"/>
        <v>#VALUE!</v>
      </c>
      <c r="AA37" t="e">
        <f t="shared" si="8"/>
        <v>#VALUE!</v>
      </c>
      <c r="AB37" t="e">
        <f t="shared" si="8"/>
        <v>#VALUE!</v>
      </c>
      <c r="AC37" t="e">
        <f t="shared" si="8"/>
        <v>#VALUE!</v>
      </c>
      <c r="AD37" t="e">
        <f t="shared" si="8"/>
        <v>#VALUE!</v>
      </c>
      <c r="AE37" t="e">
        <f t="shared" si="8"/>
        <v>#VALUE!</v>
      </c>
      <c r="AF37" t="e">
        <f t="shared" si="8"/>
        <v>#VALUE!</v>
      </c>
      <c r="AG37" t="e">
        <f t="shared" si="8"/>
        <v>#VALUE!</v>
      </c>
      <c r="AH37" t="e">
        <f t="shared" si="8"/>
        <v>#VALUE!</v>
      </c>
      <c r="AI37" t="e">
        <f t="shared" si="8"/>
        <v>#VALUE!</v>
      </c>
      <c r="AJ37" t="e">
        <f t="shared" si="8"/>
        <v>#VALUE!</v>
      </c>
      <c r="AK37" t="e">
        <f t="shared" si="8"/>
        <v>#VALUE!</v>
      </c>
      <c r="AL37">
        <f t="shared" si="8"/>
        <v>0.43178241642553783</v>
      </c>
      <c r="AM37" t="e">
        <f t="shared" si="8"/>
        <v>#VALUE!</v>
      </c>
      <c r="AN37" t="e">
        <f t="shared" si="8"/>
        <v>#VALUE!</v>
      </c>
      <c r="AO37" t="e">
        <f t="shared" si="8"/>
        <v>#VALUE!</v>
      </c>
      <c r="AP37" t="e">
        <f t="shared" si="8"/>
        <v>#VALUE!</v>
      </c>
    </row>
    <row r="38" spans="2:42" x14ac:dyDescent="0.25">
      <c r="D38" t="s">
        <v>106</v>
      </c>
      <c r="T38">
        <v>2.3900000000000001E-2</v>
      </c>
      <c r="U38">
        <v>3.85E-2</v>
      </c>
      <c r="V38" s="30">
        <v>1.6799999999999999E-2</v>
      </c>
      <c r="W38" s="30">
        <v>6.0900000000000003E-2</v>
      </c>
      <c r="X38" s="30">
        <v>9.4500000000000001E-2</v>
      </c>
      <c r="AK38" s="30">
        <v>2.5100000000000001E-2</v>
      </c>
      <c r="AL38">
        <v>3.0599999999999999E-2</v>
      </c>
      <c r="AM38" s="30">
        <v>5.0700000000000002E-2</v>
      </c>
      <c r="AN38" s="30">
        <v>9.6699999999999994E-2</v>
      </c>
      <c r="AO38" s="30">
        <v>0.34029999999999999</v>
      </c>
    </row>
    <row r="39" spans="2:42" x14ac:dyDescent="0.25">
      <c r="B39" s="31"/>
      <c r="C39" t="s">
        <v>41</v>
      </c>
      <c r="D39">
        <v>1</v>
      </c>
      <c r="E39">
        <f t="shared" ref="E39:AP39" si="9">LN(E18)</f>
        <v>0.70803579305369591</v>
      </c>
      <c r="F39">
        <f t="shared" si="9"/>
        <v>0.82417544296634937</v>
      </c>
      <c r="G39" t="e">
        <f t="shared" si="9"/>
        <v>#VALUE!</v>
      </c>
      <c r="H39" t="e">
        <f t="shared" si="9"/>
        <v>#VALUE!</v>
      </c>
      <c r="I39" t="e">
        <f t="shared" si="9"/>
        <v>#VALUE!</v>
      </c>
      <c r="J39" t="e">
        <f t="shared" si="9"/>
        <v>#VALUE!</v>
      </c>
      <c r="K39" t="e">
        <f t="shared" si="9"/>
        <v>#VALUE!</v>
      </c>
      <c r="L39" t="e">
        <f t="shared" si="9"/>
        <v>#VALUE!</v>
      </c>
      <c r="M39" t="e">
        <f t="shared" si="9"/>
        <v>#VALUE!</v>
      </c>
      <c r="N39" t="e">
        <f t="shared" si="9"/>
        <v>#VALUE!</v>
      </c>
      <c r="O39" t="e">
        <f t="shared" si="9"/>
        <v>#VALUE!</v>
      </c>
      <c r="P39" t="e">
        <f t="shared" si="9"/>
        <v>#VALUE!</v>
      </c>
      <c r="Q39" t="e">
        <f t="shared" si="9"/>
        <v>#VALUE!</v>
      </c>
      <c r="R39" t="e">
        <f t="shared" si="9"/>
        <v>#VALUE!</v>
      </c>
      <c r="S39" t="e">
        <f t="shared" si="9"/>
        <v>#VALUE!</v>
      </c>
      <c r="T39">
        <f t="shared" si="9"/>
        <v>2.8622008809294686</v>
      </c>
      <c r="U39">
        <f t="shared" si="9"/>
        <v>3.1000922888782338</v>
      </c>
      <c r="V39">
        <f t="shared" si="9"/>
        <v>3.487375077903208</v>
      </c>
      <c r="W39">
        <f t="shared" si="9"/>
        <v>1.2781522025001875</v>
      </c>
      <c r="X39">
        <f t="shared" si="9"/>
        <v>1.3635373739972745</v>
      </c>
      <c r="Y39">
        <f t="shared" si="9"/>
        <v>-0.6635883783184009</v>
      </c>
      <c r="Z39" t="e">
        <f t="shared" si="9"/>
        <v>#VALUE!</v>
      </c>
      <c r="AA39" t="e">
        <f t="shared" si="9"/>
        <v>#VALUE!</v>
      </c>
      <c r="AB39" t="e">
        <f t="shared" si="9"/>
        <v>#VALUE!</v>
      </c>
      <c r="AC39" t="e">
        <f t="shared" si="9"/>
        <v>#VALUE!</v>
      </c>
      <c r="AD39" t="e">
        <f t="shared" si="9"/>
        <v>#VALUE!</v>
      </c>
      <c r="AE39" t="e">
        <f t="shared" si="9"/>
        <v>#VALUE!</v>
      </c>
      <c r="AF39" t="e">
        <f t="shared" si="9"/>
        <v>#VALUE!</v>
      </c>
      <c r="AG39" t="e">
        <f t="shared" si="9"/>
        <v>#VALUE!</v>
      </c>
      <c r="AH39" t="e">
        <f t="shared" si="9"/>
        <v>#VALUE!</v>
      </c>
      <c r="AI39" t="e">
        <f t="shared" si="9"/>
        <v>#VALUE!</v>
      </c>
      <c r="AJ39" t="e">
        <f t="shared" si="9"/>
        <v>#VALUE!</v>
      </c>
      <c r="AK39">
        <f t="shared" si="9"/>
        <v>0.40546510810816438</v>
      </c>
      <c r="AL39">
        <f t="shared" si="9"/>
        <v>3.2619353143286478</v>
      </c>
      <c r="AM39">
        <f t="shared" si="9"/>
        <v>3.3638415951183864</v>
      </c>
      <c r="AN39">
        <f t="shared" si="9"/>
        <v>2.8903717578961645</v>
      </c>
      <c r="AO39">
        <f t="shared" si="9"/>
        <v>2.7663191092261861</v>
      </c>
      <c r="AP39">
        <f t="shared" si="9"/>
        <v>2.3978952727983707</v>
      </c>
    </row>
    <row r="40" spans="2:42" x14ac:dyDescent="0.25">
      <c r="B40" s="31"/>
      <c r="D40">
        <v>5</v>
      </c>
      <c r="E40" t="e">
        <f t="shared" ref="E40:AP40" si="10">LN(E22)</f>
        <v>#VALUE!</v>
      </c>
      <c r="F40" t="e">
        <f t="shared" si="10"/>
        <v>#VALUE!</v>
      </c>
      <c r="G40" t="e">
        <f t="shared" si="10"/>
        <v>#VALUE!</v>
      </c>
      <c r="H40" t="e">
        <f t="shared" si="10"/>
        <v>#VALUE!</v>
      </c>
      <c r="I40" t="e">
        <f t="shared" si="10"/>
        <v>#VALUE!</v>
      </c>
      <c r="J40" t="e">
        <f t="shared" si="10"/>
        <v>#VALUE!</v>
      </c>
      <c r="K40" t="e">
        <f t="shared" si="10"/>
        <v>#VALUE!</v>
      </c>
      <c r="L40" t="e">
        <f t="shared" si="10"/>
        <v>#VALUE!</v>
      </c>
      <c r="M40" t="e">
        <f t="shared" si="10"/>
        <v>#VALUE!</v>
      </c>
      <c r="N40" t="e">
        <f t="shared" si="10"/>
        <v>#VALUE!</v>
      </c>
      <c r="O40" t="e">
        <f t="shared" si="10"/>
        <v>#VALUE!</v>
      </c>
      <c r="P40" t="e">
        <f t="shared" si="10"/>
        <v>#VALUE!</v>
      </c>
      <c r="Q40" t="e">
        <f t="shared" si="10"/>
        <v>#VALUE!</v>
      </c>
      <c r="R40" t="e">
        <f t="shared" si="10"/>
        <v>#VALUE!</v>
      </c>
      <c r="S40" t="e">
        <f t="shared" si="10"/>
        <v>#VALUE!</v>
      </c>
      <c r="T40">
        <f t="shared" si="10"/>
        <v>2.9391619220655967</v>
      </c>
      <c r="U40">
        <f t="shared" si="10"/>
        <v>3.1311369105601941</v>
      </c>
      <c r="V40">
        <f t="shared" si="10"/>
        <v>3.5174978373583161</v>
      </c>
      <c r="W40">
        <f t="shared" si="10"/>
        <v>1.0681530811834012</v>
      </c>
      <c r="X40">
        <f t="shared" si="10"/>
        <v>0.71294980785612505</v>
      </c>
      <c r="Y40" t="e">
        <f t="shared" si="10"/>
        <v>#VALUE!</v>
      </c>
      <c r="Z40" t="e">
        <f t="shared" si="10"/>
        <v>#VALUE!</v>
      </c>
      <c r="AA40" t="e">
        <f t="shared" si="10"/>
        <v>#VALUE!</v>
      </c>
      <c r="AB40" t="e">
        <f t="shared" si="10"/>
        <v>#VALUE!</v>
      </c>
      <c r="AC40" t="e">
        <f t="shared" si="10"/>
        <v>#VALUE!</v>
      </c>
      <c r="AD40" t="e">
        <f t="shared" si="10"/>
        <v>#VALUE!</v>
      </c>
      <c r="AE40" t="e">
        <f t="shared" si="10"/>
        <v>#VALUE!</v>
      </c>
      <c r="AF40" t="e">
        <f t="shared" si="10"/>
        <v>#VALUE!</v>
      </c>
      <c r="AG40" t="e">
        <f t="shared" si="10"/>
        <v>#VALUE!</v>
      </c>
      <c r="AH40" t="e">
        <f t="shared" si="10"/>
        <v>#VALUE!</v>
      </c>
      <c r="AI40" t="e">
        <f t="shared" si="10"/>
        <v>#VALUE!</v>
      </c>
      <c r="AJ40" t="e">
        <f t="shared" si="10"/>
        <v>#VALUE!</v>
      </c>
      <c r="AK40">
        <f t="shared" si="10"/>
        <v>0.48242614924429278</v>
      </c>
      <c r="AL40">
        <f t="shared" si="10"/>
        <v>3.3286266888273199</v>
      </c>
      <c r="AM40">
        <f t="shared" si="10"/>
        <v>3.3250360206965914</v>
      </c>
      <c r="AN40">
        <f t="shared" si="10"/>
        <v>2.4423470353692043</v>
      </c>
      <c r="AO40">
        <f t="shared" si="10"/>
        <v>1.410986973710262</v>
      </c>
      <c r="AP40">
        <f t="shared" si="10"/>
        <v>-0.41703174447962976</v>
      </c>
    </row>
    <row r="41" spans="2:42" x14ac:dyDescent="0.25">
      <c r="B41" s="31"/>
      <c r="D41">
        <v>80</v>
      </c>
      <c r="E41" t="e">
        <f t="shared" ref="E41:AP41" si="11">LN(E26)</f>
        <v>#VALUE!</v>
      </c>
      <c r="F41" t="e">
        <f t="shared" si="11"/>
        <v>#VALUE!</v>
      </c>
      <c r="G41" t="e">
        <f t="shared" si="11"/>
        <v>#VALUE!</v>
      </c>
      <c r="H41" t="e">
        <f t="shared" si="11"/>
        <v>#VALUE!</v>
      </c>
      <c r="I41" t="e">
        <f t="shared" si="11"/>
        <v>#VALUE!</v>
      </c>
      <c r="J41" t="e">
        <f t="shared" si="11"/>
        <v>#VALUE!</v>
      </c>
      <c r="K41" t="e">
        <f t="shared" si="11"/>
        <v>#VALUE!</v>
      </c>
      <c r="L41" t="e">
        <f t="shared" si="11"/>
        <v>#VALUE!</v>
      </c>
      <c r="M41" t="e">
        <f t="shared" si="11"/>
        <v>#VALUE!</v>
      </c>
      <c r="N41" t="e">
        <f t="shared" si="11"/>
        <v>#VALUE!</v>
      </c>
      <c r="O41" t="e">
        <f t="shared" si="11"/>
        <v>#VALUE!</v>
      </c>
      <c r="P41" t="e">
        <f t="shared" si="11"/>
        <v>#VALUE!</v>
      </c>
      <c r="Q41" t="e">
        <f t="shared" si="11"/>
        <v>#VALUE!</v>
      </c>
      <c r="R41" t="e">
        <f t="shared" si="11"/>
        <v>#VALUE!</v>
      </c>
      <c r="S41" t="e">
        <f t="shared" si="11"/>
        <v>#VALUE!</v>
      </c>
      <c r="T41">
        <f t="shared" si="11"/>
        <v>1.3164082336557241</v>
      </c>
      <c r="U41">
        <f t="shared" si="11"/>
        <v>0.73236789371322664</v>
      </c>
      <c r="V41">
        <f t="shared" si="11"/>
        <v>0.63127177684185776</v>
      </c>
      <c r="W41" t="e">
        <f t="shared" si="11"/>
        <v>#VALUE!</v>
      </c>
      <c r="X41" t="e">
        <f t="shared" si="11"/>
        <v>#VALUE!</v>
      </c>
      <c r="Y41" t="e">
        <f t="shared" si="11"/>
        <v>#VALUE!</v>
      </c>
      <c r="Z41" t="e">
        <f t="shared" si="11"/>
        <v>#VALUE!</v>
      </c>
      <c r="AA41" t="e">
        <f t="shared" si="11"/>
        <v>#VALUE!</v>
      </c>
      <c r="AB41" t="e">
        <f t="shared" si="11"/>
        <v>#VALUE!</v>
      </c>
      <c r="AC41" t="e">
        <f t="shared" si="11"/>
        <v>#VALUE!</v>
      </c>
      <c r="AD41" t="e">
        <f t="shared" si="11"/>
        <v>#VALUE!</v>
      </c>
      <c r="AE41" t="e">
        <f t="shared" si="11"/>
        <v>#VALUE!</v>
      </c>
      <c r="AF41" t="e">
        <f t="shared" si="11"/>
        <v>#VALUE!</v>
      </c>
      <c r="AG41" t="e">
        <f t="shared" si="11"/>
        <v>#VALUE!</v>
      </c>
      <c r="AH41" t="e">
        <f t="shared" si="11"/>
        <v>#VALUE!</v>
      </c>
      <c r="AI41" t="e">
        <f t="shared" si="11"/>
        <v>#VALUE!</v>
      </c>
      <c r="AJ41" t="e">
        <f t="shared" si="11"/>
        <v>#VALUE!</v>
      </c>
      <c r="AK41" t="e">
        <f t="shared" si="11"/>
        <v>#VALUE!</v>
      </c>
      <c r="AL41">
        <f t="shared" si="11"/>
        <v>1.589235205116581</v>
      </c>
      <c r="AM41">
        <f t="shared" si="11"/>
        <v>0.62057648772510998</v>
      </c>
      <c r="AN41" t="e">
        <f t="shared" si="11"/>
        <v>#VALUE!</v>
      </c>
      <c r="AO41" t="e">
        <f t="shared" si="11"/>
        <v>#VALUE!</v>
      </c>
      <c r="AP41" t="e">
        <f t="shared" si="11"/>
        <v>#VALUE!</v>
      </c>
    </row>
    <row r="42" spans="2:42" x14ac:dyDescent="0.25">
      <c r="B42" s="31"/>
      <c r="D42" t="s">
        <v>106</v>
      </c>
      <c r="T42">
        <v>2.0500000000000001E-2</v>
      </c>
      <c r="U42">
        <v>3.09E-2</v>
      </c>
      <c r="V42">
        <v>3.7199999999999997E-2</v>
      </c>
      <c r="W42" s="30">
        <v>5.2499999999999998E-2</v>
      </c>
      <c r="X42" s="30">
        <v>0.16259999999999999</v>
      </c>
      <c r="AK42" s="30">
        <v>1.9199999999999998E-2</v>
      </c>
      <c r="AL42">
        <v>2.2100000000000002E-2</v>
      </c>
      <c r="AM42">
        <v>3.5299999999999998E-2</v>
      </c>
      <c r="AN42" s="30">
        <v>0.112</v>
      </c>
      <c r="AO42" s="30">
        <v>0.33879999999999999</v>
      </c>
      <c r="AP42" s="30">
        <v>0.70369999999999999</v>
      </c>
    </row>
    <row r="43" spans="2:42" x14ac:dyDescent="0.25">
      <c r="B43" t="s">
        <v>108</v>
      </c>
      <c r="C43" t="s">
        <v>36</v>
      </c>
      <c r="E43" t="e">
        <f>LN(2)/E30</f>
        <v>#DIV/0!</v>
      </c>
      <c r="F43" t="e">
        <f t="shared" ref="F43:AP43" si="12">LN(2)/F30</f>
        <v>#DIV/0!</v>
      </c>
      <c r="G43" t="e">
        <f t="shared" si="12"/>
        <v>#DIV/0!</v>
      </c>
      <c r="H43" t="e">
        <f t="shared" si="12"/>
        <v>#DIV/0!</v>
      </c>
      <c r="I43" t="e">
        <f t="shared" si="12"/>
        <v>#DIV/0!</v>
      </c>
      <c r="J43" t="e">
        <f t="shared" si="12"/>
        <v>#DIV/0!</v>
      </c>
      <c r="K43" t="e">
        <f t="shared" si="12"/>
        <v>#DIV/0!</v>
      </c>
      <c r="L43" t="e">
        <f t="shared" si="12"/>
        <v>#DIV/0!</v>
      </c>
      <c r="M43" t="e">
        <f t="shared" si="12"/>
        <v>#DIV/0!</v>
      </c>
      <c r="N43" t="e">
        <f t="shared" si="12"/>
        <v>#DIV/0!</v>
      </c>
      <c r="O43" t="e">
        <f t="shared" si="12"/>
        <v>#DIV/0!</v>
      </c>
      <c r="P43" t="e">
        <f t="shared" si="12"/>
        <v>#DIV/0!</v>
      </c>
      <c r="Q43" t="e">
        <f t="shared" si="12"/>
        <v>#DIV/0!</v>
      </c>
      <c r="R43" t="e">
        <f t="shared" si="12"/>
        <v>#DIV/0!</v>
      </c>
      <c r="S43" t="e">
        <f t="shared" si="12"/>
        <v>#DIV/0!</v>
      </c>
      <c r="T43" t="e">
        <f t="shared" si="12"/>
        <v>#DIV/0!</v>
      </c>
      <c r="U43" t="e">
        <f t="shared" si="12"/>
        <v>#DIV/0!</v>
      </c>
      <c r="V43" t="e">
        <f t="shared" si="12"/>
        <v>#DIV/0!</v>
      </c>
      <c r="W43" t="e">
        <f t="shared" si="12"/>
        <v>#DIV/0!</v>
      </c>
      <c r="X43" t="e">
        <f t="shared" si="12"/>
        <v>#DIV/0!</v>
      </c>
      <c r="Y43" t="e">
        <f t="shared" si="12"/>
        <v>#DIV/0!</v>
      </c>
      <c r="Z43" t="e">
        <f t="shared" si="12"/>
        <v>#DIV/0!</v>
      </c>
      <c r="AA43" t="e">
        <f t="shared" si="12"/>
        <v>#DIV/0!</v>
      </c>
      <c r="AB43" t="e">
        <f t="shared" si="12"/>
        <v>#DIV/0!</v>
      </c>
      <c r="AC43" t="e">
        <f t="shared" si="12"/>
        <v>#DIV/0!</v>
      </c>
      <c r="AD43" t="e">
        <f t="shared" si="12"/>
        <v>#DIV/0!</v>
      </c>
      <c r="AE43" t="e">
        <f t="shared" si="12"/>
        <v>#DIV/0!</v>
      </c>
      <c r="AF43" t="e">
        <f t="shared" si="12"/>
        <v>#DIV/0!</v>
      </c>
      <c r="AG43" t="e">
        <f t="shared" si="12"/>
        <v>#DIV/0!</v>
      </c>
      <c r="AH43" t="e">
        <f t="shared" si="12"/>
        <v>#DIV/0!</v>
      </c>
      <c r="AI43" t="e">
        <f t="shared" si="12"/>
        <v>#DIV/0!</v>
      </c>
      <c r="AJ43" t="e">
        <f t="shared" si="12"/>
        <v>#DIV/0!</v>
      </c>
      <c r="AK43" t="e">
        <f t="shared" si="12"/>
        <v>#DIV/0!</v>
      </c>
      <c r="AL43" t="e">
        <f t="shared" si="12"/>
        <v>#DIV/0!</v>
      </c>
      <c r="AM43" t="e">
        <f t="shared" si="12"/>
        <v>#DIV/0!</v>
      </c>
      <c r="AN43" t="e">
        <f t="shared" si="12"/>
        <v>#DIV/0!</v>
      </c>
      <c r="AO43" t="e">
        <f t="shared" si="12"/>
        <v>#DIV/0!</v>
      </c>
      <c r="AP43" t="e">
        <f t="shared" si="12"/>
        <v>#DIV/0!</v>
      </c>
    </row>
    <row r="44" spans="2:42" x14ac:dyDescent="0.25">
      <c r="C44" t="s">
        <v>39</v>
      </c>
      <c r="E44" t="e">
        <f>LN(2)/E34</f>
        <v>#DIV/0!</v>
      </c>
      <c r="F44" t="e">
        <f t="shared" ref="F44:AP44" si="13">LN(2)/F34</f>
        <v>#DIV/0!</v>
      </c>
      <c r="G44" t="e">
        <f t="shared" si="13"/>
        <v>#DIV/0!</v>
      </c>
      <c r="H44" t="e">
        <f t="shared" si="13"/>
        <v>#DIV/0!</v>
      </c>
      <c r="I44" t="e">
        <f t="shared" si="13"/>
        <v>#DIV/0!</v>
      </c>
      <c r="J44" t="e">
        <f t="shared" si="13"/>
        <v>#DIV/0!</v>
      </c>
      <c r="K44" t="e">
        <f t="shared" si="13"/>
        <v>#DIV/0!</v>
      </c>
      <c r="L44" t="e">
        <f t="shared" si="13"/>
        <v>#DIV/0!</v>
      </c>
      <c r="M44" t="e">
        <f t="shared" si="13"/>
        <v>#DIV/0!</v>
      </c>
      <c r="N44" t="e">
        <f t="shared" si="13"/>
        <v>#DIV/0!</v>
      </c>
      <c r="O44" t="e">
        <f t="shared" si="13"/>
        <v>#DIV/0!</v>
      </c>
      <c r="P44" t="e">
        <f t="shared" si="13"/>
        <v>#DIV/0!</v>
      </c>
      <c r="Q44" t="e">
        <f t="shared" si="13"/>
        <v>#DIV/0!</v>
      </c>
      <c r="R44" t="e">
        <f t="shared" si="13"/>
        <v>#DIV/0!</v>
      </c>
      <c r="S44" t="e">
        <f t="shared" si="13"/>
        <v>#DIV/0!</v>
      </c>
      <c r="T44">
        <f t="shared" si="13"/>
        <v>29.123831115964087</v>
      </c>
      <c r="U44">
        <f t="shared" si="13"/>
        <v>19.254088348887372</v>
      </c>
      <c r="V44">
        <f t="shared" si="13"/>
        <v>13.671542022878604</v>
      </c>
      <c r="W44" s="30">
        <f t="shared" si="13"/>
        <v>45.903786792049353</v>
      </c>
      <c r="X44" s="30">
        <f t="shared" si="13"/>
        <v>9.5081917772283298</v>
      </c>
      <c r="Y44" t="e">
        <f t="shared" si="13"/>
        <v>#DIV/0!</v>
      </c>
      <c r="Z44" t="e">
        <f t="shared" si="13"/>
        <v>#DIV/0!</v>
      </c>
      <c r="AA44" t="e">
        <f t="shared" si="13"/>
        <v>#DIV/0!</v>
      </c>
      <c r="AB44" t="e">
        <f t="shared" si="13"/>
        <v>#DIV/0!</v>
      </c>
      <c r="AC44" t="e">
        <f t="shared" si="13"/>
        <v>#DIV/0!</v>
      </c>
      <c r="AD44" t="e">
        <f t="shared" si="13"/>
        <v>#DIV/0!</v>
      </c>
      <c r="AE44" t="e">
        <f t="shared" si="13"/>
        <v>#DIV/0!</v>
      </c>
      <c r="AF44" t="e">
        <f t="shared" si="13"/>
        <v>#DIV/0!</v>
      </c>
      <c r="AG44" t="e">
        <f t="shared" si="13"/>
        <v>#DIV/0!</v>
      </c>
      <c r="AH44" t="e">
        <f t="shared" si="13"/>
        <v>#DIV/0!</v>
      </c>
      <c r="AI44" t="e">
        <f t="shared" si="13"/>
        <v>#DIV/0!</v>
      </c>
      <c r="AJ44" t="e">
        <f t="shared" si="13"/>
        <v>#DIV/0!</v>
      </c>
      <c r="AK44" s="30">
        <f t="shared" si="13"/>
        <v>34.657359027997266</v>
      </c>
      <c r="AL44">
        <f t="shared" si="13"/>
        <v>24.151469705921439</v>
      </c>
      <c r="AM44">
        <f t="shared" si="13"/>
        <v>14.145860827753985</v>
      </c>
      <c r="AN44" s="30">
        <f t="shared" si="13"/>
        <v>5.8052527685087538</v>
      </c>
      <c r="AO44" s="30">
        <f t="shared" si="13"/>
        <v>2.435513635136842</v>
      </c>
      <c r="AP44" s="30">
        <f t="shared" si="13"/>
        <v>1.3036433713747326</v>
      </c>
    </row>
    <row r="45" spans="2:42" x14ac:dyDescent="0.25">
      <c r="C45" t="s">
        <v>40</v>
      </c>
      <c r="E45" t="e">
        <f>LN(2)/E38</f>
        <v>#DIV/0!</v>
      </c>
      <c r="F45" t="e">
        <f t="shared" ref="F45:AP45" si="14">LN(2)/F38</f>
        <v>#DIV/0!</v>
      </c>
      <c r="G45" t="e">
        <f t="shared" si="14"/>
        <v>#DIV/0!</v>
      </c>
      <c r="H45" t="e">
        <f t="shared" si="14"/>
        <v>#DIV/0!</v>
      </c>
      <c r="I45" t="e">
        <f t="shared" si="14"/>
        <v>#DIV/0!</v>
      </c>
      <c r="J45" t="e">
        <f t="shared" si="14"/>
        <v>#DIV/0!</v>
      </c>
      <c r="K45" t="e">
        <f t="shared" si="14"/>
        <v>#DIV/0!</v>
      </c>
      <c r="L45" t="e">
        <f t="shared" si="14"/>
        <v>#DIV/0!</v>
      </c>
      <c r="M45" t="e">
        <f t="shared" si="14"/>
        <v>#DIV/0!</v>
      </c>
      <c r="N45" t="e">
        <f t="shared" si="14"/>
        <v>#DIV/0!</v>
      </c>
      <c r="O45" t="e">
        <f t="shared" si="14"/>
        <v>#DIV/0!</v>
      </c>
      <c r="P45" t="e">
        <f t="shared" si="14"/>
        <v>#DIV/0!</v>
      </c>
      <c r="Q45" t="e">
        <f t="shared" si="14"/>
        <v>#DIV/0!</v>
      </c>
      <c r="R45" t="e">
        <f t="shared" si="14"/>
        <v>#DIV/0!</v>
      </c>
      <c r="S45" t="e">
        <f t="shared" si="14"/>
        <v>#DIV/0!</v>
      </c>
      <c r="T45">
        <f t="shared" si="14"/>
        <v>29.001974082006079</v>
      </c>
      <c r="U45">
        <f t="shared" si="14"/>
        <v>18.003822871686889</v>
      </c>
      <c r="V45" s="30">
        <f t="shared" si="14"/>
        <v>41.258760747615796</v>
      </c>
      <c r="W45" s="30">
        <f t="shared" si="14"/>
        <v>11.381727102790563</v>
      </c>
      <c r="X45" s="30">
        <f t="shared" si="14"/>
        <v>7.334890799576141</v>
      </c>
      <c r="Y45" t="e">
        <f t="shared" si="14"/>
        <v>#DIV/0!</v>
      </c>
      <c r="Z45" t="e">
        <f t="shared" si="14"/>
        <v>#DIV/0!</v>
      </c>
      <c r="AA45" t="e">
        <f t="shared" si="14"/>
        <v>#DIV/0!</v>
      </c>
      <c r="AB45" t="e">
        <f t="shared" si="14"/>
        <v>#DIV/0!</v>
      </c>
      <c r="AC45" t="e">
        <f t="shared" si="14"/>
        <v>#DIV/0!</v>
      </c>
      <c r="AD45" t="e">
        <f t="shared" si="14"/>
        <v>#DIV/0!</v>
      </c>
      <c r="AE45" t="e">
        <f t="shared" si="14"/>
        <v>#DIV/0!</v>
      </c>
      <c r="AF45" t="e">
        <f t="shared" si="14"/>
        <v>#DIV/0!</v>
      </c>
      <c r="AG45" t="e">
        <f t="shared" si="14"/>
        <v>#DIV/0!</v>
      </c>
      <c r="AH45" t="e">
        <f t="shared" si="14"/>
        <v>#DIV/0!</v>
      </c>
      <c r="AI45" t="e">
        <f t="shared" si="14"/>
        <v>#DIV/0!</v>
      </c>
      <c r="AJ45" t="e">
        <f t="shared" si="14"/>
        <v>#DIV/0!</v>
      </c>
      <c r="AK45" s="30">
        <f t="shared" si="14"/>
        <v>27.615425520316546</v>
      </c>
      <c r="AL45">
        <f t="shared" si="14"/>
        <v>22.651868645749847</v>
      </c>
      <c r="AM45" s="30">
        <f t="shared" si="14"/>
        <v>13.671542022878604</v>
      </c>
      <c r="AN45" s="30">
        <f t="shared" si="14"/>
        <v>7.1680163449839229</v>
      </c>
      <c r="AO45" s="30">
        <f t="shared" si="14"/>
        <v>2.0368709390536153</v>
      </c>
      <c r="AP45" t="e">
        <f t="shared" si="14"/>
        <v>#DIV/0!</v>
      </c>
    </row>
    <row r="46" spans="2:42" x14ac:dyDescent="0.25">
      <c r="C46" t="s">
        <v>41</v>
      </c>
      <c r="E46" t="e">
        <f>LN(2)/E42</f>
        <v>#DIV/0!</v>
      </c>
      <c r="F46" t="e">
        <f t="shared" ref="F46:AP46" si="15">LN(2)/F42</f>
        <v>#DIV/0!</v>
      </c>
      <c r="G46" t="e">
        <f t="shared" si="15"/>
        <v>#DIV/0!</v>
      </c>
      <c r="H46" t="e">
        <f t="shared" si="15"/>
        <v>#DIV/0!</v>
      </c>
      <c r="I46" t="e">
        <f t="shared" si="15"/>
        <v>#DIV/0!</v>
      </c>
      <c r="J46" t="e">
        <f t="shared" si="15"/>
        <v>#DIV/0!</v>
      </c>
      <c r="K46" t="e">
        <f t="shared" si="15"/>
        <v>#DIV/0!</v>
      </c>
      <c r="L46" t="e">
        <f t="shared" si="15"/>
        <v>#DIV/0!</v>
      </c>
      <c r="M46" t="e">
        <f t="shared" si="15"/>
        <v>#DIV/0!</v>
      </c>
      <c r="N46" t="e">
        <f t="shared" si="15"/>
        <v>#DIV/0!</v>
      </c>
      <c r="O46" t="e">
        <f t="shared" si="15"/>
        <v>#DIV/0!</v>
      </c>
      <c r="P46" t="e">
        <f t="shared" si="15"/>
        <v>#DIV/0!</v>
      </c>
      <c r="Q46" t="e">
        <f t="shared" si="15"/>
        <v>#DIV/0!</v>
      </c>
      <c r="R46" t="e">
        <f t="shared" si="15"/>
        <v>#DIV/0!</v>
      </c>
      <c r="S46" t="e">
        <f t="shared" si="15"/>
        <v>#DIV/0!</v>
      </c>
      <c r="T46">
        <f t="shared" si="15"/>
        <v>33.81205758829001</v>
      </c>
      <c r="U46">
        <f t="shared" si="15"/>
        <v>22.431947590936741</v>
      </c>
      <c r="V46">
        <f t="shared" si="15"/>
        <v>18.632988724729714</v>
      </c>
      <c r="W46" s="30">
        <f t="shared" si="15"/>
        <v>13.202803439237053</v>
      </c>
      <c r="X46" s="30">
        <f t="shared" si="15"/>
        <v>4.2628977894215581</v>
      </c>
      <c r="Y46" t="e">
        <f t="shared" si="15"/>
        <v>#DIV/0!</v>
      </c>
      <c r="Z46" t="e">
        <f t="shared" si="15"/>
        <v>#DIV/0!</v>
      </c>
      <c r="AA46" t="e">
        <f t="shared" si="15"/>
        <v>#DIV/0!</v>
      </c>
      <c r="AB46" t="e">
        <f t="shared" si="15"/>
        <v>#DIV/0!</v>
      </c>
      <c r="AC46" t="e">
        <f t="shared" si="15"/>
        <v>#DIV/0!</v>
      </c>
      <c r="AD46" t="e">
        <f t="shared" si="15"/>
        <v>#DIV/0!</v>
      </c>
      <c r="AE46" t="e">
        <f t="shared" si="15"/>
        <v>#DIV/0!</v>
      </c>
      <c r="AF46" t="e">
        <f t="shared" si="15"/>
        <v>#DIV/0!</v>
      </c>
      <c r="AG46" t="e">
        <f t="shared" si="15"/>
        <v>#DIV/0!</v>
      </c>
      <c r="AH46" t="e">
        <f t="shared" si="15"/>
        <v>#DIV/0!</v>
      </c>
      <c r="AI46" t="e">
        <f t="shared" si="15"/>
        <v>#DIV/0!</v>
      </c>
      <c r="AJ46" t="e">
        <f t="shared" si="15"/>
        <v>#DIV/0!</v>
      </c>
      <c r="AK46" s="30">
        <f t="shared" si="15"/>
        <v>36.101415654163823</v>
      </c>
      <c r="AL46">
        <f t="shared" si="15"/>
        <v>31.364125817192093</v>
      </c>
      <c r="AM46">
        <f t="shared" si="15"/>
        <v>19.635897466287403</v>
      </c>
      <c r="AN46" s="30">
        <f t="shared" si="15"/>
        <v>6.1888141121423681</v>
      </c>
      <c r="AO46" s="30">
        <f t="shared" si="15"/>
        <v>2.0458889626916923</v>
      </c>
      <c r="AP46" s="30">
        <f t="shared" si="15"/>
        <v>0.98500380923681297</v>
      </c>
    </row>
    <row r="51" ht="14.25" customHeight="1" x14ac:dyDescent="0.25"/>
  </sheetData>
  <conditionalFormatting sqref="E3:AP26">
    <cfRule type="notContainsText" dxfId="14" priority="1" operator="notContains" text="&lt;">
      <formula>ISERROR(SEARCH("&lt;",E3))</formula>
    </cfRule>
  </conditionalFormatting>
  <pageMargins left="0.7" right="0.7" top="0.78740157499999996" bottom="0.78740157499999996"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08BE5-171C-474B-BCAC-2E1BB76E12DE}">
  <dimension ref="A1:AO46"/>
  <sheetViews>
    <sheetView topLeftCell="O16" zoomScale="85" zoomScaleNormal="85" workbookViewId="0">
      <selection activeCell="H8" sqref="H8:H10"/>
    </sheetView>
  </sheetViews>
  <sheetFormatPr baseColWidth="10" defaultRowHeight="15" x14ac:dyDescent="0.25"/>
  <sheetData>
    <row r="1" spans="1:41" x14ac:dyDescent="0.25">
      <c r="D1" t="s">
        <v>0</v>
      </c>
      <c r="Y1" t="s">
        <v>17</v>
      </c>
    </row>
    <row r="2" spans="1:41" x14ac:dyDescent="0.25">
      <c r="A2" t="s">
        <v>34</v>
      </c>
      <c r="B2" t="s">
        <v>35</v>
      </c>
      <c r="C2" t="s">
        <v>84</v>
      </c>
      <c r="D2" t="s">
        <v>78</v>
      </c>
      <c r="E2" t="s">
        <v>79</v>
      </c>
      <c r="F2" t="s">
        <v>80</v>
      </c>
      <c r="G2" t="s">
        <v>1</v>
      </c>
      <c r="H2" t="s">
        <v>2</v>
      </c>
      <c r="I2" t="s">
        <v>3</v>
      </c>
      <c r="J2" t="s">
        <v>4</v>
      </c>
      <c r="K2" t="s">
        <v>5</v>
      </c>
      <c r="L2" t="s">
        <v>6</v>
      </c>
      <c r="M2" t="s">
        <v>7</v>
      </c>
      <c r="N2" t="s">
        <v>8</v>
      </c>
      <c r="O2" t="s">
        <v>81</v>
      </c>
      <c r="P2" t="s">
        <v>82</v>
      </c>
      <c r="Q2" t="s">
        <v>9</v>
      </c>
      <c r="R2" t="s">
        <v>10</v>
      </c>
      <c r="S2" t="s">
        <v>11</v>
      </c>
      <c r="T2" t="s">
        <v>12</v>
      </c>
      <c r="U2" t="s">
        <v>13</v>
      </c>
      <c r="V2" t="s">
        <v>14</v>
      </c>
      <c r="W2" t="s">
        <v>15</v>
      </c>
      <c r="X2" t="s">
        <v>16</v>
      </c>
      <c r="Z2" t="s">
        <v>18</v>
      </c>
      <c r="AA2" t="s">
        <v>19</v>
      </c>
      <c r="AB2" t="s">
        <v>20</v>
      </c>
      <c r="AC2" t="s">
        <v>21</v>
      </c>
      <c r="AD2" t="s">
        <v>22</v>
      </c>
      <c r="AE2" t="s">
        <v>23</v>
      </c>
      <c r="AF2" t="s">
        <v>24</v>
      </c>
      <c r="AG2" t="s">
        <v>25</v>
      </c>
      <c r="AH2" t="s">
        <v>26</v>
      </c>
      <c r="AI2" t="s">
        <v>77</v>
      </c>
      <c r="AJ2" t="s">
        <v>27</v>
      </c>
      <c r="AK2" t="s">
        <v>28</v>
      </c>
      <c r="AL2" t="s">
        <v>29</v>
      </c>
      <c r="AM2" t="s">
        <v>30</v>
      </c>
      <c r="AN2" t="s">
        <v>31</v>
      </c>
      <c r="AO2" t="s">
        <v>32</v>
      </c>
    </row>
    <row r="3" spans="1:41" x14ac:dyDescent="0.25">
      <c r="A3" s="2">
        <v>45068</v>
      </c>
      <c r="B3" t="s">
        <v>36</v>
      </c>
      <c r="D3" s="19" t="s">
        <v>65</v>
      </c>
      <c r="E3" s="20" t="s">
        <v>65</v>
      </c>
      <c r="F3" s="20" t="s">
        <v>65</v>
      </c>
      <c r="G3" s="20" t="s">
        <v>65</v>
      </c>
      <c r="H3" s="20" t="s">
        <v>65</v>
      </c>
      <c r="I3" s="20" t="s">
        <v>65</v>
      </c>
      <c r="J3" s="20" t="s">
        <v>65</v>
      </c>
      <c r="K3" s="20" t="s">
        <v>65</v>
      </c>
      <c r="L3" s="20" t="s">
        <v>65</v>
      </c>
      <c r="M3" s="20" t="s">
        <v>65</v>
      </c>
      <c r="N3" s="20" t="s">
        <v>65</v>
      </c>
      <c r="O3" s="19" t="s">
        <v>65</v>
      </c>
      <c r="P3" s="20" t="s">
        <v>65</v>
      </c>
      <c r="Q3" s="20" t="s">
        <v>65</v>
      </c>
      <c r="R3" s="20" t="s">
        <v>65</v>
      </c>
      <c r="S3" s="20" t="s">
        <v>65</v>
      </c>
      <c r="T3" s="20" t="s">
        <v>65</v>
      </c>
      <c r="U3" s="20" t="s">
        <v>65</v>
      </c>
      <c r="V3" s="20" t="s">
        <v>65</v>
      </c>
      <c r="W3" s="20" t="s">
        <v>65</v>
      </c>
      <c r="X3" s="20" t="s">
        <v>65</v>
      </c>
      <c r="Y3" s="20" t="s">
        <v>65</v>
      </c>
      <c r="Z3" s="20" t="s">
        <v>65</v>
      </c>
      <c r="AA3" s="20" t="s">
        <v>65</v>
      </c>
      <c r="AB3" s="20" t="s">
        <v>65</v>
      </c>
      <c r="AC3" s="20" t="s">
        <v>65</v>
      </c>
      <c r="AD3" s="20" t="s">
        <v>65</v>
      </c>
      <c r="AE3" s="20" t="s">
        <v>65</v>
      </c>
      <c r="AF3" s="20" t="s">
        <v>65</v>
      </c>
      <c r="AG3" s="20" t="s">
        <v>65</v>
      </c>
      <c r="AH3" s="20" t="s">
        <v>65</v>
      </c>
      <c r="AI3" s="20" t="s">
        <v>65</v>
      </c>
      <c r="AJ3" s="20" t="s">
        <v>65</v>
      </c>
      <c r="AK3" s="20" t="s">
        <v>65</v>
      </c>
      <c r="AL3" s="20" t="s">
        <v>65</v>
      </c>
      <c r="AM3" s="20" t="s">
        <v>65</v>
      </c>
      <c r="AN3" s="20" t="s">
        <v>65</v>
      </c>
      <c r="AO3" s="20" t="s">
        <v>65</v>
      </c>
    </row>
    <row r="4" spans="1:41" x14ac:dyDescent="0.25">
      <c r="A4" s="2"/>
      <c r="B4" t="s">
        <v>39</v>
      </c>
      <c r="D4" s="10">
        <v>1.1599999999999999</v>
      </c>
      <c r="E4" s="11" t="s">
        <v>65</v>
      </c>
      <c r="F4" s="11" t="s">
        <v>65</v>
      </c>
      <c r="G4" s="11" t="s">
        <v>65</v>
      </c>
      <c r="H4" s="11" t="s">
        <v>65</v>
      </c>
      <c r="I4" s="11" t="s">
        <v>65</v>
      </c>
      <c r="J4" s="11" t="s">
        <v>65</v>
      </c>
      <c r="K4" s="11" t="s">
        <v>65</v>
      </c>
      <c r="L4" s="11" t="s">
        <v>65</v>
      </c>
      <c r="M4" s="11" t="s">
        <v>65</v>
      </c>
      <c r="N4" s="11" t="s">
        <v>65</v>
      </c>
      <c r="O4" s="10" t="s">
        <v>65</v>
      </c>
      <c r="P4" s="11" t="s">
        <v>65</v>
      </c>
      <c r="Q4" s="11" t="s">
        <v>65</v>
      </c>
      <c r="R4" s="11" t="s">
        <v>65</v>
      </c>
      <c r="S4" s="11" t="s">
        <v>65</v>
      </c>
      <c r="T4" s="11" t="s">
        <v>65</v>
      </c>
      <c r="U4" s="11" t="s">
        <v>65</v>
      </c>
      <c r="V4" s="11" t="s">
        <v>65</v>
      </c>
      <c r="W4" s="11" t="s">
        <v>65</v>
      </c>
      <c r="X4" s="11" t="s">
        <v>65</v>
      </c>
      <c r="Y4" s="11" t="s">
        <v>65</v>
      </c>
      <c r="Z4" s="11" t="s">
        <v>65</v>
      </c>
      <c r="AA4" s="11" t="s">
        <v>65</v>
      </c>
      <c r="AB4" s="11" t="s">
        <v>65</v>
      </c>
      <c r="AC4" s="11" t="s">
        <v>65</v>
      </c>
      <c r="AD4" s="11" t="s">
        <v>65</v>
      </c>
      <c r="AE4" s="11" t="s">
        <v>65</v>
      </c>
      <c r="AF4" s="11" t="s">
        <v>65</v>
      </c>
      <c r="AG4" s="11" t="s">
        <v>65</v>
      </c>
      <c r="AH4" s="11" t="s">
        <v>65</v>
      </c>
      <c r="AI4" s="11" t="s">
        <v>65</v>
      </c>
      <c r="AJ4" s="11" t="s">
        <v>65</v>
      </c>
      <c r="AK4" s="11" t="s">
        <v>65</v>
      </c>
      <c r="AL4" s="11" t="s">
        <v>65</v>
      </c>
      <c r="AM4" s="11" t="s">
        <v>65</v>
      </c>
      <c r="AN4" s="11" t="s">
        <v>65</v>
      </c>
      <c r="AO4" s="11" t="s">
        <v>65</v>
      </c>
    </row>
    <row r="5" spans="1:41" x14ac:dyDescent="0.25">
      <c r="A5" s="2"/>
      <c r="B5" t="s">
        <v>40</v>
      </c>
      <c r="D5" s="10">
        <v>1.1499999999999999</v>
      </c>
      <c r="E5" s="11" t="s">
        <v>65</v>
      </c>
      <c r="F5" s="11" t="s">
        <v>65</v>
      </c>
      <c r="G5" s="11" t="s">
        <v>65</v>
      </c>
      <c r="H5" s="11" t="s">
        <v>65</v>
      </c>
      <c r="I5" s="11" t="s">
        <v>65</v>
      </c>
      <c r="J5" s="11" t="s">
        <v>65</v>
      </c>
      <c r="K5" s="11" t="s">
        <v>65</v>
      </c>
      <c r="L5" s="11" t="s">
        <v>65</v>
      </c>
      <c r="M5" s="11" t="s">
        <v>65</v>
      </c>
      <c r="N5" s="11" t="s">
        <v>65</v>
      </c>
      <c r="O5" s="10" t="s">
        <v>65</v>
      </c>
      <c r="P5" s="11" t="s">
        <v>65</v>
      </c>
      <c r="Q5" s="11" t="s">
        <v>65</v>
      </c>
      <c r="R5" s="11" t="s">
        <v>65</v>
      </c>
      <c r="S5" s="11" t="s">
        <v>65</v>
      </c>
      <c r="T5" s="11" t="s">
        <v>65</v>
      </c>
      <c r="U5" s="11" t="s">
        <v>65</v>
      </c>
      <c r="V5" s="11" t="s">
        <v>65</v>
      </c>
      <c r="W5" s="11" t="s">
        <v>65</v>
      </c>
      <c r="X5" s="11" t="s">
        <v>65</v>
      </c>
      <c r="Y5" s="11" t="s">
        <v>65</v>
      </c>
      <c r="Z5" s="11" t="s">
        <v>65</v>
      </c>
      <c r="AA5" s="11" t="s">
        <v>65</v>
      </c>
      <c r="AB5" s="11" t="s">
        <v>65</v>
      </c>
      <c r="AC5" s="11" t="s">
        <v>65</v>
      </c>
      <c r="AD5" s="11" t="s">
        <v>65</v>
      </c>
      <c r="AE5" s="11" t="s">
        <v>65</v>
      </c>
      <c r="AF5" s="11" t="s">
        <v>65</v>
      </c>
      <c r="AG5" s="11" t="s">
        <v>65</v>
      </c>
      <c r="AH5" s="11" t="s">
        <v>65</v>
      </c>
      <c r="AI5" s="11" t="s">
        <v>65</v>
      </c>
      <c r="AJ5" s="11" t="s">
        <v>65</v>
      </c>
      <c r="AK5" s="11" t="s">
        <v>65</v>
      </c>
      <c r="AL5" s="11" t="s">
        <v>65</v>
      </c>
      <c r="AM5" s="11" t="s">
        <v>65</v>
      </c>
      <c r="AN5" s="11" t="s">
        <v>65</v>
      </c>
      <c r="AO5" s="11" t="s">
        <v>65</v>
      </c>
    </row>
    <row r="6" spans="1:41" x14ac:dyDescent="0.25">
      <c r="A6" s="2"/>
      <c r="B6" t="s">
        <v>41</v>
      </c>
      <c r="D6" s="10">
        <v>3.24</v>
      </c>
      <c r="E6" s="11" t="s">
        <v>65</v>
      </c>
      <c r="F6" s="11" t="s">
        <v>65</v>
      </c>
      <c r="G6" s="11" t="s">
        <v>65</v>
      </c>
      <c r="H6" s="11" t="s">
        <v>65</v>
      </c>
      <c r="I6" s="11" t="s">
        <v>65</v>
      </c>
      <c r="J6" s="11" t="s">
        <v>65</v>
      </c>
      <c r="K6" s="11" t="s">
        <v>65</v>
      </c>
      <c r="L6" s="11" t="s">
        <v>65</v>
      </c>
      <c r="M6" s="11" t="s">
        <v>65</v>
      </c>
      <c r="N6" s="11" t="s">
        <v>65</v>
      </c>
      <c r="O6" s="10" t="s">
        <v>65</v>
      </c>
      <c r="P6" s="11" t="s">
        <v>65</v>
      </c>
      <c r="Q6" s="11" t="s">
        <v>65</v>
      </c>
      <c r="R6" s="11" t="s">
        <v>65</v>
      </c>
      <c r="S6" s="11" t="s">
        <v>65</v>
      </c>
      <c r="T6" s="11" t="s">
        <v>65</v>
      </c>
      <c r="U6" s="11" t="s">
        <v>65</v>
      </c>
      <c r="V6" s="11" t="s">
        <v>65</v>
      </c>
      <c r="W6" s="11" t="s">
        <v>65</v>
      </c>
      <c r="X6" s="11" t="s">
        <v>65</v>
      </c>
      <c r="Y6" s="11" t="s">
        <v>65</v>
      </c>
      <c r="Z6" s="11" t="s">
        <v>65</v>
      </c>
      <c r="AA6" s="11" t="s">
        <v>65</v>
      </c>
      <c r="AB6" s="11" t="s">
        <v>65</v>
      </c>
      <c r="AC6" s="11" t="s">
        <v>65</v>
      </c>
      <c r="AD6" s="11" t="s">
        <v>65</v>
      </c>
      <c r="AE6" s="11" t="s">
        <v>65</v>
      </c>
      <c r="AF6" s="11" t="s">
        <v>65</v>
      </c>
      <c r="AG6" s="11" t="s">
        <v>65</v>
      </c>
      <c r="AH6" s="11" t="s">
        <v>65</v>
      </c>
      <c r="AI6" s="11" t="s">
        <v>65</v>
      </c>
      <c r="AJ6" s="11" t="s">
        <v>65</v>
      </c>
      <c r="AK6" s="11" t="s">
        <v>65</v>
      </c>
      <c r="AL6" s="11" t="s">
        <v>65</v>
      </c>
      <c r="AM6" s="11" t="s">
        <v>65</v>
      </c>
      <c r="AN6" s="11" t="s">
        <v>65</v>
      </c>
      <c r="AO6" s="11" t="s">
        <v>65</v>
      </c>
    </row>
    <row r="7" spans="1:41" x14ac:dyDescent="0.25">
      <c r="A7" s="2">
        <v>45072</v>
      </c>
      <c r="B7" t="s">
        <v>36</v>
      </c>
      <c r="D7" s="22"/>
      <c r="E7" s="21"/>
      <c r="F7" s="20"/>
      <c r="G7" s="20"/>
      <c r="H7" s="21"/>
      <c r="I7" s="20"/>
      <c r="J7" s="20"/>
      <c r="K7" s="20"/>
      <c r="L7" s="20"/>
      <c r="M7" s="20"/>
      <c r="N7" s="20"/>
      <c r="O7" s="19"/>
      <c r="P7" s="20"/>
      <c r="Q7" s="20"/>
      <c r="R7" s="20"/>
      <c r="S7" s="20"/>
      <c r="T7" s="20"/>
      <c r="U7" s="20"/>
      <c r="V7" s="20"/>
      <c r="W7" s="20"/>
      <c r="X7" s="20"/>
      <c r="Y7" s="20"/>
      <c r="Z7" s="20"/>
      <c r="AA7" s="20"/>
      <c r="AB7" s="20"/>
      <c r="AC7" s="20"/>
      <c r="AD7" s="20"/>
      <c r="AE7" s="20"/>
      <c r="AF7" s="20"/>
      <c r="AG7" s="20"/>
      <c r="AH7" s="20"/>
      <c r="AI7" s="20"/>
      <c r="AJ7" s="20"/>
      <c r="AK7" s="20"/>
      <c r="AL7" s="20"/>
      <c r="AM7" s="20"/>
      <c r="AN7" s="20"/>
      <c r="AO7" s="20"/>
    </row>
    <row r="8" spans="1:41" x14ac:dyDescent="0.25">
      <c r="B8" t="s">
        <v>39</v>
      </c>
      <c r="D8" s="15">
        <v>28.45</v>
      </c>
      <c r="E8" s="11">
        <v>6.66</v>
      </c>
      <c r="F8" s="11">
        <v>1.9699999999999998</v>
      </c>
      <c r="G8" s="11">
        <v>0.627</v>
      </c>
      <c r="H8" s="11">
        <v>10.350000000000001</v>
      </c>
      <c r="I8" s="11" t="s">
        <v>65</v>
      </c>
      <c r="J8" s="11" t="s">
        <v>65</v>
      </c>
      <c r="K8" s="11" t="s">
        <v>65</v>
      </c>
      <c r="L8" s="11" t="s">
        <v>65</v>
      </c>
      <c r="M8" s="11" t="s">
        <v>65</v>
      </c>
      <c r="N8" s="11" t="s">
        <v>65</v>
      </c>
      <c r="O8" s="10" t="s">
        <v>65</v>
      </c>
      <c r="P8" s="11" t="s">
        <v>65</v>
      </c>
      <c r="Q8" s="11" t="s">
        <v>65</v>
      </c>
      <c r="R8" s="11" t="s">
        <v>65</v>
      </c>
      <c r="S8" s="11" t="s">
        <v>65</v>
      </c>
      <c r="T8" s="11" t="s">
        <v>65</v>
      </c>
      <c r="U8" s="11" t="s">
        <v>65</v>
      </c>
      <c r="V8" s="11" t="s">
        <v>65</v>
      </c>
      <c r="W8" s="11" t="s">
        <v>65</v>
      </c>
      <c r="X8" s="11" t="s">
        <v>65</v>
      </c>
      <c r="Y8" s="11" t="s">
        <v>65</v>
      </c>
      <c r="Z8" s="11" t="s">
        <v>65</v>
      </c>
      <c r="AA8" s="11">
        <v>2.585</v>
      </c>
      <c r="AB8" s="11" t="s">
        <v>65</v>
      </c>
      <c r="AC8" s="11" t="s">
        <v>65</v>
      </c>
      <c r="AD8" s="11" t="s">
        <v>65</v>
      </c>
      <c r="AE8" s="11" t="s">
        <v>65</v>
      </c>
      <c r="AF8" s="11" t="s">
        <v>65</v>
      </c>
      <c r="AG8" s="11" t="s">
        <v>65</v>
      </c>
      <c r="AH8" s="11" t="s">
        <v>65</v>
      </c>
      <c r="AI8" s="11" t="s">
        <v>65</v>
      </c>
      <c r="AJ8" s="11" t="s">
        <v>65</v>
      </c>
      <c r="AK8" s="11" t="s">
        <v>65</v>
      </c>
      <c r="AL8" s="11" t="s">
        <v>65</v>
      </c>
      <c r="AM8" s="11" t="s">
        <v>65</v>
      </c>
      <c r="AN8" s="11" t="s">
        <v>65</v>
      </c>
      <c r="AO8" s="11" t="s">
        <v>65</v>
      </c>
    </row>
    <row r="9" spans="1:41" x14ac:dyDescent="0.25">
      <c r="B9" t="s">
        <v>40</v>
      </c>
      <c r="D9" s="15">
        <v>38.4</v>
      </c>
      <c r="E9" s="11">
        <v>8.01</v>
      </c>
      <c r="F9" s="11">
        <v>1.58</v>
      </c>
      <c r="G9" s="11">
        <v>0.54900000000000004</v>
      </c>
      <c r="H9" s="11">
        <v>9.65</v>
      </c>
      <c r="I9" s="11" t="s">
        <v>65</v>
      </c>
      <c r="J9" s="11" t="s">
        <v>65</v>
      </c>
      <c r="K9" s="11" t="s">
        <v>65</v>
      </c>
      <c r="L9" s="11" t="s">
        <v>65</v>
      </c>
      <c r="M9" s="11" t="s">
        <v>65</v>
      </c>
      <c r="N9" s="11" t="s">
        <v>65</v>
      </c>
      <c r="O9" s="10" t="s">
        <v>65</v>
      </c>
      <c r="P9" s="11" t="s">
        <v>65</v>
      </c>
      <c r="Q9" s="11" t="s">
        <v>65</v>
      </c>
      <c r="R9" s="11" t="s">
        <v>65</v>
      </c>
      <c r="S9" s="11" t="s">
        <v>65</v>
      </c>
      <c r="T9" s="11" t="s">
        <v>65</v>
      </c>
      <c r="U9" s="11" t="s">
        <v>65</v>
      </c>
      <c r="V9" s="11" t="s">
        <v>65</v>
      </c>
      <c r="W9" s="11" t="s">
        <v>65</v>
      </c>
      <c r="X9" s="11" t="s">
        <v>65</v>
      </c>
      <c r="Y9" s="11" t="s">
        <v>65</v>
      </c>
      <c r="Z9" s="11" t="s">
        <v>65</v>
      </c>
      <c r="AA9" s="11">
        <v>2.0299999999999998</v>
      </c>
      <c r="AB9" s="11" t="s">
        <v>65</v>
      </c>
      <c r="AC9" s="11" t="s">
        <v>65</v>
      </c>
      <c r="AD9" s="11" t="s">
        <v>65</v>
      </c>
      <c r="AE9" s="11" t="s">
        <v>65</v>
      </c>
      <c r="AF9" s="11" t="s">
        <v>65</v>
      </c>
      <c r="AG9" s="11" t="s">
        <v>65</v>
      </c>
      <c r="AH9" s="11" t="s">
        <v>65</v>
      </c>
      <c r="AI9" s="11" t="s">
        <v>65</v>
      </c>
      <c r="AJ9" s="11" t="s">
        <v>65</v>
      </c>
      <c r="AK9" s="11" t="s">
        <v>65</v>
      </c>
      <c r="AL9" s="11" t="s">
        <v>65</v>
      </c>
      <c r="AM9" s="11" t="s">
        <v>65</v>
      </c>
      <c r="AN9" s="11" t="s">
        <v>65</v>
      </c>
      <c r="AO9" s="11" t="s">
        <v>65</v>
      </c>
    </row>
    <row r="10" spans="1:41" x14ac:dyDescent="0.25">
      <c r="B10" t="s">
        <v>41</v>
      </c>
      <c r="D10" s="15">
        <v>90.65</v>
      </c>
      <c r="E10" s="12">
        <v>20.25</v>
      </c>
      <c r="F10" s="11">
        <v>4.7650000000000006</v>
      </c>
      <c r="G10" s="11">
        <v>1.49</v>
      </c>
      <c r="H10" s="12">
        <v>28.4</v>
      </c>
      <c r="I10" s="11" t="s">
        <v>65</v>
      </c>
      <c r="J10" s="11" t="s">
        <v>65</v>
      </c>
      <c r="K10" s="11" t="s">
        <v>65</v>
      </c>
      <c r="L10" s="11" t="s">
        <v>65</v>
      </c>
      <c r="M10" s="11" t="s">
        <v>65</v>
      </c>
      <c r="N10" s="11" t="s">
        <v>65</v>
      </c>
      <c r="O10" s="10" t="s">
        <v>65</v>
      </c>
      <c r="P10" s="11" t="s">
        <v>65</v>
      </c>
      <c r="Q10" s="11" t="s">
        <v>65</v>
      </c>
      <c r="R10" s="11" t="s">
        <v>65</v>
      </c>
      <c r="S10" s="11" t="s">
        <v>65</v>
      </c>
      <c r="T10" s="11" t="s">
        <v>65</v>
      </c>
      <c r="U10" s="11" t="s">
        <v>65</v>
      </c>
      <c r="V10" s="11" t="s">
        <v>65</v>
      </c>
      <c r="W10" s="11" t="s">
        <v>65</v>
      </c>
      <c r="X10" s="11" t="s">
        <v>65</v>
      </c>
      <c r="Y10" s="11" t="s">
        <v>65</v>
      </c>
      <c r="Z10" s="11" t="s">
        <v>65</v>
      </c>
      <c r="AA10" s="11">
        <v>6.43</v>
      </c>
      <c r="AB10" s="11" t="s">
        <v>65</v>
      </c>
      <c r="AC10" s="11" t="s">
        <v>65</v>
      </c>
      <c r="AD10" s="11" t="s">
        <v>65</v>
      </c>
      <c r="AE10" s="11" t="s">
        <v>65</v>
      </c>
      <c r="AF10" s="11" t="s">
        <v>65</v>
      </c>
      <c r="AG10" s="11" t="s">
        <v>65</v>
      </c>
      <c r="AH10" s="11" t="s">
        <v>65</v>
      </c>
      <c r="AI10" s="11" t="s">
        <v>65</v>
      </c>
      <c r="AJ10" s="11" t="s">
        <v>65</v>
      </c>
      <c r="AK10" s="11" t="s">
        <v>65</v>
      </c>
      <c r="AL10" s="11" t="s">
        <v>65</v>
      </c>
      <c r="AM10" s="11" t="s">
        <v>65</v>
      </c>
      <c r="AN10" s="11" t="s">
        <v>65</v>
      </c>
      <c r="AO10" s="11" t="s">
        <v>65</v>
      </c>
    </row>
    <row r="11" spans="1:41" x14ac:dyDescent="0.25">
      <c r="A11" s="2">
        <v>45105</v>
      </c>
      <c r="B11" t="s">
        <v>36</v>
      </c>
      <c r="D11" s="22"/>
      <c r="E11" s="21"/>
      <c r="F11" s="20"/>
      <c r="G11" s="20"/>
      <c r="H11" s="21"/>
      <c r="I11" s="20"/>
      <c r="J11" s="20"/>
      <c r="K11" s="20"/>
      <c r="L11" s="20"/>
      <c r="M11" s="20"/>
      <c r="N11" s="20"/>
      <c r="O11" s="19"/>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row>
    <row r="12" spans="1:41" x14ac:dyDescent="0.25">
      <c r="B12" t="s">
        <v>39</v>
      </c>
      <c r="D12" s="15">
        <v>95.7</v>
      </c>
      <c r="E12" s="12">
        <v>18.899999999999999</v>
      </c>
      <c r="F12" s="11">
        <v>3.7600000000000002</v>
      </c>
      <c r="G12" s="11">
        <v>1.125</v>
      </c>
      <c r="H12" s="12">
        <v>24.4</v>
      </c>
      <c r="I12" s="11" t="s">
        <v>65</v>
      </c>
      <c r="J12" s="11" t="s">
        <v>65</v>
      </c>
      <c r="K12" s="11" t="s">
        <v>65</v>
      </c>
      <c r="L12" s="11" t="s">
        <v>65</v>
      </c>
      <c r="M12" s="11" t="s">
        <v>65</v>
      </c>
      <c r="N12" s="11" t="s">
        <v>65</v>
      </c>
      <c r="O12" s="10" t="s">
        <v>65</v>
      </c>
      <c r="P12" s="11" t="s">
        <v>65</v>
      </c>
      <c r="Q12" s="11">
        <v>2.1849999999999996</v>
      </c>
      <c r="R12" s="11" t="s">
        <v>65</v>
      </c>
      <c r="S12" s="11">
        <v>3.3250000000000002</v>
      </c>
      <c r="T12" s="11">
        <v>0.59199999999999997</v>
      </c>
      <c r="U12" s="11" t="s">
        <v>65</v>
      </c>
      <c r="V12" s="11" t="s">
        <v>65</v>
      </c>
      <c r="W12" s="11" t="s">
        <v>65</v>
      </c>
      <c r="X12" s="11" t="s">
        <v>65</v>
      </c>
      <c r="Y12" s="11" t="s">
        <v>65</v>
      </c>
      <c r="Z12" s="11" t="s">
        <v>65</v>
      </c>
      <c r="AA12" s="11">
        <v>4.8550000000000004</v>
      </c>
      <c r="AB12" s="11" t="s">
        <v>65</v>
      </c>
      <c r="AC12" s="11" t="s">
        <v>65</v>
      </c>
      <c r="AD12" s="11" t="s">
        <v>65</v>
      </c>
      <c r="AE12" s="11" t="s">
        <v>65</v>
      </c>
      <c r="AF12" s="11" t="s">
        <v>65</v>
      </c>
      <c r="AG12" s="11" t="s">
        <v>65</v>
      </c>
      <c r="AH12" s="11" t="s">
        <v>65</v>
      </c>
      <c r="AI12" s="11" t="s">
        <v>65</v>
      </c>
      <c r="AJ12" s="11">
        <v>1.51</v>
      </c>
      <c r="AK12" s="11">
        <v>1.7849999999999999</v>
      </c>
      <c r="AL12" s="11" t="s">
        <v>65</v>
      </c>
      <c r="AM12" s="11" t="s">
        <v>65</v>
      </c>
      <c r="AN12" s="11" t="s">
        <v>65</v>
      </c>
      <c r="AO12" s="11" t="s">
        <v>65</v>
      </c>
    </row>
    <row r="13" spans="1:41" x14ac:dyDescent="0.25">
      <c r="B13" t="s">
        <v>40</v>
      </c>
      <c r="D13" s="15">
        <v>50.7</v>
      </c>
      <c r="E13" s="12">
        <v>26.2</v>
      </c>
      <c r="F13" s="11">
        <v>4.76</v>
      </c>
      <c r="G13" s="11">
        <v>1.01</v>
      </c>
      <c r="H13" s="12">
        <v>16.399999999999999</v>
      </c>
      <c r="I13" s="11" t="s">
        <v>65</v>
      </c>
      <c r="J13" s="11" t="s">
        <v>65</v>
      </c>
      <c r="K13" s="11" t="s">
        <v>65</v>
      </c>
      <c r="L13" s="11" t="s">
        <v>65</v>
      </c>
      <c r="M13" s="11" t="s">
        <v>65</v>
      </c>
      <c r="N13" s="11" t="s">
        <v>65</v>
      </c>
      <c r="O13" s="10" t="s">
        <v>65</v>
      </c>
      <c r="P13" s="11" t="s">
        <v>65</v>
      </c>
      <c r="Q13" s="11">
        <v>0.82199999999999995</v>
      </c>
      <c r="R13" s="11" t="s">
        <v>65</v>
      </c>
      <c r="S13" s="11">
        <v>1.91</v>
      </c>
      <c r="T13" s="11" t="s">
        <v>65</v>
      </c>
      <c r="U13" s="11" t="s">
        <v>65</v>
      </c>
      <c r="V13" s="11" t="s">
        <v>65</v>
      </c>
      <c r="W13" s="11" t="s">
        <v>65</v>
      </c>
      <c r="X13" s="11" t="s">
        <v>65</v>
      </c>
      <c r="Y13" s="11" t="s">
        <v>65</v>
      </c>
      <c r="Z13" s="11" t="s">
        <v>65</v>
      </c>
      <c r="AA13" s="11">
        <v>4.63</v>
      </c>
      <c r="AB13" s="11" t="s">
        <v>65</v>
      </c>
      <c r="AC13" s="11" t="s">
        <v>65</v>
      </c>
      <c r="AD13" s="11" t="s">
        <v>65</v>
      </c>
      <c r="AE13" s="11" t="s">
        <v>65</v>
      </c>
      <c r="AF13" s="11" t="s">
        <v>65</v>
      </c>
      <c r="AG13" s="11" t="s">
        <v>65</v>
      </c>
      <c r="AH13" s="11" t="s">
        <v>65</v>
      </c>
      <c r="AI13" s="11" t="s">
        <v>65</v>
      </c>
      <c r="AJ13" s="11">
        <v>1.08</v>
      </c>
      <c r="AK13" s="11">
        <v>1.1000000000000001</v>
      </c>
      <c r="AL13" s="11" t="s">
        <v>65</v>
      </c>
      <c r="AM13" s="11" t="s">
        <v>65</v>
      </c>
      <c r="AN13" s="11" t="s">
        <v>65</v>
      </c>
      <c r="AO13" s="11" t="s">
        <v>65</v>
      </c>
    </row>
    <row r="14" spans="1:41" x14ac:dyDescent="0.25">
      <c r="B14" t="s">
        <v>41</v>
      </c>
      <c r="D14" s="15">
        <v>94.8</v>
      </c>
      <c r="E14" s="12">
        <v>28.200000000000003</v>
      </c>
      <c r="F14" s="11">
        <v>6.33</v>
      </c>
      <c r="G14" s="11">
        <v>1.46</v>
      </c>
      <c r="H14" s="12">
        <v>20</v>
      </c>
      <c r="I14" s="11" t="s">
        <v>65</v>
      </c>
      <c r="J14" s="11" t="s">
        <v>65</v>
      </c>
      <c r="K14" s="11" t="s">
        <v>65</v>
      </c>
      <c r="L14" s="11" t="s">
        <v>65</v>
      </c>
      <c r="M14" s="11" t="s">
        <v>65</v>
      </c>
      <c r="N14" s="11" t="s">
        <v>65</v>
      </c>
      <c r="O14" s="10">
        <v>0.60199999999999998</v>
      </c>
      <c r="P14" s="11" t="s">
        <v>65</v>
      </c>
      <c r="Q14" s="11">
        <v>1.575</v>
      </c>
      <c r="R14" s="11" t="s">
        <v>65</v>
      </c>
      <c r="S14" s="11">
        <v>1.1764999999999999</v>
      </c>
      <c r="T14" s="11" t="s">
        <v>65</v>
      </c>
      <c r="U14" s="11" t="s">
        <v>65</v>
      </c>
      <c r="V14" s="11" t="s">
        <v>65</v>
      </c>
      <c r="W14" s="11" t="s">
        <v>65</v>
      </c>
      <c r="X14" s="11" t="s">
        <v>65</v>
      </c>
      <c r="Y14" s="11">
        <v>0.61599999999999999</v>
      </c>
      <c r="Z14" s="11" t="s">
        <v>65</v>
      </c>
      <c r="AA14" s="11">
        <v>5.9249999999999998</v>
      </c>
      <c r="AB14" s="11" t="s">
        <v>65</v>
      </c>
      <c r="AC14" s="11" t="s">
        <v>65</v>
      </c>
      <c r="AD14" s="11" t="s">
        <v>65</v>
      </c>
      <c r="AE14" s="11" t="s">
        <v>65</v>
      </c>
      <c r="AF14" s="11" t="s">
        <v>65</v>
      </c>
      <c r="AG14" s="11" t="s">
        <v>65</v>
      </c>
      <c r="AH14" s="11" t="s">
        <v>65</v>
      </c>
      <c r="AI14" s="11" t="s">
        <v>65</v>
      </c>
      <c r="AJ14" s="11">
        <v>0.89700000000000002</v>
      </c>
      <c r="AK14" s="11" t="s">
        <v>65</v>
      </c>
      <c r="AL14" s="11" t="s">
        <v>65</v>
      </c>
      <c r="AM14" s="11" t="s">
        <v>65</v>
      </c>
      <c r="AN14" s="11" t="s">
        <v>65</v>
      </c>
      <c r="AO14" s="11" t="s">
        <v>65</v>
      </c>
    </row>
    <row r="15" spans="1:41" x14ac:dyDescent="0.25">
      <c r="A15" s="2">
        <v>45124</v>
      </c>
      <c r="B15" t="s">
        <v>36</v>
      </c>
      <c r="D15" s="19"/>
      <c r="E15" s="20"/>
      <c r="F15" s="20"/>
      <c r="G15" s="20"/>
      <c r="H15" s="20"/>
      <c r="I15" s="20"/>
      <c r="J15" s="20"/>
      <c r="K15" s="20"/>
      <c r="L15" s="20"/>
      <c r="M15" s="20"/>
      <c r="N15" s="20"/>
      <c r="O15" s="19"/>
      <c r="P15" s="20"/>
      <c r="Q15" s="20"/>
      <c r="R15" s="20"/>
      <c r="S15" s="20"/>
      <c r="T15" s="20"/>
      <c r="U15" s="20"/>
      <c r="V15" s="20"/>
      <c r="W15" s="20"/>
      <c r="X15" s="20"/>
      <c r="Y15" s="20"/>
      <c r="Z15" s="20"/>
      <c r="AA15" s="20"/>
      <c r="AB15" s="20"/>
      <c r="AC15" s="20"/>
      <c r="AD15" s="20"/>
      <c r="AE15" s="20"/>
      <c r="AF15" s="20"/>
      <c r="AG15" s="20"/>
      <c r="AH15" s="20"/>
      <c r="AI15" s="20"/>
      <c r="AJ15" s="20"/>
      <c r="AK15" s="20"/>
      <c r="AL15" s="20"/>
      <c r="AM15" s="20"/>
      <c r="AN15" s="20"/>
      <c r="AO15" s="20"/>
    </row>
    <row r="16" spans="1:41" x14ac:dyDescent="0.25">
      <c r="B16" t="s">
        <v>39</v>
      </c>
      <c r="D16" s="15">
        <v>58.65</v>
      </c>
      <c r="E16" s="12">
        <v>15.6</v>
      </c>
      <c r="F16" s="11">
        <v>3.7750000000000004</v>
      </c>
      <c r="G16" s="11">
        <v>1.1100000000000001</v>
      </c>
      <c r="H16" s="12">
        <v>15.3</v>
      </c>
      <c r="I16" s="11" t="s">
        <v>65</v>
      </c>
      <c r="J16" s="11" t="s">
        <v>65</v>
      </c>
      <c r="K16" s="11" t="s">
        <v>65</v>
      </c>
      <c r="L16" s="11" t="s">
        <v>65</v>
      </c>
      <c r="M16" s="11" t="s">
        <v>65</v>
      </c>
      <c r="N16" s="11" t="s">
        <v>65</v>
      </c>
      <c r="O16" s="10" t="s">
        <v>65</v>
      </c>
      <c r="P16" s="11" t="s">
        <v>65</v>
      </c>
      <c r="Q16" s="11">
        <v>0.80049999999999999</v>
      </c>
      <c r="R16" s="11" t="s">
        <v>65</v>
      </c>
      <c r="S16" s="11">
        <v>2.4450000000000003</v>
      </c>
      <c r="T16" s="11" t="s">
        <v>65</v>
      </c>
      <c r="U16" s="11" t="s">
        <v>65</v>
      </c>
      <c r="V16" s="11" t="s">
        <v>65</v>
      </c>
      <c r="W16" s="11" t="s">
        <v>65</v>
      </c>
      <c r="X16" s="11" t="s">
        <v>65</v>
      </c>
      <c r="Y16" s="11" t="s">
        <v>65</v>
      </c>
      <c r="Z16" s="11" t="s">
        <v>65</v>
      </c>
      <c r="AA16" s="11">
        <v>3.4299999999999997</v>
      </c>
      <c r="AB16" s="11" t="s">
        <v>65</v>
      </c>
      <c r="AC16" s="11" t="s">
        <v>65</v>
      </c>
      <c r="AD16" s="11" t="s">
        <v>65</v>
      </c>
      <c r="AE16" s="11" t="s">
        <v>65</v>
      </c>
      <c r="AF16" s="11" t="s">
        <v>65</v>
      </c>
      <c r="AG16" s="11" t="s">
        <v>65</v>
      </c>
      <c r="AH16" s="11" t="s">
        <v>65</v>
      </c>
      <c r="AI16" s="11" t="s">
        <v>65</v>
      </c>
      <c r="AJ16" s="11">
        <v>1.1950000000000001</v>
      </c>
      <c r="AK16" s="11">
        <v>0.78899999999999992</v>
      </c>
      <c r="AL16" s="11" t="s">
        <v>65</v>
      </c>
      <c r="AM16" s="11" t="s">
        <v>65</v>
      </c>
      <c r="AN16" s="11" t="s">
        <v>65</v>
      </c>
      <c r="AO16" s="11" t="s">
        <v>65</v>
      </c>
    </row>
    <row r="17" spans="1:41" x14ac:dyDescent="0.25">
      <c r="B17" t="s">
        <v>40</v>
      </c>
      <c r="D17" s="15">
        <v>14.4</v>
      </c>
      <c r="E17" s="11">
        <v>3.69</v>
      </c>
      <c r="F17" s="11">
        <v>0.78600000000000003</v>
      </c>
      <c r="G17" s="11" t="s">
        <v>65</v>
      </c>
      <c r="H17" s="11">
        <v>3.71</v>
      </c>
      <c r="I17" s="11" t="s">
        <v>65</v>
      </c>
      <c r="J17" s="11" t="s">
        <v>65</v>
      </c>
      <c r="K17" s="11" t="s">
        <v>65</v>
      </c>
      <c r="L17" s="11" t="s">
        <v>65</v>
      </c>
      <c r="M17" s="11" t="s">
        <v>65</v>
      </c>
      <c r="N17" s="11" t="s">
        <v>65</v>
      </c>
      <c r="O17" s="10" t="s">
        <v>65</v>
      </c>
      <c r="P17" s="11" t="s">
        <v>65</v>
      </c>
      <c r="Q17" s="11" t="s">
        <v>65</v>
      </c>
      <c r="R17" s="11" t="s">
        <v>65</v>
      </c>
      <c r="S17" s="11">
        <v>0.70799999999999996</v>
      </c>
      <c r="T17" s="11" t="s">
        <v>65</v>
      </c>
      <c r="U17" s="11" t="s">
        <v>65</v>
      </c>
      <c r="V17" s="11" t="s">
        <v>65</v>
      </c>
      <c r="W17" s="11" t="s">
        <v>65</v>
      </c>
      <c r="X17" s="11" t="s">
        <v>65</v>
      </c>
      <c r="Y17" s="11" t="s">
        <v>65</v>
      </c>
      <c r="Z17" s="11" t="s">
        <v>65</v>
      </c>
      <c r="AA17" s="11">
        <v>0.68600000000000005</v>
      </c>
      <c r="AB17" s="11" t="s">
        <v>65</v>
      </c>
      <c r="AC17" s="11" t="s">
        <v>65</v>
      </c>
      <c r="AD17" s="11" t="s">
        <v>65</v>
      </c>
      <c r="AE17" s="11" t="s">
        <v>65</v>
      </c>
      <c r="AF17" s="11" t="s">
        <v>65</v>
      </c>
      <c r="AG17" s="11" t="s">
        <v>65</v>
      </c>
      <c r="AH17" s="11" t="s">
        <v>65</v>
      </c>
      <c r="AI17" s="11" t="s">
        <v>65</v>
      </c>
      <c r="AJ17" s="11" t="s">
        <v>65</v>
      </c>
      <c r="AK17" s="11" t="s">
        <v>65</v>
      </c>
      <c r="AL17" s="11" t="s">
        <v>65</v>
      </c>
      <c r="AM17" s="11" t="s">
        <v>65</v>
      </c>
      <c r="AN17" s="11" t="s">
        <v>65</v>
      </c>
      <c r="AO17" s="11" t="s">
        <v>65</v>
      </c>
    </row>
    <row r="18" spans="1:41" x14ac:dyDescent="0.25">
      <c r="B18" t="s">
        <v>41</v>
      </c>
      <c r="D18" s="10">
        <v>5.2050000000000001</v>
      </c>
      <c r="E18" s="11">
        <v>0.97850000000000004</v>
      </c>
      <c r="F18" s="11" t="s">
        <v>65</v>
      </c>
      <c r="G18" s="11" t="s">
        <v>65</v>
      </c>
      <c r="H18" s="11">
        <v>2.4550000000000001</v>
      </c>
      <c r="I18" s="11" t="s">
        <v>65</v>
      </c>
      <c r="J18" s="11" t="s">
        <v>65</v>
      </c>
      <c r="K18" s="11" t="s">
        <v>65</v>
      </c>
      <c r="L18" s="11" t="s">
        <v>65</v>
      </c>
      <c r="M18" s="11" t="s">
        <v>65</v>
      </c>
      <c r="N18" s="11" t="s">
        <v>65</v>
      </c>
      <c r="O18" s="10" t="s">
        <v>65</v>
      </c>
      <c r="P18" s="11" t="s">
        <v>65</v>
      </c>
      <c r="Q18" s="11" t="s">
        <v>65</v>
      </c>
      <c r="R18" s="11" t="s">
        <v>65</v>
      </c>
      <c r="S18" s="11">
        <v>0.94450000000000001</v>
      </c>
      <c r="T18" s="11" t="s">
        <v>65</v>
      </c>
      <c r="U18" s="11" t="s">
        <v>65</v>
      </c>
      <c r="V18" s="11" t="s">
        <v>65</v>
      </c>
      <c r="W18" s="11" t="s">
        <v>65</v>
      </c>
      <c r="X18" s="11" t="s">
        <v>65</v>
      </c>
      <c r="Y18" s="11" t="s">
        <v>65</v>
      </c>
      <c r="Z18" s="11" t="s">
        <v>65</v>
      </c>
      <c r="AA18" s="11">
        <v>0.53900000000000003</v>
      </c>
      <c r="AB18" s="11" t="s">
        <v>65</v>
      </c>
      <c r="AC18" s="11" t="s">
        <v>65</v>
      </c>
      <c r="AD18" s="11" t="s">
        <v>65</v>
      </c>
      <c r="AE18" s="11" t="s">
        <v>65</v>
      </c>
      <c r="AF18" s="11" t="s">
        <v>65</v>
      </c>
      <c r="AG18" s="11" t="s">
        <v>65</v>
      </c>
      <c r="AH18" s="11" t="s">
        <v>65</v>
      </c>
      <c r="AI18" s="11" t="s">
        <v>65</v>
      </c>
      <c r="AJ18" s="11">
        <v>0.58599999999999997</v>
      </c>
      <c r="AK18" s="11" t="s">
        <v>65</v>
      </c>
      <c r="AL18" s="11" t="s">
        <v>65</v>
      </c>
      <c r="AM18" s="11" t="s">
        <v>65</v>
      </c>
      <c r="AN18" s="11" t="s">
        <v>65</v>
      </c>
      <c r="AO18" s="11" t="s">
        <v>65</v>
      </c>
    </row>
    <row r="19" spans="1:41" x14ac:dyDescent="0.25">
      <c r="A19" s="2">
        <v>45128</v>
      </c>
      <c r="B19" t="s">
        <v>36</v>
      </c>
      <c r="D19" s="19"/>
      <c r="E19" s="20"/>
      <c r="F19" s="20"/>
      <c r="G19" s="20"/>
      <c r="H19" s="20"/>
      <c r="I19" s="20"/>
      <c r="J19" s="20"/>
      <c r="K19" s="20"/>
      <c r="L19" s="20"/>
      <c r="M19" s="20"/>
      <c r="N19" s="20"/>
      <c r="O19" s="19"/>
      <c r="P19" s="20"/>
      <c r="Q19" s="20"/>
      <c r="R19" s="20"/>
      <c r="S19" s="20"/>
      <c r="T19" s="20"/>
      <c r="U19" s="20"/>
      <c r="V19" s="20"/>
      <c r="W19" s="20"/>
      <c r="X19" s="20"/>
      <c r="Y19" s="20"/>
      <c r="Z19" s="20"/>
      <c r="AA19" s="20"/>
      <c r="AB19" s="20"/>
      <c r="AC19" s="20"/>
      <c r="AD19" s="20"/>
      <c r="AE19" s="20"/>
      <c r="AF19" s="20"/>
      <c r="AG19" s="20"/>
      <c r="AH19" s="20"/>
      <c r="AI19" s="20"/>
      <c r="AJ19" s="20"/>
      <c r="AK19" s="20"/>
      <c r="AL19" s="20"/>
      <c r="AM19" s="20"/>
      <c r="AN19" s="20"/>
      <c r="AO19" s="20"/>
    </row>
    <row r="20" spans="1:41" x14ac:dyDescent="0.25">
      <c r="B20" t="s">
        <v>39</v>
      </c>
      <c r="D20" s="10">
        <v>0.61599999999999999</v>
      </c>
      <c r="E20" s="11" t="s">
        <v>65</v>
      </c>
      <c r="F20" s="11" t="s">
        <v>65</v>
      </c>
      <c r="G20" s="11" t="s">
        <v>65</v>
      </c>
      <c r="H20" s="11" t="s">
        <v>65</v>
      </c>
      <c r="I20" s="11" t="s">
        <v>65</v>
      </c>
      <c r="J20" s="11" t="s">
        <v>65</v>
      </c>
      <c r="K20" s="11" t="s">
        <v>65</v>
      </c>
      <c r="L20" s="11" t="s">
        <v>65</v>
      </c>
      <c r="M20" s="11" t="s">
        <v>65</v>
      </c>
      <c r="N20" s="11" t="s">
        <v>65</v>
      </c>
      <c r="O20" s="10" t="s">
        <v>65</v>
      </c>
      <c r="P20" s="11" t="s">
        <v>65</v>
      </c>
      <c r="Q20" s="11">
        <v>0.74199999999999999</v>
      </c>
      <c r="R20" s="11" t="s">
        <v>65</v>
      </c>
      <c r="S20" s="11">
        <v>1.89</v>
      </c>
      <c r="T20" s="11" t="s">
        <v>65</v>
      </c>
      <c r="U20" s="11" t="s">
        <v>65</v>
      </c>
      <c r="V20" s="11" t="s">
        <v>65</v>
      </c>
      <c r="W20" s="11" t="s">
        <v>65</v>
      </c>
      <c r="X20" s="11" t="s">
        <v>65</v>
      </c>
      <c r="Y20" s="11" t="s">
        <v>65</v>
      </c>
      <c r="Z20" s="11" t="s">
        <v>65</v>
      </c>
      <c r="AA20" s="11" t="s">
        <v>65</v>
      </c>
      <c r="AB20" s="11" t="s">
        <v>65</v>
      </c>
      <c r="AC20" s="11" t="s">
        <v>65</v>
      </c>
      <c r="AD20" s="11" t="s">
        <v>65</v>
      </c>
      <c r="AE20" s="11" t="s">
        <v>65</v>
      </c>
      <c r="AF20" s="11" t="s">
        <v>65</v>
      </c>
      <c r="AG20" s="11" t="s">
        <v>65</v>
      </c>
      <c r="AH20" s="11" t="s">
        <v>65</v>
      </c>
      <c r="AI20" s="11" t="s">
        <v>65</v>
      </c>
      <c r="AJ20" s="11">
        <v>1.22</v>
      </c>
      <c r="AK20" s="11">
        <v>0.53200000000000003</v>
      </c>
      <c r="AL20" s="11" t="s">
        <v>65</v>
      </c>
      <c r="AM20" s="11" t="s">
        <v>65</v>
      </c>
      <c r="AN20" s="11" t="s">
        <v>65</v>
      </c>
      <c r="AO20" s="11" t="s">
        <v>65</v>
      </c>
    </row>
    <row r="21" spans="1:41" x14ac:dyDescent="0.25">
      <c r="B21" t="s">
        <v>40</v>
      </c>
      <c r="D21" s="10" t="s">
        <v>65</v>
      </c>
      <c r="E21" s="11" t="s">
        <v>65</v>
      </c>
      <c r="F21" s="11" t="s">
        <v>65</v>
      </c>
      <c r="G21" s="11" t="s">
        <v>65</v>
      </c>
      <c r="H21" s="11" t="s">
        <v>65</v>
      </c>
      <c r="I21" s="11" t="s">
        <v>65</v>
      </c>
      <c r="J21" s="11" t="s">
        <v>65</v>
      </c>
      <c r="K21" s="11" t="s">
        <v>65</v>
      </c>
      <c r="L21" s="11" t="s">
        <v>65</v>
      </c>
      <c r="M21" s="11" t="s">
        <v>65</v>
      </c>
      <c r="N21" s="11" t="s">
        <v>65</v>
      </c>
      <c r="O21" s="10" t="s">
        <v>65</v>
      </c>
      <c r="P21" s="11" t="s">
        <v>65</v>
      </c>
      <c r="Q21" s="11" t="s">
        <v>65</v>
      </c>
      <c r="R21" s="11" t="s">
        <v>65</v>
      </c>
      <c r="S21" s="11">
        <v>1.38</v>
      </c>
      <c r="T21" s="11" t="s">
        <v>65</v>
      </c>
      <c r="U21" s="11" t="s">
        <v>65</v>
      </c>
      <c r="V21" s="11" t="s">
        <v>65</v>
      </c>
      <c r="W21" s="11" t="s">
        <v>65</v>
      </c>
      <c r="X21" s="11" t="s">
        <v>65</v>
      </c>
      <c r="Y21" s="11" t="s">
        <v>65</v>
      </c>
      <c r="Z21" s="11" t="s">
        <v>65</v>
      </c>
      <c r="AA21" s="11" t="s">
        <v>65</v>
      </c>
      <c r="AB21" s="11" t="s">
        <v>65</v>
      </c>
      <c r="AC21" s="11" t="s">
        <v>65</v>
      </c>
      <c r="AD21" s="11" t="s">
        <v>65</v>
      </c>
      <c r="AE21" s="11" t="s">
        <v>65</v>
      </c>
      <c r="AF21" s="11" t="s">
        <v>65</v>
      </c>
      <c r="AG21" s="11" t="s">
        <v>65</v>
      </c>
      <c r="AH21" s="11" t="s">
        <v>65</v>
      </c>
      <c r="AI21" s="11" t="s">
        <v>65</v>
      </c>
      <c r="AJ21" s="11">
        <v>0.745</v>
      </c>
      <c r="AK21" s="11" t="s">
        <v>65</v>
      </c>
      <c r="AL21" s="11" t="s">
        <v>65</v>
      </c>
      <c r="AM21" s="11" t="s">
        <v>65</v>
      </c>
      <c r="AN21" s="11" t="s">
        <v>65</v>
      </c>
      <c r="AO21" s="11" t="s">
        <v>65</v>
      </c>
    </row>
    <row r="22" spans="1:41" x14ac:dyDescent="0.25">
      <c r="B22" t="s">
        <v>41</v>
      </c>
      <c r="D22" s="10" t="s">
        <v>65</v>
      </c>
      <c r="E22" s="11" t="s">
        <v>65</v>
      </c>
      <c r="F22" s="11" t="s">
        <v>65</v>
      </c>
      <c r="G22" s="11" t="s">
        <v>65</v>
      </c>
      <c r="H22" s="11" t="s">
        <v>65</v>
      </c>
      <c r="I22" s="11" t="s">
        <v>65</v>
      </c>
      <c r="J22" s="11" t="s">
        <v>65</v>
      </c>
      <c r="K22" s="11" t="s">
        <v>65</v>
      </c>
      <c r="L22" s="11" t="s">
        <v>65</v>
      </c>
      <c r="M22" s="11" t="s">
        <v>65</v>
      </c>
      <c r="N22" s="11" t="s">
        <v>65</v>
      </c>
      <c r="O22" s="10" t="s">
        <v>65</v>
      </c>
      <c r="P22" s="11" t="s">
        <v>65</v>
      </c>
      <c r="Q22" s="11">
        <v>0.627</v>
      </c>
      <c r="R22" s="11" t="s">
        <v>65</v>
      </c>
      <c r="S22" s="11">
        <v>1.72</v>
      </c>
      <c r="T22" s="11" t="s">
        <v>65</v>
      </c>
      <c r="U22" s="11" t="s">
        <v>65</v>
      </c>
      <c r="V22" s="11" t="s">
        <v>65</v>
      </c>
      <c r="W22" s="11" t="s">
        <v>65</v>
      </c>
      <c r="X22" s="11" t="s">
        <v>65</v>
      </c>
      <c r="Y22" s="11" t="s">
        <v>65</v>
      </c>
      <c r="Z22" s="11" t="s">
        <v>65</v>
      </c>
      <c r="AA22" s="11" t="s">
        <v>65</v>
      </c>
      <c r="AB22" s="11" t="s">
        <v>65</v>
      </c>
      <c r="AC22" s="11" t="s">
        <v>65</v>
      </c>
      <c r="AD22" s="11" t="s">
        <v>65</v>
      </c>
      <c r="AE22" s="11" t="s">
        <v>65</v>
      </c>
      <c r="AF22" s="11" t="s">
        <v>65</v>
      </c>
      <c r="AG22" s="11" t="s">
        <v>65</v>
      </c>
      <c r="AH22" s="11" t="s">
        <v>65</v>
      </c>
      <c r="AI22" s="11" t="s">
        <v>65</v>
      </c>
      <c r="AJ22" s="11">
        <v>0.89400000000000002</v>
      </c>
      <c r="AK22" s="11" t="s">
        <v>65</v>
      </c>
      <c r="AL22" s="11" t="s">
        <v>65</v>
      </c>
      <c r="AM22" s="11" t="s">
        <v>65</v>
      </c>
      <c r="AN22" s="11" t="s">
        <v>65</v>
      </c>
      <c r="AO22" s="11" t="s">
        <v>65</v>
      </c>
    </row>
    <row r="23" spans="1:41" x14ac:dyDescent="0.25">
      <c r="A23" s="2">
        <v>45203</v>
      </c>
      <c r="B23" t="s">
        <v>36</v>
      </c>
      <c r="D23" s="19"/>
      <c r="E23" s="20"/>
      <c r="F23" s="20"/>
      <c r="G23" s="20"/>
      <c r="H23" s="20"/>
      <c r="I23" s="20"/>
      <c r="J23" s="20"/>
      <c r="K23" s="20"/>
      <c r="L23" s="20"/>
      <c r="M23" s="20"/>
      <c r="N23" s="20"/>
      <c r="O23" s="19"/>
      <c r="P23" s="20"/>
      <c r="Q23" s="20"/>
      <c r="R23" s="20"/>
      <c r="S23" s="20"/>
      <c r="T23" s="20"/>
      <c r="U23" s="20"/>
      <c r="V23" s="20"/>
      <c r="W23" s="20"/>
      <c r="X23" s="20"/>
      <c r="Y23" s="20"/>
      <c r="Z23" s="20"/>
      <c r="AA23" s="20"/>
      <c r="AB23" s="20"/>
      <c r="AC23" s="20"/>
      <c r="AD23" s="20"/>
      <c r="AE23" s="20"/>
      <c r="AF23" s="20"/>
      <c r="AG23" s="20"/>
      <c r="AH23" s="20"/>
      <c r="AI23" s="20"/>
      <c r="AJ23" s="20"/>
      <c r="AK23" s="20"/>
      <c r="AL23" s="20"/>
      <c r="AM23" s="20"/>
      <c r="AN23" s="20"/>
      <c r="AO23" s="20"/>
    </row>
    <row r="24" spans="1:41" x14ac:dyDescent="0.25">
      <c r="B24" t="s">
        <v>39</v>
      </c>
      <c r="D24" s="10" t="s">
        <v>65</v>
      </c>
      <c r="E24" s="11" t="s">
        <v>65</v>
      </c>
      <c r="F24" s="11" t="s">
        <v>65</v>
      </c>
      <c r="G24" s="11" t="s">
        <v>65</v>
      </c>
      <c r="H24" s="11" t="s">
        <v>65</v>
      </c>
      <c r="I24" s="11" t="s">
        <v>65</v>
      </c>
      <c r="J24" s="11" t="s">
        <v>65</v>
      </c>
      <c r="K24" s="11" t="s">
        <v>65</v>
      </c>
      <c r="L24" s="11" t="s">
        <v>65</v>
      </c>
      <c r="M24" s="11" t="s">
        <v>65</v>
      </c>
      <c r="N24" s="11" t="s">
        <v>65</v>
      </c>
      <c r="O24" s="10" t="s">
        <v>65</v>
      </c>
      <c r="P24" s="11" t="s">
        <v>65</v>
      </c>
      <c r="Q24" s="11" t="s">
        <v>65</v>
      </c>
      <c r="R24" s="11" t="s">
        <v>65</v>
      </c>
      <c r="S24" s="11" t="s">
        <v>65</v>
      </c>
      <c r="T24" s="11" t="s">
        <v>65</v>
      </c>
      <c r="U24" s="11" t="s">
        <v>65</v>
      </c>
      <c r="V24" s="11" t="s">
        <v>65</v>
      </c>
      <c r="W24" s="11" t="s">
        <v>65</v>
      </c>
      <c r="X24" s="11" t="s">
        <v>65</v>
      </c>
      <c r="Y24" s="11" t="s">
        <v>65</v>
      </c>
      <c r="Z24" s="11" t="s">
        <v>65</v>
      </c>
      <c r="AA24" s="11" t="s">
        <v>65</v>
      </c>
      <c r="AB24" s="11" t="s">
        <v>65</v>
      </c>
      <c r="AC24" s="11" t="s">
        <v>65</v>
      </c>
      <c r="AD24" s="11" t="s">
        <v>65</v>
      </c>
      <c r="AE24" s="11" t="s">
        <v>65</v>
      </c>
      <c r="AF24" s="11" t="s">
        <v>65</v>
      </c>
      <c r="AG24" s="11" t="s">
        <v>65</v>
      </c>
      <c r="AH24" s="11" t="s">
        <v>65</v>
      </c>
      <c r="AI24" s="11" t="s">
        <v>65</v>
      </c>
      <c r="AJ24" s="11" t="s">
        <v>65</v>
      </c>
      <c r="AK24" s="11" t="s">
        <v>65</v>
      </c>
      <c r="AL24" s="11" t="s">
        <v>65</v>
      </c>
      <c r="AM24" s="11" t="s">
        <v>65</v>
      </c>
      <c r="AN24" s="11" t="s">
        <v>65</v>
      </c>
      <c r="AO24" s="11" t="s">
        <v>65</v>
      </c>
    </row>
    <row r="25" spans="1:41" x14ac:dyDescent="0.25">
      <c r="B25" t="s">
        <v>40</v>
      </c>
      <c r="D25" s="10" t="s">
        <v>65</v>
      </c>
      <c r="E25" s="11" t="s">
        <v>65</v>
      </c>
      <c r="F25" s="11" t="s">
        <v>65</v>
      </c>
      <c r="G25" s="11" t="s">
        <v>65</v>
      </c>
      <c r="H25" s="11" t="s">
        <v>65</v>
      </c>
      <c r="I25" s="11" t="s">
        <v>65</v>
      </c>
      <c r="J25" s="11" t="s">
        <v>65</v>
      </c>
      <c r="K25" s="11" t="s">
        <v>65</v>
      </c>
      <c r="L25" s="11" t="s">
        <v>65</v>
      </c>
      <c r="M25" s="11" t="s">
        <v>65</v>
      </c>
      <c r="N25" s="11" t="s">
        <v>65</v>
      </c>
      <c r="O25" s="10" t="s">
        <v>65</v>
      </c>
      <c r="P25" s="11" t="s">
        <v>65</v>
      </c>
      <c r="Q25" s="11" t="s">
        <v>65</v>
      </c>
      <c r="R25" s="11" t="s">
        <v>65</v>
      </c>
      <c r="S25" s="11" t="s">
        <v>65</v>
      </c>
      <c r="T25" s="11" t="s">
        <v>65</v>
      </c>
      <c r="U25" s="11" t="s">
        <v>65</v>
      </c>
      <c r="V25" s="11" t="s">
        <v>65</v>
      </c>
      <c r="W25" s="11" t="s">
        <v>65</v>
      </c>
      <c r="X25" s="11" t="s">
        <v>65</v>
      </c>
      <c r="Y25" s="11" t="s">
        <v>65</v>
      </c>
      <c r="Z25" s="11" t="s">
        <v>65</v>
      </c>
      <c r="AA25" s="11" t="s">
        <v>65</v>
      </c>
      <c r="AB25" s="11" t="s">
        <v>65</v>
      </c>
      <c r="AC25" s="11" t="s">
        <v>65</v>
      </c>
      <c r="AD25" s="11" t="s">
        <v>65</v>
      </c>
      <c r="AE25" s="11" t="s">
        <v>65</v>
      </c>
      <c r="AF25" s="11" t="s">
        <v>65</v>
      </c>
      <c r="AG25" s="11" t="s">
        <v>65</v>
      </c>
      <c r="AH25" s="11" t="s">
        <v>65</v>
      </c>
      <c r="AI25" s="11" t="s">
        <v>65</v>
      </c>
      <c r="AJ25" s="11" t="s">
        <v>65</v>
      </c>
      <c r="AK25" s="11" t="s">
        <v>65</v>
      </c>
      <c r="AL25" s="11" t="s">
        <v>65</v>
      </c>
      <c r="AM25" s="11" t="s">
        <v>65</v>
      </c>
      <c r="AN25" s="11" t="s">
        <v>65</v>
      </c>
      <c r="AO25" s="11" t="s">
        <v>65</v>
      </c>
    </row>
    <row r="26" spans="1:41" x14ac:dyDescent="0.25">
      <c r="B26" t="s">
        <v>41</v>
      </c>
      <c r="D26" s="16" t="s">
        <v>65</v>
      </c>
      <c r="E26" s="17" t="s">
        <v>65</v>
      </c>
      <c r="F26" s="17" t="s">
        <v>65</v>
      </c>
      <c r="G26" s="17" t="s">
        <v>65</v>
      </c>
      <c r="H26" s="17" t="s">
        <v>65</v>
      </c>
      <c r="I26" s="17" t="s">
        <v>65</v>
      </c>
      <c r="J26" s="17" t="s">
        <v>65</v>
      </c>
      <c r="K26" s="17" t="s">
        <v>65</v>
      </c>
      <c r="L26" s="17" t="s">
        <v>65</v>
      </c>
      <c r="M26" s="17" t="s">
        <v>65</v>
      </c>
      <c r="N26" s="17" t="s">
        <v>65</v>
      </c>
      <c r="O26" s="16" t="s">
        <v>65</v>
      </c>
      <c r="P26" s="17" t="s">
        <v>65</v>
      </c>
      <c r="Q26" s="17" t="s">
        <v>65</v>
      </c>
      <c r="R26" s="17" t="s">
        <v>65</v>
      </c>
      <c r="S26" s="17" t="s">
        <v>65</v>
      </c>
      <c r="T26" s="17" t="s">
        <v>65</v>
      </c>
      <c r="U26" s="17" t="s">
        <v>65</v>
      </c>
      <c r="V26" s="17" t="s">
        <v>65</v>
      </c>
      <c r="W26" s="17" t="s">
        <v>65</v>
      </c>
      <c r="X26" s="17" t="s">
        <v>65</v>
      </c>
      <c r="Y26" s="17" t="s">
        <v>65</v>
      </c>
      <c r="Z26" s="17" t="s">
        <v>65</v>
      </c>
      <c r="AA26" s="17" t="s">
        <v>65</v>
      </c>
      <c r="AB26" s="17" t="s">
        <v>65</v>
      </c>
      <c r="AC26" s="17" t="s">
        <v>65</v>
      </c>
      <c r="AD26" s="17" t="s">
        <v>65</v>
      </c>
      <c r="AE26" s="17" t="s">
        <v>65</v>
      </c>
      <c r="AF26" s="17" t="s">
        <v>65</v>
      </c>
      <c r="AG26" s="17" t="s">
        <v>65</v>
      </c>
      <c r="AH26" s="17" t="s">
        <v>65</v>
      </c>
      <c r="AI26" s="17" t="s">
        <v>65</v>
      </c>
      <c r="AJ26" s="17" t="s">
        <v>65</v>
      </c>
      <c r="AK26" s="17" t="s">
        <v>65</v>
      </c>
      <c r="AL26" s="17" t="s">
        <v>65</v>
      </c>
      <c r="AM26" s="17" t="s">
        <v>65</v>
      </c>
      <c r="AN26" s="17" t="s">
        <v>65</v>
      </c>
      <c r="AO26" s="17" t="s">
        <v>65</v>
      </c>
    </row>
    <row r="27" spans="1:41" x14ac:dyDescent="0.25">
      <c r="B27" t="s">
        <v>36</v>
      </c>
      <c r="C27" s="31">
        <v>1</v>
      </c>
      <c r="D27" t="e">
        <f>LN(D15)</f>
        <v>#NUM!</v>
      </c>
      <c r="E27" t="e">
        <f t="shared" ref="E27:AO27" si="0">LN(E15)</f>
        <v>#NUM!</v>
      </c>
      <c r="F27" t="e">
        <f t="shared" si="0"/>
        <v>#NUM!</v>
      </c>
      <c r="G27" t="e">
        <f t="shared" si="0"/>
        <v>#NUM!</v>
      </c>
      <c r="H27" t="e">
        <f t="shared" si="0"/>
        <v>#NUM!</v>
      </c>
      <c r="I27" t="e">
        <f t="shared" si="0"/>
        <v>#NUM!</v>
      </c>
      <c r="J27" t="e">
        <f t="shared" si="0"/>
        <v>#NUM!</v>
      </c>
      <c r="K27" t="e">
        <f t="shared" si="0"/>
        <v>#NUM!</v>
      </c>
      <c r="L27" t="e">
        <f t="shared" si="0"/>
        <v>#NUM!</v>
      </c>
      <c r="M27" t="e">
        <f t="shared" si="0"/>
        <v>#NUM!</v>
      </c>
      <c r="N27" t="e">
        <f t="shared" si="0"/>
        <v>#NUM!</v>
      </c>
      <c r="O27" t="e">
        <f t="shared" si="0"/>
        <v>#NUM!</v>
      </c>
      <c r="P27" t="e">
        <f t="shared" si="0"/>
        <v>#NUM!</v>
      </c>
      <c r="Q27" t="e">
        <f t="shared" si="0"/>
        <v>#NUM!</v>
      </c>
      <c r="R27" t="e">
        <f t="shared" si="0"/>
        <v>#NUM!</v>
      </c>
      <c r="S27" t="e">
        <f t="shared" si="0"/>
        <v>#NUM!</v>
      </c>
      <c r="T27" t="e">
        <f t="shared" si="0"/>
        <v>#NUM!</v>
      </c>
      <c r="U27" t="e">
        <f t="shared" si="0"/>
        <v>#NUM!</v>
      </c>
      <c r="V27" t="e">
        <f t="shared" si="0"/>
        <v>#NUM!</v>
      </c>
      <c r="W27" t="e">
        <f t="shared" si="0"/>
        <v>#NUM!</v>
      </c>
      <c r="X27" t="e">
        <f t="shared" si="0"/>
        <v>#NUM!</v>
      </c>
      <c r="Y27" t="e">
        <f t="shared" si="0"/>
        <v>#NUM!</v>
      </c>
      <c r="Z27" t="e">
        <f t="shared" si="0"/>
        <v>#NUM!</v>
      </c>
      <c r="AA27" t="e">
        <f t="shared" si="0"/>
        <v>#NUM!</v>
      </c>
      <c r="AB27" t="e">
        <f t="shared" si="0"/>
        <v>#NUM!</v>
      </c>
      <c r="AC27" t="e">
        <f t="shared" si="0"/>
        <v>#NUM!</v>
      </c>
      <c r="AD27" t="e">
        <f t="shared" si="0"/>
        <v>#NUM!</v>
      </c>
      <c r="AE27" t="e">
        <f t="shared" si="0"/>
        <v>#NUM!</v>
      </c>
      <c r="AF27" t="e">
        <f t="shared" si="0"/>
        <v>#NUM!</v>
      </c>
      <c r="AG27" t="e">
        <f t="shared" si="0"/>
        <v>#NUM!</v>
      </c>
      <c r="AH27" t="e">
        <f t="shared" si="0"/>
        <v>#NUM!</v>
      </c>
      <c r="AI27" t="e">
        <f t="shared" si="0"/>
        <v>#NUM!</v>
      </c>
      <c r="AJ27" t="e">
        <f t="shared" si="0"/>
        <v>#NUM!</v>
      </c>
      <c r="AK27" t="e">
        <f t="shared" si="0"/>
        <v>#NUM!</v>
      </c>
      <c r="AL27" t="e">
        <f t="shared" si="0"/>
        <v>#NUM!</v>
      </c>
      <c r="AM27" t="e">
        <f t="shared" si="0"/>
        <v>#NUM!</v>
      </c>
      <c r="AN27" t="e">
        <f t="shared" si="0"/>
        <v>#NUM!</v>
      </c>
      <c r="AO27" t="e">
        <f t="shared" si="0"/>
        <v>#NUM!</v>
      </c>
    </row>
    <row r="28" spans="1:41" x14ac:dyDescent="0.25">
      <c r="C28" s="31">
        <v>5</v>
      </c>
      <c r="D28" t="e">
        <f t="shared" ref="D28:AO28" si="1">LN(D19)</f>
        <v>#NUM!</v>
      </c>
      <c r="E28" t="e">
        <f t="shared" si="1"/>
        <v>#NUM!</v>
      </c>
      <c r="F28" t="e">
        <f t="shared" si="1"/>
        <v>#NUM!</v>
      </c>
      <c r="G28" t="e">
        <f t="shared" si="1"/>
        <v>#NUM!</v>
      </c>
      <c r="H28" t="e">
        <f t="shared" si="1"/>
        <v>#NUM!</v>
      </c>
      <c r="I28" t="e">
        <f t="shared" si="1"/>
        <v>#NUM!</v>
      </c>
      <c r="J28" t="e">
        <f t="shared" si="1"/>
        <v>#NUM!</v>
      </c>
      <c r="K28" t="e">
        <f t="shared" si="1"/>
        <v>#NUM!</v>
      </c>
      <c r="L28" t="e">
        <f t="shared" si="1"/>
        <v>#NUM!</v>
      </c>
      <c r="M28" t="e">
        <f t="shared" si="1"/>
        <v>#NUM!</v>
      </c>
      <c r="N28" t="e">
        <f t="shared" si="1"/>
        <v>#NUM!</v>
      </c>
      <c r="O28" t="e">
        <f t="shared" si="1"/>
        <v>#NUM!</v>
      </c>
      <c r="P28" t="e">
        <f t="shared" si="1"/>
        <v>#NUM!</v>
      </c>
      <c r="Q28" t="e">
        <f t="shared" si="1"/>
        <v>#NUM!</v>
      </c>
      <c r="R28" t="e">
        <f t="shared" si="1"/>
        <v>#NUM!</v>
      </c>
      <c r="S28" t="e">
        <f t="shared" si="1"/>
        <v>#NUM!</v>
      </c>
      <c r="T28" t="e">
        <f t="shared" si="1"/>
        <v>#NUM!</v>
      </c>
      <c r="U28" t="e">
        <f t="shared" si="1"/>
        <v>#NUM!</v>
      </c>
      <c r="V28" t="e">
        <f t="shared" si="1"/>
        <v>#NUM!</v>
      </c>
      <c r="W28" t="e">
        <f t="shared" si="1"/>
        <v>#NUM!</v>
      </c>
      <c r="X28" t="e">
        <f t="shared" si="1"/>
        <v>#NUM!</v>
      </c>
      <c r="Y28" t="e">
        <f t="shared" si="1"/>
        <v>#NUM!</v>
      </c>
      <c r="Z28" t="e">
        <f t="shared" si="1"/>
        <v>#NUM!</v>
      </c>
      <c r="AA28" t="e">
        <f t="shared" si="1"/>
        <v>#NUM!</v>
      </c>
      <c r="AB28" t="e">
        <f t="shared" si="1"/>
        <v>#NUM!</v>
      </c>
      <c r="AC28" t="e">
        <f t="shared" si="1"/>
        <v>#NUM!</v>
      </c>
      <c r="AD28" t="e">
        <f t="shared" si="1"/>
        <v>#NUM!</v>
      </c>
      <c r="AE28" t="e">
        <f t="shared" si="1"/>
        <v>#NUM!</v>
      </c>
      <c r="AF28" t="e">
        <f t="shared" si="1"/>
        <v>#NUM!</v>
      </c>
      <c r="AG28" t="e">
        <f t="shared" si="1"/>
        <v>#NUM!</v>
      </c>
      <c r="AH28" t="e">
        <f t="shared" si="1"/>
        <v>#NUM!</v>
      </c>
      <c r="AI28" t="e">
        <f t="shared" si="1"/>
        <v>#NUM!</v>
      </c>
      <c r="AJ28" t="e">
        <f t="shared" si="1"/>
        <v>#NUM!</v>
      </c>
      <c r="AK28" t="e">
        <f t="shared" si="1"/>
        <v>#NUM!</v>
      </c>
      <c r="AL28" t="e">
        <f t="shared" si="1"/>
        <v>#NUM!</v>
      </c>
      <c r="AM28" t="e">
        <f t="shared" si="1"/>
        <v>#NUM!</v>
      </c>
      <c r="AN28" t="e">
        <f t="shared" si="1"/>
        <v>#NUM!</v>
      </c>
      <c r="AO28" t="e">
        <f t="shared" si="1"/>
        <v>#NUM!</v>
      </c>
    </row>
    <row r="29" spans="1:41" x14ac:dyDescent="0.25">
      <c r="C29" s="31">
        <v>80</v>
      </c>
      <c r="D29" t="e">
        <f t="shared" ref="D29:AO29" si="2">LN(D23)</f>
        <v>#NUM!</v>
      </c>
      <c r="E29" t="e">
        <f t="shared" si="2"/>
        <v>#NUM!</v>
      </c>
      <c r="F29" t="e">
        <f t="shared" si="2"/>
        <v>#NUM!</v>
      </c>
      <c r="G29" t="e">
        <f t="shared" si="2"/>
        <v>#NUM!</v>
      </c>
      <c r="H29" t="e">
        <f t="shared" si="2"/>
        <v>#NUM!</v>
      </c>
      <c r="I29" t="e">
        <f t="shared" si="2"/>
        <v>#NUM!</v>
      </c>
      <c r="J29" t="e">
        <f t="shared" si="2"/>
        <v>#NUM!</v>
      </c>
      <c r="K29" t="e">
        <f t="shared" si="2"/>
        <v>#NUM!</v>
      </c>
      <c r="L29" t="e">
        <f t="shared" si="2"/>
        <v>#NUM!</v>
      </c>
      <c r="M29" t="e">
        <f t="shared" si="2"/>
        <v>#NUM!</v>
      </c>
      <c r="N29" t="e">
        <f t="shared" si="2"/>
        <v>#NUM!</v>
      </c>
      <c r="O29" t="e">
        <f t="shared" si="2"/>
        <v>#NUM!</v>
      </c>
      <c r="P29" t="e">
        <f t="shared" si="2"/>
        <v>#NUM!</v>
      </c>
      <c r="Q29" t="e">
        <f t="shared" si="2"/>
        <v>#NUM!</v>
      </c>
      <c r="R29" t="e">
        <f t="shared" si="2"/>
        <v>#NUM!</v>
      </c>
      <c r="S29" t="e">
        <f t="shared" si="2"/>
        <v>#NUM!</v>
      </c>
      <c r="T29" t="e">
        <f t="shared" si="2"/>
        <v>#NUM!</v>
      </c>
      <c r="U29" t="e">
        <f t="shared" si="2"/>
        <v>#NUM!</v>
      </c>
      <c r="V29" t="e">
        <f t="shared" si="2"/>
        <v>#NUM!</v>
      </c>
      <c r="W29" t="e">
        <f t="shared" si="2"/>
        <v>#NUM!</v>
      </c>
      <c r="X29" t="e">
        <f t="shared" si="2"/>
        <v>#NUM!</v>
      </c>
      <c r="Y29" t="e">
        <f t="shared" si="2"/>
        <v>#NUM!</v>
      </c>
      <c r="Z29" t="e">
        <f t="shared" si="2"/>
        <v>#NUM!</v>
      </c>
      <c r="AA29" t="e">
        <f t="shared" si="2"/>
        <v>#NUM!</v>
      </c>
      <c r="AB29" t="e">
        <f t="shared" si="2"/>
        <v>#NUM!</v>
      </c>
      <c r="AC29" t="e">
        <f t="shared" si="2"/>
        <v>#NUM!</v>
      </c>
      <c r="AD29" t="e">
        <f t="shared" si="2"/>
        <v>#NUM!</v>
      </c>
      <c r="AE29" t="e">
        <f t="shared" si="2"/>
        <v>#NUM!</v>
      </c>
      <c r="AF29" t="e">
        <f t="shared" si="2"/>
        <v>#NUM!</v>
      </c>
      <c r="AG29" t="e">
        <f t="shared" si="2"/>
        <v>#NUM!</v>
      </c>
      <c r="AH29" t="e">
        <f t="shared" si="2"/>
        <v>#NUM!</v>
      </c>
      <c r="AI29" t="e">
        <f t="shared" si="2"/>
        <v>#NUM!</v>
      </c>
      <c r="AJ29" t="e">
        <f t="shared" si="2"/>
        <v>#NUM!</v>
      </c>
      <c r="AK29" t="e">
        <f t="shared" si="2"/>
        <v>#NUM!</v>
      </c>
      <c r="AL29" t="e">
        <f t="shared" si="2"/>
        <v>#NUM!</v>
      </c>
      <c r="AM29" t="e">
        <f t="shared" si="2"/>
        <v>#NUM!</v>
      </c>
      <c r="AN29" t="e">
        <f t="shared" si="2"/>
        <v>#NUM!</v>
      </c>
      <c r="AO29" t="e">
        <f t="shared" si="2"/>
        <v>#NUM!</v>
      </c>
    </row>
    <row r="30" spans="1:41" x14ac:dyDescent="0.25">
      <c r="C30" s="31" t="s">
        <v>106</v>
      </c>
    </row>
    <row r="31" spans="1:41" x14ac:dyDescent="0.25">
      <c r="B31" t="s">
        <v>39</v>
      </c>
      <c r="C31" s="31">
        <v>1</v>
      </c>
      <c r="D31">
        <f t="shared" ref="D31:AO31" si="3">LN(D16)</f>
        <v>4.0715875750994845</v>
      </c>
      <c r="E31">
        <f t="shared" si="3"/>
        <v>2.7472709142554912</v>
      </c>
      <c r="F31">
        <f t="shared" si="3"/>
        <v>1.328400382700988</v>
      </c>
      <c r="G31">
        <f t="shared" si="3"/>
        <v>0.10436001532424286</v>
      </c>
      <c r="H31">
        <f t="shared" si="3"/>
        <v>2.7278528283983898</v>
      </c>
      <c r="I31" t="e">
        <f t="shared" si="3"/>
        <v>#VALUE!</v>
      </c>
      <c r="J31" t="e">
        <f t="shared" si="3"/>
        <v>#VALUE!</v>
      </c>
      <c r="K31" t="e">
        <f t="shared" si="3"/>
        <v>#VALUE!</v>
      </c>
      <c r="L31" t="e">
        <f t="shared" si="3"/>
        <v>#VALUE!</v>
      </c>
      <c r="M31" t="e">
        <f t="shared" si="3"/>
        <v>#VALUE!</v>
      </c>
      <c r="N31" t="e">
        <f t="shared" si="3"/>
        <v>#VALUE!</v>
      </c>
      <c r="O31" t="e">
        <f t="shared" si="3"/>
        <v>#VALUE!</v>
      </c>
      <c r="P31" t="e">
        <f t="shared" si="3"/>
        <v>#VALUE!</v>
      </c>
      <c r="Q31">
        <f t="shared" si="3"/>
        <v>-0.22251874654536768</v>
      </c>
      <c r="R31" t="e">
        <f t="shared" si="3"/>
        <v>#VALUE!</v>
      </c>
      <c r="S31">
        <f t="shared" si="3"/>
        <v>0.89404512292683547</v>
      </c>
      <c r="T31" t="e">
        <f t="shared" si="3"/>
        <v>#VALUE!</v>
      </c>
      <c r="U31" t="e">
        <f t="shared" si="3"/>
        <v>#VALUE!</v>
      </c>
      <c r="V31" t="e">
        <f t="shared" si="3"/>
        <v>#VALUE!</v>
      </c>
      <c r="W31" t="e">
        <f t="shared" si="3"/>
        <v>#VALUE!</v>
      </c>
      <c r="X31" t="e">
        <f t="shared" si="3"/>
        <v>#VALUE!</v>
      </c>
      <c r="Y31" t="e">
        <f t="shared" si="3"/>
        <v>#VALUE!</v>
      </c>
      <c r="Z31" t="e">
        <f t="shared" si="3"/>
        <v>#VALUE!</v>
      </c>
      <c r="AA31">
        <f t="shared" si="3"/>
        <v>1.2325602611778486</v>
      </c>
      <c r="AB31" t="e">
        <f t="shared" si="3"/>
        <v>#VALUE!</v>
      </c>
      <c r="AC31" t="e">
        <f t="shared" si="3"/>
        <v>#VALUE!</v>
      </c>
      <c r="AD31" t="e">
        <f t="shared" si="3"/>
        <v>#VALUE!</v>
      </c>
      <c r="AE31" t="e">
        <f t="shared" si="3"/>
        <v>#VALUE!</v>
      </c>
      <c r="AF31" t="e">
        <f t="shared" si="3"/>
        <v>#VALUE!</v>
      </c>
      <c r="AG31" t="e">
        <f t="shared" si="3"/>
        <v>#VALUE!</v>
      </c>
      <c r="AH31" t="e">
        <f t="shared" si="3"/>
        <v>#VALUE!</v>
      </c>
      <c r="AI31" t="e">
        <f t="shared" si="3"/>
        <v>#VALUE!</v>
      </c>
      <c r="AJ31">
        <f t="shared" si="3"/>
        <v>0.17814618538347404</v>
      </c>
      <c r="AK31">
        <f t="shared" si="3"/>
        <v>-0.23698895813626292</v>
      </c>
      <c r="AL31" t="e">
        <f t="shared" si="3"/>
        <v>#VALUE!</v>
      </c>
      <c r="AM31" t="e">
        <f t="shared" si="3"/>
        <v>#VALUE!</v>
      </c>
      <c r="AN31" t="e">
        <f t="shared" si="3"/>
        <v>#VALUE!</v>
      </c>
      <c r="AO31" t="e">
        <f t="shared" si="3"/>
        <v>#VALUE!</v>
      </c>
    </row>
    <row r="32" spans="1:41" x14ac:dyDescent="0.25">
      <c r="C32" s="31">
        <v>5</v>
      </c>
      <c r="D32">
        <f t="shared" ref="D32:AO32" si="4">LN(D20)</f>
        <v>-0.48450831544861728</v>
      </c>
      <c r="E32" t="e">
        <f t="shared" si="4"/>
        <v>#VALUE!</v>
      </c>
      <c r="F32" t="e">
        <f t="shared" si="4"/>
        <v>#VALUE!</v>
      </c>
      <c r="G32" t="e">
        <f t="shared" si="4"/>
        <v>#VALUE!</v>
      </c>
      <c r="H32" t="e">
        <f t="shared" si="4"/>
        <v>#VALUE!</v>
      </c>
      <c r="I32" t="e">
        <f t="shared" si="4"/>
        <v>#VALUE!</v>
      </c>
      <c r="J32" t="e">
        <f t="shared" si="4"/>
        <v>#VALUE!</v>
      </c>
      <c r="K32" t="e">
        <f t="shared" si="4"/>
        <v>#VALUE!</v>
      </c>
      <c r="L32" t="e">
        <f t="shared" si="4"/>
        <v>#VALUE!</v>
      </c>
      <c r="M32" t="e">
        <f t="shared" si="4"/>
        <v>#VALUE!</v>
      </c>
      <c r="N32" t="e">
        <f t="shared" si="4"/>
        <v>#VALUE!</v>
      </c>
      <c r="O32" t="e">
        <f t="shared" si="4"/>
        <v>#VALUE!</v>
      </c>
      <c r="P32" t="e">
        <f t="shared" si="4"/>
        <v>#VALUE!</v>
      </c>
      <c r="Q32">
        <f t="shared" si="4"/>
        <v>-0.29840603581475661</v>
      </c>
      <c r="R32" t="e">
        <f t="shared" si="4"/>
        <v>#VALUE!</v>
      </c>
      <c r="S32">
        <f t="shared" si="4"/>
        <v>0.636576829071551</v>
      </c>
      <c r="T32" t="e">
        <f t="shared" si="4"/>
        <v>#VALUE!</v>
      </c>
      <c r="U32" t="e">
        <f t="shared" si="4"/>
        <v>#VALUE!</v>
      </c>
      <c r="V32" t="e">
        <f t="shared" si="4"/>
        <v>#VALUE!</v>
      </c>
      <c r="W32" t="e">
        <f t="shared" si="4"/>
        <v>#VALUE!</v>
      </c>
      <c r="X32" t="e">
        <f t="shared" si="4"/>
        <v>#VALUE!</v>
      </c>
      <c r="Y32" t="e">
        <f t="shared" si="4"/>
        <v>#VALUE!</v>
      </c>
      <c r="Z32" t="e">
        <f t="shared" si="4"/>
        <v>#VALUE!</v>
      </c>
      <c r="AA32" t="e">
        <f t="shared" si="4"/>
        <v>#VALUE!</v>
      </c>
      <c r="AB32" t="e">
        <f t="shared" si="4"/>
        <v>#VALUE!</v>
      </c>
      <c r="AC32" t="e">
        <f t="shared" si="4"/>
        <v>#VALUE!</v>
      </c>
      <c r="AD32" t="e">
        <f t="shared" si="4"/>
        <v>#VALUE!</v>
      </c>
      <c r="AE32" t="e">
        <f t="shared" si="4"/>
        <v>#VALUE!</v>
      </c>
      <c r="AF32" t="e">
        <f t="shared" si="4"/>
        <v>#VALUE!</v>
      </c>
      <c r="AG32" t="e">
        <f t="shared" si="4"/>
        <v>#VALUE!</v>
      </c>
      <c r="AH32" t="e">
        <f t="shared" si="4"/>
        <v>#VALUE!</v>
      </c>
      <c r="AI32" t="e">
        <f t="shared" si="4"/>
        <v>#VALUE!</v>
      </c>
      <c r="AJ32">
        <f t="shared" si="4"/>
        <v>0.19885085874516517</v>
      </c>
      <c r="AK32">
        <f t="shared" si="4"/>
        <v>-0.63111178964049264</v>
      </c>
      <c r="AL32" t="e">
        <f t="shared" si="4"/>
        <v>#VALUE!</v>
      </c>
      <c r="AM32" t="e">
        <f t="shared" si="4"/>
        <v>#VALUE!</v>
      </c>
      <c r="AN32" t="e">
        <f t="shared" si="4"/>
        <v>#VALUE!</v>
      </c>
      <c r="AO32" t="e">
        <f t="shared" si="4"/>
        <v>#VALUE!</v>
      </c>
    </row>
    <row r="33" spans="2:41" x14ac:dyDescent="0.25">
      <c r="C33" s="31">
        <v>80</v>
      </c>
      <c r="D33" t="e">
        <f t="shared" ref="D33:AO33" si="5">LN(D24)</f>
        <v>#VALUE!</v>
      </c>
      <c r="E33" t="e">
        <f t="shared" si="5"/>
        <v>#VALUE!</v>
      </c>
      <c r="F33" t="e">
        <f t="shared" si="5"/>
        <v>#VALUE!</v>
      </c>
      <c r="G33" t="e">
        <f t="shared" si="5"/>
        <v>#VALUE!</v>
      </c>
      <c r="H33" t="e">
        <f t="shared" si="5"/>
        <v>#VALUE!</v>
      </c>
      <c r="I33" t="e">
        <f t="shared" si="5"/>
        <v>#VALUE!</v>
      </c>
      <c r="J33" t="e">
        <f t="shared" si="5"/>
        <v>#VALUE!</v>
      </c>
      <c r="K33" t="e">
        <f t="shared" si="5"/>
        <v>#VALUE!</v>
      </c>
      <c r="L33" t="e">
        <f t="shared" si="5"/>
        <v>#VALUE!</v>
      </c>
      <c r="M33" t="e">
        <f t="shared" si="5"/>
        <v>#VALUE!</v>
      </c>
      <c r="N33" t="e">
        <f t="shared" si="5"/>
        <v>#VALUE!</v>
      </c>
      <c r="O33" t="e">
        <f t="shared" si="5"/>
        <v>#VALUE!</v>
      </c>
      <c r="P33" t="e">
        <f t="shared" si="5"/>
        <v>#VALUE!</v>
      </c>
      <c r="Q33" t="e">
        <f t="shared" si="5"/>
        <v>#VALUE!</v>
      </c>
      <c r="R33" t="e">
        <f t="shared" si="5"/>
        <v>#VALUE!</v>
      </c>
      <c r="S33" t="e">
        <f t="shared" si="5"/>
        <v>#VALUE!</v>
      </c>
      <c r="T33" t="e">
        <f t="shared" si="5"/>
        <v>#VALUE!</v>
      </c>
      <c r="U33" t="e">
        <f t="shared" si="5"/>
        <v>#VALUE!</v>
      </c>
      <c r="V33" t="e">
        <f t="shared" si="5"/>
        <v>#VALUE!</v>
      </c>
      <c r="W33" t="e">
        <f t="shared" si="5"/>
        <v>#VALUE!</v>
      </c>
      <c r="X33" t="e">
        <f t="shared" si="5"/>
        <v>#VALUE!</v>
      </c>
      <c r="Y33" t="e">
        <f t="shared" si="5"/>
        <v>#VALUE!</v>
      </c>
      <c r="Z33" t="e">
        <f t="shared" si="5"/>
        <v>#VALUE!</v>
      </c>
      <c r="AA33" t="e">
        <f t="shared" si="5"/>
        <v>#VALUE!</v>
      </c>
      <c r="AB33" t="e">
        <f t="shared" si="5"/>
        <v>#VALUE!</v>
      </c>
      <c r="AC33" t="e">
        <f t="shared" si="5"/>
        <v>#VALUE!</v>
      </c>
      <c r="AD33" t="e">
        <f t="shared" si="5"/>
        <v>#VALUE!</v>
      </c>
      <c r="AE33" t="e">
        <f t="shared" si="5"/>
        <v>#VALUE!</v>
      </c>
      <c r="AF33" t="e">
        <f t="shared" si="5"/>
        <v>#VALUE!</v>
      </c>
      <c r="AG33" t="e">
        <f t="shared" si="5"/>
        <v>#VALUE!</v>
      </c>
      <c r="AH33" t="e">
        <f t="shared" si="5"/>
        <v>#VALUE!</v>
      </c>
      <c r="AI33" t="e">
        <f t="shared" si="5"/>
        <v>#VALUE!</v>
      </c>
      <c r="AJ33" t="e">
        <f t="shared" si="5"/>
        <v>#VALUE!</v>
      </c>
      <c r="AK33" t="e">
        <f t="shared" si="5"/>
        <v>#VALUE!</v>
      </c>
      <c r="AL33" t="e">
        <f t="shared" si="5"/>
        <v>#VALUE!</v>
      </c>
      <c r="AM33" t="e">
        <f t="shared" si="5"/>
        <v>#VALUE!</v>
      </c>
      <c r="AN33" t="e">
        <f t="shared" si="5"/>
        <v>#VALUE!</v>
      </c>
      <c r="AO33" t="e">
        <f t="shared" si="5"/>
        <v>#VALUE!</v>
      </c>
    </row>
    <row r="34" spans="2:41" x14ac:dyDescent="0.25">
      <c r="C34" s="31" t="s">
        <v>106</v>
      </c>
      <c r="D34">
        <v>1.139</v>
      </c>
      <c r="Q34">
        <v>1.9E-2</v>
      </c>
      <c r="S34">
        <v>6.4399999999999999E-2</v>
      </c>
      <c r="V34" s="30"/>
      <c r="W34" s="30"/>
      <c r="AJ34" s="30">
        <v>5.1999999999999998E-3</v>
      </c>
      <c r="AK34">
        <v>9.8500000000000004E-2</v>
      </c>
      <c r="AM34" s="30"/>
      <c r="AN34" s="30"/>
      <c r="AO34" s="30"/>
    </row>
    <row r="35" spans="2:41" x14ac:dyDescent="0.25">
      <c r="B35" t="s">
        <v>40</v>
      </c>
      <c r="C35" s="31">
        <v>1</v>
      </c>
      <c r="D35">
        <f t="shared" ref="D35:AO35" si="6">LN(D17)</f>
        <v>2.6672282065819548</v>
      </c>
      <c r="E35">
        <f t="shared" si="6"/>
        <v>1.3056264580524357</v>
      </c>
      <c r="F35">
        <f t="shared" si="6"/>
        <v>-0.24079848655293046</v>
      </c>
      <c r="G35" t="e">
        <f t="shared" si="6"/>
        <v>#VALUE!</v>
      </c>
      <c r="H35">
        <f t="shared" si="6"/>
        <v>1.3110318766193438</v>
      </c>
      <c r="I35" t="e">
        <f t="shared" si="6"/>
        <v>#VALUE!</v>
      </c>
      <c r="J35" t="e">
        <f t="shared" si="6"/>
        <v>#VALUE!</v>
      </c>
      <c r="K35" t="e">
        <f t="shared" si="6"/>
        <v>#VALUE!</v>
      </c>
      <c r="L35" t="e">
        <f t="shared" si="6"/>
        <v>#VALUE!</v>
      </c>
      <c r="M35" t="e">
        <f t="shared" si="6"/>
        <v>#VALUE!</v>
      </c>
      <c r="N35" t="e">
        <f t="shared" si="6"/>
        <v>#VALUE!</v>
      </c>
      <c r="O35" t="e">
        <f t="shared" si="6"/>
        <v>#VALUE!</v>
      </c>
      <c r="P35" t="e">
        <f t="shared" si="6"/>
        <v>#VALUE!</v>
      </c>
      <c r="Q35" t="e">
        <f t="shared" si="6"/>
        <v>#VALUE!</v>
      </c>
      <c r="R35" t="e">
        <f t="shared" si="6"/>
        <v>#VALUE!</v>
      </c>
      <c r="S35">
        <f t="shared" si="6"/>
        <v>-0.34531118528841737</v>
      </c>
      <c r="T35" t="e">
        <f t="shared" si="6"/>
        <v>#VALUE!</v>
      </c>
      <c r="U35" t="e">
        <f t="shared" si="6"/>
        <v>#VALUE!</v>
      </c>
      <c r="V35" t="e">
        <f t="shared" si="6"/>
        <v>#VALUE!</v>
      </c>
      <c r="W35" t="e">
        <f t="shared" si="6"/>
        <v>#VALUE!</v>
      </c>
      <c r="X35" t="e">
        <f t="shared" si="6"/>
        <v>#VALUE!</v>
      </c>
      <c r="Y35" t="e">
        <f t="shared" si="6"/>
        <v>#VALUE!</v>
      </c>
      <c r="Z35" t="e">
        <f t="shared" si="6"/>
        <v>#VALUE!</v>
      </c>
      <c r="AA35">
        <f t="shared" si="6"/>
        <v>-0.37687765125625172</v>
      </c>
      <c r="AB35" t="e">
        <f t="shared" si="6"/>
        <v>#VALUE!</v>
      </c>
      <c r="AC35" t="e">
        <f t="shared" si="6"/>
        <v>#VALUE!</v>
      </c>
      <c r="AD35" t="e">
        <f t="shared" si="6"/>
        <v>#VALUE!</v>
      </c>
      <c r="AE35" t="e">
        <f t="shared" si="6"/>
        <v>#VALUE!</v>
      </c>
      <c r="AF35" t="e">
        <f t="shared" si="6"/>
        <v>#VALUE!</v>
      </c>
      <c r="AG35" t="e">
        <f t="shared" si="6"/>
        <v>#VALUE!</v>
      </c>
      <c r="AH35" t="e">
        <f t="shared" si="6"/>
        <v>#VALUE!</v>
      </c>
      <c r="AI35" t="e">
        <f t="shared" si="6"/>
        <v>#VALUE!</v>
      </c>
      <c r="AJ35" t="e">
        <f t="shared" si="6"/>
        <v>#VALUE!</v>
      </c>
      <c r="AK35" t="e">
        <f t="shared" si="6"/>
        <v>#VALUE!</v>
      </c>
      <c r="AL35" t="e">
        <f t="shared" si="6"/>
        <v>#VALUE!</v>
      </c>
      <c r="AM35" t="e">
        <f t="shared" si="6"/>
        <v>#VALUE!</v>
      </c>
      <c r="AN35" t="e">
        <f t="shared" si="6"/>
        <v>#VALUE!</v>
      </c>
      <c r="AO35" t="e">
        <f t="shared" si="6"/>
        <v>#VALUE!</v>
      </c>
    </row>
    <row r="36" spans="2:41" x14ac:dyDescent="0.25">
      <c r="C36" s="31">
        <v>5</v>
      </c>
      <c r="D36" t="e">
        <f t="shared" ref="D36:AO36" si="7">LN(D21)</f>
        <v>#VALUE!</v>
      </c>
      <c r="E36" t="e">
        <f t="shared" si="7"/>
        <v>#VALUE!</v>
      </c>
      <c r="F36" t="e">
        <f t="shared" si="7"/>
        <v>#VALUE!</v>
      </c>
      <c r="G36" t="e">
        <f t="shared" si="7"/>
        <v>#VALUE!</v>
      </c>
      <c r="H36" t="e">
        <f t="shared" si="7"/>
        <v>#VALUE!</v>
      </c>
      <c r="I36" t="e">
        <f t="shared" si="7"/>
        <v>#VALUE!</v>
      </c>
      <c r="J36" t="e">
        <f t="shared" si="7"/>
        <v>#VALUE!</v>
      </c>
      <c r="K36" t="e">
        <f t="shared" si="7"/>
        <v>#VALUE!</v>
      </c>
      <c r="L36" t="e">
        <f t="shared" si="7"/>
        <v>#VALUE!</v>
      </c>
      <c r="M36" t="e">
        <f t="shared" si="7"/>
        <v>#VALUE!</v>
      </c>
      <c r="N36" t="e">
        <f t="shared" si="7"/>
        <v>#VALUE!</v>
      </c>
      <c r="O36" t="e">
        <f t="shared" si="7"/>
        <v>#VALUE!</v>
      </c>
      <c r="P36" t="e">
        <f t="shared" si="7"/>
        <v>#VALUE!</v>
      </c>
      <c r="Q36" t="e">
        <f t="shared" si="7"/>
        <v>#VALUE!</v>
      </c>
      <c r="R36" t="e">
        <f t="shared" si="7"/>
        <v>#VALUE!</v>
      </c>
      <c r="S36">
        <f t="shared" si="7"/>
        <v>0.32208349916911322</v>
      </c>
      <c r="T36" t="e">
        <f t="shared" si="7"/>
        <v>#VALUE!</v>
      </c>
      <c r="U36" t="e">
        <f t="shared" si="7"/>
        <v>#VALUE!</v>
      </c>
      <c r="V36" t="e">
        <f t="shared" si="7"/>
        <v>#VALUE!</v>
      </c>
      <c r="W36" t="e">
        <f t="shared" si="7"/>
        <v>#VALUE!</v>
      </c>
      <c r="X36" t="e">
        <f t="shared" si="7"/>
        <v>#VALUE!</v>
      </c>
      <c r="Y36" t="e">
        <f t="shared" si="7"/>
        <v>#VALUE!</v>
      </c>
      <c r="Z36" t="e">
        <f t="shared" si="7"/>
        <v>#VALUE!</v>
      </c>
      <c r="AA36" t="e">
        <f t="shared" si="7"/>
        <v>#VALUE!</v>
      </c>
      <c r="AB36" t="e">
        <f t="shared" si="7"/>
        <v>#VALUE!</v>
      </c>
      <c r="AC36" t="e">
        <f t="shared" si="7"/>
        <v>#VALUE!</v>
      </c>
      <c r="AD36" t="e">
        <f t="shared" si="7"/>
        <v>#VALUE!</v>
      </c>
      <c r="AE36" t="e">
        <f t="shared" si="7"/>
        <v>#VALUE!</v>
      </c>
      <c r="AF36" t="e">
        <f t="shared" si="7"/>
        <v>#VALUE!</v>
      </c>
      <c r="AG36" t="e">
        <f t="shared" si="7"/>
        <v>#VALUE!</v>
      </c>
      <c r="AH36" t="e">
        <f t="shared" si="7"/>
        <v>#VALUE!</v>
      </c>
      <c r="AI36" t="e">
        <f t="shared" si="7"/>
        <v>#VALUE!</v>
      </c>
      <c r="AJ36">
        <f t="shared" si="7"/>
        <v>-0.29437106060257756</v>
      </c>
      <c r="AK36" t="e">
        <f t="shared" si="7"/>
        <v>#VALUE!</v>
      </c>
      <c r="AL36" t="e">
        <f t="shared" si="7"/>
        <v>#VALUE!</v>
      </c>
      <c r="AM36" t="e">
        <f t="shared" si="7"/>
        <v>#VALUE!</v>
      </c>
      <c r="AN36" t="e">
        <f t="shared" si="7"/>
        <v>#VALUE!</v>
      </c>
      <c r="AO36" t="e">
        <f t="shared" si="7"/>
        <v>#VALUE!</v>
      </c>
    </row>
    <row r="37" spans="2:41" x14ac:dyDescent="0.25">
      <c r="C37" s="31">
        <v>80</v>
      </c>
      <c r="D37" t="e">
        <f t="shared" ref="D37:AO37" si="8">LN(D25)</f>
        <v>#VALUE!</v>
      </c>
      <c r="E37" t="e">
        <f t="shared" si="8"/>
        <v>#VALUE!</v>
      </c>
      <c r="F37" t="e">
        <f t="shared" si="8"/>
        <v>#VALUE!</v>
      </c>
      <c r="G37" t="e">
        <f t="shared" si="8"/>
        <v>#VALUE!</v>
      </c>
      <c r="H37" t="e">
        <f t="shared" si="8"/>
        <v>#VALUE!</v>
      </c>
      <c r="I37" t="e">
        <f t="shared" si="8"/>
        <v>#VALUE!</v>
      </c>
      <c r="J37" t="e">
        <f t="shared" si="8"/>
        <v>#VALUE!</v>
      </c>
      <c r="K37" t="e">
        <f t="shared" si="8"/>
        <v>#VALUE!</v>
      </c>
      <c r="L37" t="e">
        <f t="shared" si="8"/>
        <v>#VALUE!</v>
      </c>
      <c r="M37" t="e">
        <f t="shared" si="8"/>
        <v>#VALUE!</v>
      </c>
      <c r="N37" t="e">
        <f t="shared" si="8"/>
        <v>#VALUE!</v>
      </c>
      <c r="O37" t="e">
        <f t="shared" si="8"/>
        <v>#VALUE!</v>
      </c>
      <c r="P37" t="e">
        <f t="shared" si="8"/>
        <v>#VALUE!</v>
      </c>
      <c r="Q37" t="e">
        <f t="shared" si="8"/>
        <v>#VALUE!</v>
      </c>
      <c r="R37" t="e">
        <f t="shared" si="8"/>
        <v>#VALUE!</v>
      </c>
      <c r="S37" t="e">
        <f t="shared" si="8"/>
        <v>#VALUE!</v>
      </c>
      <c r="T37" t="e">
        <f t="shared" si="8"/>
        <v>#VALUE!</v>
      </c>
      <c r="U37" t="e">
        <f t="shared" si="8"/>
        <v>#VALUE!</v>
      </c>
      <c r="V37" t="e">
        <f t="shared" si="8"/>
        <v>#VALUE!</v>
      </c>
      <c r="W37" t="e">
        <f t="shared" si="8"/>
        <v>#VALUE!</v>
      </c>
      <c r="X37" t="e">
        <f t="shared" si="8"/>
        <v>#VALUE!</v>
      </c>
      <c r="Y37" t="e">
        <f t="shared" si="8"/>
        <v>#VALUE!</v>
      </c>
      <c r="Z37" t="e">
        <f t="shared" si="8"/>
        <v>#VALUE!</v>
      </c>
      <c r="AA37" t="e">
        <f t="shared" si="8"/>
        <v>#VALUE!</v>
      </c>
      <c r="AB37" t="e">
        <f t="shared" si="8"/>
        <v>#VALUE!</v>
      </c>
      <c r="AC37" t="e">
        <f t="shared" si="8"/>
        <v>#VALUE!</v>
      </c>
      <c r="AD37" t="e">
        <f t="shared" si="8"/>
        <v>#VALUE!</v>
      </c>
      <c r="AE37" t="e">
        <f t="shared" si="8"/>
        <v>#VALUE!</v>
      </c>
      <c r="AF37" t="e">
        <f t="shared" si="8"/>
        <v>#VALUE!</v>
      </c>
      <c r="AG37" t="e">
        <f t="shared" si="8"/>
        <v>#VALUE!</v>
      </c>
      <c r="AH37" t="e">
        <f t="shared" si="8"/>
        <v>#VALUE!</v>
      </c>
      <c r="AI37" t="e">
        <f t="shared" si="8"/>
        <v>#VALUE!</v>
      </c>
      <c r="AJ37" t="e">
        <f t="shared" si="8"/>
        <v>#VALUE!</v>
      </c>
      <c r="AK37" t="e">
        <f t="shared" si="8"/>
        <v>#VALUE!</v>
      </c>
      <c r="AL37" t="e">
        <f t="shared" si="8"/>
        <v>#VALUE!</v>
      </c>
      <c r="AM37" t="e">
        <f t="shared" si="8"/>
        <v>#VALUE!</v>
      </c>
      <c r="AN37" t="e">
        <f t="shared" si="8"/>
        <v>#VALUE!</v>
      </c>
      <c r="AO37" t="e">
        <f t="shared" si="8"/>
        <v>#VALUE!</v>
      </c>
    </row>
    <row r="38" spans="2:41" x14ac:dyDescent="0.25">
      <c r="C38" s="31" t="s">
        <v>106</v>
      </c>
      <c r="U38" s="30"/>
      <c r="V38" s="30"/>
      <c r="W38" s="30"/>
      <c r="AJ38" s="30"/>
      <c r="AL38" s="30"/>
      <c r="AM38" s="30"/>
      <c r="AN38" s="30"/>
    </row>
    <row r="39" spans="2:41" x14ac:dyDescent="0.25">
      <c r="B39" t="s">
        <v>41</v>
      </c>
      <c r="C39" s="31">
        <v>1</v>
      </c>
      <c r="D39">
        <f t="shared" ref="D39:AO39" si="9">LN(D18)</f>
        <v>1.6496197020669323</v>
      </c>
      <c r="E39">
        <f t="shared" si="9"/>
        <v>-2.1734492146006094E-2</v>
      </c>
      <c r="F39" t="e">
        <f t="shared" si="9"/>
        <v>#VALUE!</v>
      </c>
      <c r="G39" t="e">
        <f t="shared" si="9"/>
        <v>#VALUE!</v>
      </c>
      <c r="H39">
        <f t="shared" si="9"/>
        <v>0.89812676124648394</v>
      </c>
      <c r="I39" t="e">
        <f t="shared" si="9"/>
        <v>#VALUE!</v>
      </c>
      <c r="J39" t="e">
        <f t="shared" si="9"/>
        <v>#VALUE!</v>
      </c>
      <c r="K39" t="e">
        <f t="shared" si="9"/>
        <v>#VALUE!</v>
      </c>
      <c r="L39" t="e">
        <f t="shared" si="9"/>
        <v>#VALUE!</v>
      </c>
      <c r="M39" t="e">
        <f t="shared" si="9"/>
        <v>#VALUE!</v>
      </c>
      <c r="N39" t="e">
        <f t="shared" si="9"/>
        <v>#VALUE!</v>
      </c>
      <c r="O39" t="e">
        <f t="shared" si="9"/>
        <v>#VALUE!</v>
      </c>
      <c r="P39" t="e">
        <f t="shared" si="9"/>
        <v>#VALUE!</v>
      </c>
      <c r="Q39" t="e">
        <f t="shared" si="9"/>
        <v>#VALUE!</v>
      </c>
      <c r="R39" t="e">
        <f t="shared" si="9"/>
        <v>#VALUE!</v>
      </c>
      <c r="S39">
        <f t="shared" si="9"/>
        <v>-5.70995920405728E-2</v>
      </c>
      <c r="T39" t="e">
        <f t="shared" si="9"/>
        <v>#VALUE!</v>
      </c>
      <c r="U39" t="e">
        <f t="shared" si="9"/>
        <v>#VALUE!</v>
      </c>
      <c r="V39" t="e">
        <f t="shared" si="9"/>
        <v>#VALUE!</v>
      </c>
      <c r="W39" t="e">
        <f t="shared" si="9"/>
        <v>#VALUE!</v>
      </c>
      <c r="X39" t="e">
        <f t="shared" si="9"/>
        <v>#VALUE!</v>
      </c>
      <c r="Y39" t="e">
        <f t="shared" si="9"/>
        <v>#VALUE!</v>
      </c>
      <c r="Z39" t="e">
        <f t="shared" si="9"/>
        <v>#VALUE!</v>
      </c>
      <c r="AA39">
        <f t="shared" si="9"/>
        <v>-0.61803970807313979</v>
      </c>
      <c r="AB39" t="e">
        <f t="shared" si="9"/>
        <v>#VALUE!</v>
      </c>
      <c r="AC39" t="e">
        <f t="shared" si="9"/>
        <v>#VALUE!</v>
      </c>
      <c r="AD39" t="e">
        <f t="shared" si="9"/>
        <v>#VALUE!</v>
      </c>
      <c r="AE39" t="e">
        <f t="shared" si="9"/>
        <v>#VALUE!</v>
      </c>
      <c r="AF39" t="e">
        <f t="shared" si="9"/>
        <v>#VALUE!</v>
      </c>
      <c r="AG39" t="e">
        <f t="shared" si="9"/>
        <v>#VALUE!</v>
      </c>
      <c r="AH39" t="e">
        <f t="shared" si="9"/>
        <v>#VALUE!</v>
      </c>
      <c r="AI39" t="e">
        <f t="shared" si="9"/>
        <v>#VALUE!</v>
      </c>
      <c r="AJ39">
        <f t="shared" si="9"/>
        <v>-0.53443548940512453</v>
      </c>
      <c r="AK39" t="e">
        <f t="shared" si="9"/>
        <v>#VALUE!</v>
      </c>
      <c r="AL39" t="e">
        <f t="shared" si="9"/>
        <v>#VALUE!</v>
      </c>
      <c r="AM39" t="e">
        <f t="shared" si="9"/>
        <v>#VALUE!</v>
      </c>
      <c r="AN39" t="e">
        <f t="shared" si="9"/>
        <v>#VALUE!</v>
      </c>
      <c r="AO39" t="e">
        <f t="shared" si="9"/>
        <v>#VALUE!</v>
      </c>
    </row>
    <row r="40" spans="2:41" x14ac:dyDescent="0.25">
      <c r="C40" s="31">
        <v>5</v>
      </c>
      <c r="D40" t="e">
        <f t="shared" ref="D40:AO40" si="10">LN(D22)</f>
        <v>#VALUE!</v>
      </c>
      <c r="E40" t="e">
        <f t="shared" si="10"/>
        <v>#VALUE!</v>
      </c>
      <c r="F40" t="e">
        <f t="shared" si="10"/>
        <v>#VALUE!</v>
      </c>
      <c r="G40" t="e">
        <f t="shared" si="10"/>
        <v>#VALUE!</v>
      </c>
      <c r="H40" t="e">
        <f t="shared" si="10"/>
        <v>#VALUE!</v>
      </c>
      <c r="I40" t="e">
        <f t="shared" si="10"/>
        <v>#VALUE!</v>
      </c>
      <c r="J40" t="e">
        <f t="shared" si="10"/>
        <v>#VALUE!</v>
      </c>
      <c r="K40" t="e">
        <f t="shared" si="10"/>
        <v>#VALUE!</v>
      </c>
      <c r="L40" t="e">
        <f t="shared" si="10"/>
        <v>#VALUE!</v>
      </c>
      <c r="M40" t="e">
        <f t="shared" si="10"/>
        <v>#VALUE!</v>
      </c>
      <c r="N40" t="e">
        <f t="shared" si="10"/>
        <v>#VALUE!</v>
      </c>
      <c r="O40" t="e">
        <f t="shared" si="10"/>
        <v>#VALUE!</v>
      </c>
      <c r="P40" t="e">
        <f t="shared" si="10"/>
        <v>#VALUE!</v>
      </c>
      <c r="Q40">
        <f t="shared" si="10"/>
        <v>-0.46680873834921638</v>
      </c>
      <c r="R40" t="e">
        <f t="shared" si="10"/>
        <v>#VALUE!</v>
      </c>
      <c r="S40">
        <f t="shared" si="10"/>
        <v>0.54232429082536171</v>
      </c>
      <c r="T40" t="e">
        <f t="shared" si="10"/>
        <v>#VALUE!</v>
      </c>
      <c r="U40" t="e">
        <f t="shared" si="10"/>
        <v>#VALUE!</v>
      </c>
      <c r="V40" t="e">
        <f t="shared" si="10"/>
        <v>#VALUE!</v>
      </c>
      <c r="W40" t="e">
        <f t="shared" si="10"/>
        <v>#VALUE!</v>
      </c>
      <c r="X40" t="e">
        <f t="shared" si="10"/>
        <v>#VALUE!</v>
      </c>
      <c r="Y40" t="e">
        <f t="shared" si="10"/>
        <v>#VALUE!</v>
      </c>
      <c r="Z40" t="e">
        <f t="shared" si="10"/>
        <v>#VALUE!</v>
      </c>
      <c r="AA40" t="e">
        <f t="shared" si="10"/>
        <v>#VALUE!</v>
      </c>
      <c r="AB40" t="e">
        <f t="shared" si="10"/>
        <v>#VALUE!</v>
      </c>
      <c r="AC40" t="e">
        <f t="shared" si="10"/>
        <v>#VALUE!</v>
      </c>
      <c r="AD40" t="e">
        <f t="shared" si="10"/>
        <v>#VALUE!</v>
      </c>
      <c r="AE40" t="e">
        <f t="shared" si="10"/>
        <v>#VALUE!</v>
      </c>
      <c r="AF40" t="e">
        <f t="shared" si="10"/>
        <v>#VALUE!</v>
      </c>
      <c r="AG40" t="e">
        <f t="shared" si="10"/>
        <v>#VALUE!</v>
      </c>
      <c r="AH40" t="e">
        <f t="shared" si="10"/>
        <v>#VALUE!</v>
      </c>
      <c r="AI40" t="e">
        <f t="shared" si="10"/>
        <v>#VALUE!</v>
      </c>
      <c r="AJ40">
        <f t="shared" si="10"/>
        <v>-0.11204950380862289</v>
      </c>
      <c r="AK40" t="e">
        <f t="shared" si="10"/>
        <v>#VALUE!</v>
      </c>
      <c r="AL40" t="e">
        <f t="shared" si="10"/>
        <v>#VALUE!</v>
      </c>
      <c r="AM40" t="e">
        <f t="shared" si="10"/>
        <v>#VALUE!</v>
      </c>
      <c r="AN40" t="e">
        <f t="shared" si="10"/>
        <v>#VALUE!</v>
      </c>
      <c r="AO40" t="e">
        <f t="shared" si="10"/>
        <v>#VALUE!</v>
      </c>
    </row>
    <row r="41" spans="2:41" x14ac:dyDescent="0.25">
      <c r="C41" s="31">
        <v>80</v>
      </c>
      <c r="D41" t="e">
        <f t="shared" ref="D41:AO41" si="11">LN(D26)</f>
        <v>#VALUE!</v>
      </c>
      <c r="E41" t="e">
        <f t="shared" si="11"/>
        <v>#VALUE!</v>
      </c>
      <c r="F41" t="e">
        <f t="shared" si="11"/>
        <v>#VALUE!</v>
      </c>
      <c r="G41" t="e">
        <f t="shared" si="11"/>
        <v>#VALUE!</v>
      </c>
      <c r="H41" t="e">
        <f t="shared" si="11"/>
        <v>#VALUE!</v>
      </c>
      <c r="I41" t="e">
        <f t="shared" si="11"/>
        <v>#VALUE!</v>
      </c>
      <c r="J41" t="e">
        <f t="shared" si="11"/>
        <v>#VALUE!</v>
      </c>
      <c r="K41" t="e">
        <f t="shared" si="11"/>
        <v>#VALUE!</v>
      </c>
      <c r="L41" t="e">
        <f t="shared" si="11"/>
        <v>#VALUE!</v>
      </c>
      <c r="M41" t="e">
        <f t="shared" si="11"/>
        <v>#VALUE!</v>
      </c>
      <c r="N41" t="e">
        <f t="shared" si="11"/>
        <v>#VALUE!</v>
      </c>
      <c r="O41" t="e">
        <f t="shared" si="11"/>
        <v>#VALUE!</v>
      </c>
      <c r="P41" t="e">
        <f t="shared" si="11"/>
        <v>#VALUE!</v>
      </c>
      <c r="Q41" t="e">
        <f t="shared" si="11"/>
        <v>#VALUE!</v>
      </c>
      <c r="R41" t="e">
        <f t="shared" si="11"/>
        <v>#VALUE!</v>
      </c>
      <c r="S41" t="e">
        <f t="shared" si="11"/>
        <v>#VALUE!</v>
      </c>
      <c r="T41" t="e">
        <f t="shared" si="11"/>
        <v>#VALUE!</v>
      </c>
      <c r="U41" t="e">
        <f t="shared" si="11"/>
        <v>#VALUE!</v>
      </c>
      <c r="V41" t="e">
        <f t="shared" si="11"/>
        <v>#VALUE!</v>
      </c>
      <c r="W41" t="e">
        <f t="shared" si="11"/>
        <v>#VALUE!</v>
      </c>
      <c r="X41" t="e">
        <f t="shared" si="11"/>
        <v>#VALUE!</v>
      </c>
      <c r="Y41" t="e">
        <f t="shared" si="11"/>
        <v>#VALUE!</v>
      </c>
      <c r="Z41" t="e">
        <f t="shared" si="11"/>
        <v>#VALUE!</v>
      </c>
      <c r="AA41" t="e">
        <f t="shared" si="11"/>
        <v>#VALUE!</v>
      </c>
      <c r="AB41" t="e">
        <f t="shared" si="11"/>
        <v>#VALUE!</v>
      </c>
      <c r="AC41" t="e">
        <f t="shared" si="11"/>
        <v>#VALUE!</v>
      </c>
      <c r="AD41" t="e">
        <f t="shared" si="11"/>
        <v>#VALUE!</v>
      </c>
      <c r="AE41" t="e">
        <f t="shared" si="11"/>
        <v>#VALUE!</v>
      </c>
      <c r="AF41" t="e">
        <f t="shared" si="11"/>
        <v>#VALUE!</v>
      </c>
      <c r="AG41" t="e">
        <f t="shared" si="11"/>
        <v>#VALUE!</v>
      </c>
      <c r="AH41" t="e">
        <f t="shared" si="11"/>
        <v>#VALUE!</v>
      </c>
      <c r="AI41" t="e">
        <f t="shared" si="11"/>
        <v>#VALUE!</v>
      </c>
      <c r="AJ41" t="e">
        <f t="shared" si="11"/>
        <v>#VALUE!</v>
      </c>
      <c r="AK41" t="e">
        <f t="shared" si="11"/>
        <v>#VALUE!</v>
      </c>
      <c r="AL41" t="e">
        <f t="shared" si="11"/>
        <v>#VALUE!</v>
      </c>
      <c r="AM41" t="e">
        <f t="shared" si="11"/>
        <v>#VALUE!</v>
      </c>
      <c r="AN41" t="e">
        <f t="shared" si="11"/>
        <v>#VALUE!</v>
      </c>
      <c r="AO41" t="e">
        <f t="shared" si="11"/>
        <v>#VALUE!</v>
      </c>
    </row>
    <row r="42" spans="2:41" x14ac:dyDescent="0.25">
      <c r="C42" s="31" t="s">
        <v>106</v>
      </c>
      <c r="S42">
        <v>0.14990000000000001</v>
      </c>
      <c r="V42" s="30"/>
      <c r="W42" s="30"/>
      <c r="AJ42" s="30">
        <v>0.1056</v>
      </c>
      <c r="AM42" s="30"/>
      <c r="AN42" s="30"/>
      <c r="AO42" s="30"/>
    </row>
    <row r="43" spans="2:41" x14ac:dyDescent="0.25">
      <c r="B43" t="s">
        <v>36</v>
      </c>
      <c r="D43" t="e">
        <f>LN(2)/D30</f>
        <v>#DIV/0!</v>
      </c>
      <c r="E43" t="e">
        <f t="shared" ref="E43:AO43" si="12">LN(2)/E30</f>
        <v>#DIV/0!</v>
      </c>
      <c r="F43" t="e">
        <f t="shared" si="12"/>
        <v>#DIV/0!</v>
      </c>
      <c r="G43" t="e">
        <f t="shared" si="12"/>
        <v>#DIV/0!</v>
      </c>
      <c r="H43" t="e">
        <f t="shared" si="12"/>
        <v>#DIV/0!</v>
      </c>
      <c r="I43" t="e">
        <f t="shared" si="12"/>
        <v>#DIV/0!</v>
      </c>
      <c r="J43" t="e">
        <f t="shared" si="12"/>
        <v>#DIV/0!</v>
      </c>
      <c r="K43" t="e">
        <f t="shared" si="12"/>
        <v>#DIV/0!</v>
      </c>
      <c r="L43" t="e">
        <f t="shared" si="12"/>
        <v>#DIV/0!</v>
      </c>
      <c r="M43" t="e">
        <f t="shared" si="12"/>
        <v>#DIV/0!</v>
      </c>
      <c r="N43" t="e">
        <f t="shared" si="12"/>
        <v>#DIV/0!</v>
      </c>
      <c r="O43" t="e">
        <f t="shared" si="12"/>
        <v>#DIV/0!</v>
      </c>
      <c r="P43" t="e">
        <f t="shared" si="12"/>
        <v>#DIV/0!</v>
      </c>
      <c r="Q43" t="e">
        <f t="shared" si="12"/>
        <v>#DIV/0!</v>
      </c>
      <c r="R43" t="e">
        <f t="shared" si="12"/>
        <v>#DIV/0!</v>
      </c>
      <c r="S43" t="e">
        <f t="shared" si="12"/>
        <v>#DIV/0!</v>
      </c>
      <c r="T43" t="e">
        <f t="shared" si="12"/>
        <v>#DIV/0!</v>
      </c>
      <c r="U43" t="e">
        <f t="shared" si="12"/>
        <v>#DIV/0!</v>
      </c>
      <c r="V43" t="e">
        <f t="shared" si="12"/>
        <v>#DIV/0!</v>
      </c>
      <c r="W43" t="e">
        <f t="shared" si="12"/>
        <v>#DIV/0!</v>
      </c>
      <c r="X43" t="e">
        <f t="shared" si="12"/>
        <v>#DIV/0!</v>
      </c>
      <c r="Y43" t="e">
        <f t="shared" si="12"/>
        <v>#DIV/0!</v>
      </c>
      <c r="Z43" t="e">
        <f t="shared" si="12"/>
        <v>#DIV/0!</v>
      </c>
      <c r="AA43" t="e">
        <f t="shared" si="12"/>
        <v>#DIV/0!</v>
      </c>
      <c r="AB43" t="e">
        <f t="shared" si="12"/>
        <v>#DIV/0!</v>
      </c>
      <c r="AC43" t="e">
        <f t="shared" si="12"/>
        <v>#DIV/0!</v>
      </c>
      <c r="AD43" t="e">
        <f t="shared" si="12"/>
        <v>#DIV/0!</v>
      </c>
      <c r="AE43" t="e">
        <f t="shared" si="12"/>
        <v>#DIV/0!</v>
      </c>
      <c r="AF43" t="e">
        <f t="shared" si="12"/>
        <v>#DIV/0!</v>
      </c>
      <c r="AG43" t="e">
        <f t="shared" si="12"/>
        <v>#DIV/0!</v>
      </c>
      <c r="AH43" t="e">
        <f t="shared" si="12"/>
        <v>#DIV/0!</v>
      </c>
      <c r="AI43" t="e">
        <f t="shared" si="12"/>
        <v>#DIV/0!</v>
      </c>
      <c r="AJ43" t="e">
        <f t="shared" si="12"/>
        <v>#DIV/0!</v>
      </c>
      <c r="AK43" t="e">
        <f t="shared" si="12"/>
        <v>#DIV/0!</v>
      </c>
      <c r="AL43" t="e">
        <f t="shared" si="12"/>
        <v>#DIV/0!</v>
      </c>
      <c r="AM43" t="e">
        <f t="shared" si="12"/>
        <v>#DIV/0!</v>
      </c>
      <c r="AN43" t="e">
        <f t="shared" si="12"/>
        <v>#DIV/0!</v>
      </c>
      <c r="AO43" t="e">
        <f t="shared" si="12"/>
        <v>#DIV/0!</v>
      </c>
    </row>
    <row r="44" spans="2:41" x14ac:dyDescent="0.25">
      <c r="B44" t="s">
        <v>39</v>
      </c>
      <c r="D44">
        <f>LN(2)/D34</f>
        <v>0.60855766510969733</v>
      </c>
      <c r="E44" t="e">
        <f t="shared" ref="E44:AO44" si="13">LN(2)/E34</f>
        <v>#DIV/0!</v>
      </c>
      <c r="F44" t="e">
        <f t="shared" si="13"/>
        <v>#DIV/0!</v>
      </c>
      <c r="G44" t="e">
        <f t="shared" si="13"/>
        <v>#DIV/0!</v>
      </c>
      <c r="H44" t="e">
        <f t="shared" si="13"/>
        <v>#DIV/0!</v>
      </c>
      <c r="I44" t="e">
        <f t="shared" si="13"/>
        <v>#DIV/0!</v>
      </c>
      <c r="J44" t="e">
        <f t="shared" si="13"/>
        <v>#DIV/0!</v>
      </c>
      <c r="K44" t="e">
        <f t="shared" si="13"/>
        <v>#DIV/0!</v>
      </c>
      <c r="L44" t="e">
        <f t="shared" si="13"/>
        <v>#DIV/0!</v>
      </c>
      <c r="M44" t="e">
        <f t="shared" si="13"/>
        <v>#DIV/0!</v>
      </c>
      <c r="N44" t="e">
        <f t="shared" si="13"/>
        <v>#DIV/0!</v>
      </c>
      <c r="O44" t="e">
        <f t="shared" si="13"/>
        <v>#DIV/0!</v>
      </c>
      <c r="P44" t="e">
        <f t="shared" si="13"/>
        <v>#DIV/0!</v>
      </c>
      <c r="Q44">
        <f t="shared" si="13"/>
        <v>36.481430555786595</v>
      </c>
      <c r="R44" t="e">
        <f t="shared" si="13"/>
        <v>#DIV/0!</v>
      </c>
      <c r="S44">
        <f t="shared" si="13"/>
        <v>10.763154977638901</v>
      </c>
      <c r="T44" t="e">
        <f t="shared" si="13"/>
        <v>#DIV/0!</v>
      </c>
      <c r="U44" t="e">
        <f t="shared" si="13"/>
        <v>#DIV/0!</v>
      </c>
      <c r="V44" t="e">
        <f t="shared" si="13"/>
        <v>#DIV/0!</v>
      </c>
      <c r="W44" t="e">
        <f t="shared" si="13"/>
        <v>#DIV/0!</v>
      </c>
      <c r="X44" t="e">
        <f t="shared" si="13"/>
        <v>#DIV/0!</v>
      </c>
      <c r="Y44" t="e">
        <f t="shared" si="13"/>
        <v>#DIV/0!</v>
      </c>
      <c r="Z44" t="e">
        <f t="shared" si="13"/>
        <v>#DIV/0!</v>
      </c>
      <c r="AA44" t="e">
        <f t="shared" si="13"/>
        <v>#DIV/0!</v>
      </c>
      <c r="AB44" t="e">
        <f t="shared" si="13"/>
        <v>#DIV/0!</v>
      </c>
      <c r="AC44" t="e">
        <f t="shared" si="13"/>
        <v>#DIV/0!</v>
      </c>
      <c r="AD44" t="e">
        <f t="shared" si="13"/>
        <v>#DIV/0!</v>
      </c>
      <c r="AE44" t="e">
        <f t="shared" si="13"/>
        <v>#DIV/0!</v>
      </c>
      <c r="AF44" t="e">
        <f t="shared" si="13"/>
        <v>#DIV/0!</v>
      </c>
      <c r="AG44" t="e">
        <f t="shared" si="13"/>
        <v>#DIV/0!</v>
      </c>
      <c r="AH44" t="e">
        <f t="shared" si="13"/>
        <v>#DIV/0!</v>
      </c>
      <c r="AI44" t="e">
        <f t="shared" si="13"/>
        <v>#DIV/0!</v>
      </c>
      <c r="AJ44">
        <f t="shared" si="13"/>
        <v>133.29753472306641</v>
      </c>
      <c r="AK44">
        <f t="shared" si="13"/>
        <v>7.0370272138065504</v>
      </c>
      <c r="AL44" t="e">
        <f t="shared" si="13"/>
        <v>#DIV/0!</v>
      </c>
      <c r="AM44" t="e">
        <f t="shared" si="13"/>
        <v>#DIV/0!</v>
      </c>
      <c r="AN44" t="e">
        <f t="shared" si="13"/>
        <v>#DIV/0!</v>
      </c>
      <c r="AO44" t="e">
        <f t="shared" si="13"/>
        <v>#DIV/0!</v>
      </c>
    </row>
    <row r="45" spans="2:41" x14ac:dyDescent="0.25">
      <c r="B45" t="s">
        <v>40</v>
      </c>
      <c r="D45" t="e">
        <f>LN(2)/D38</f>
        <v>#DIV/0!</v>
      </c>
      <c r="E45" t="e">
        <f t="shared" ref="E45:AO45" si="14">LN(2)/E38</f>
        <v>#DIV/0!</v>
      </c>
      <c r="F45" t="e">
        <f t="shared" si="14"/>
        <v>#DIV/0!</v>
      </c>
      <c r="G45" t="e">
        <f t="shared" si="14"/>
        <v>#DIV/0!</v>
      </c>
      <c r="H45" t="e">
        <f t="shared" si="14"/>
        <v>#DIV/0!</v>
      </c>
      <c r="I45" t="e">
        <f t="shared" si="14"/>
        <v>#DIV/0!</v>
      </c>
      <c r="J45" t="e">
        <f t="shared" si="14"/>
        <v>#DIV/0!</v>
      </c>
      <c r="K45" t="e">
        <f t="shared" si="14"/>
        <v>#DIV/0!</v>
      </c>
      <c r="L45" t="e">
        <f t="shared" si="14"/>
        <v>#DIV/0!</v>
      </c>
      <c r="M45" t="e">
        <f t="shared" si="14"/>
        <v>#DIV/0!</v>
      </c>
      <c r="N45" t="e">
        <f t="shared" si="14"/>
        <v>#DIV/0!</v>
      </c>
      <c r="O45" t="e">
        <f t="shared" si="14"/>
        <v>#DIV/0!</v>
      </c>
      <c r="P45" t="e">
        <f t="shared" si="14"/>
        <v>#DIV/0!</v>
      </c>
      <c r="Q45" t="e">
        <f t="shared" si="14"/>
        <v>#DIV/0!</v>
      </c>
      <c r="R45" t="e">
        <f t="shared" si="14"/>
        <v>#DIV/0!</v>
      </c>
      <c r="S45" t="e">
        <f t="shared" si="14"/>
        <v>#DIV/0!</v>
      </c>
      <c r="T45" t="e">
        <f t="shared" si="14"/>
        <v>#DIV/0!</v>
      </c>
      <c r="U45" t="e">
        <f t="shared" si="14"/>
        <v>#DIV/0!</v>
      </c>
      <c r="V45" t="e">
        <f t="shared" si="14"/>
        <v>#DIV/0!</v>
      </c>
      <c r="W45" t="e">
        <f t="shared" si="14"/>
        <v>#DIV/0!</v>
      </c>
      <c r="X45" t="e">
        <f t="shared" si="14"/>
        <v>#DIV/0!</v>
      </c>
      <c r="Y45" t="e">
        <f t="shared" si="14"/>
        <v>#DIV/0!</v>
      </c>
      <c r="Z45" t="e">
        <f t="shared" si="14"/>
        <v>#DIV/0!</v>
      </c>
      <c r="AA45" t="e">
        <f t="shared" si="14"/>
        <v>#DIV/0!</v>
      </c>
      <c r="AB45" t="e">
        <f t="shared" si="14"/>
        <v>#DIV/0!</v>
      </c>
      <c r="AC45" t="e">
        <f t="shared" si="14"/>
        <v>#DIV/0!</v>
      </c>
      <c r="AD45" t="e">
        <f t="shared" si="14"/>
        <v>#DIV/0!</v>
      </c>
      <c r="AE45" t="e">
        <f t="shared" si="14"/>
        <v>#DIV/0!</v>
      </c>
      <c r="AF45" t="e">
        <f t="shared" si="14"/>
        <v>#DIV/0!</v>
      </c>
      <c r="AG45" t="e">
        <f t="shared" si="14"/>
        <v>#DIV/0!</v>
      </c>
      <c r="AH45" t="e">
        <f t="shared" si="14"/>
        <v>#DIV/0!</v>
      </c>
      <c r="AI45" t="e">
        <f t="shared" si="14"/>
        <v>#DIV/0!</v>
      </c>
      <c r="AJ45" t="e">
        <f t="shared" si="14"/>
        <v>#DIV/0!</v>
      </c>
      <c r="AK45" t="e">
        <f t="shared" si="14"/>
        <v>#DIV/0!</v>
      </c>
      <c r="AL45" t="e">
        <f t="shared" si="14"/>
        <v>#DIV/0!</v>
      </c>
      <c r="AM45" t="e">
        <f t="shared" si="14"/>
        <v>#DIV/0!</v>
      </c>
      <c r="AN45" t="e">
        <f t="shared" si="14"/>
        <v>#DIV/0!</v>
      </c>
      <c r="AO45" t="e">
        <f t="shared" si="14"/>
        <v>#DIV/0!</v>
      </c>
    </row>
    <row r="46" spans="2:41" x14ac:dyDescent="0.25">
      <c r="B46" t="s">
        <v>41</v>
      </c>
      <c r="D46" t="e">
        <f>LN(2)/D42</f>
        <v>#DIV/0!</v>
      </c>
      <c r="E46" t="e">
        <f t="shared" ref="E46:AO46" si="15">LN(2)/E42</f>
        <v>#DIV/0!</v>
      </c>
      <c r="F46" t="e">
        <f t="shared" si="15"/>
        <v>#DIV/0!</v>
      </c>
      <c r="G46" t="e">
        <f t="shared" si="15"/>
        <v>#DIV/0!</v>
      </c>
      <c r="H46" t="e">
        <f t="shared" si="15"/>
        <v>#DIV/0!</v>
      </c>
      <c r="I46" t="e">
        <f t="shared" si="15"/>
        <v>#DIV/0!</v>
      </c>
      <c r="J46" t="e">
        <f t="shared" si="15"/>
        <v>#DIV/0!</v>
      </c>
      <c r="K46" t="e">
        <f t="shared" si="15"/>
        <v>#DIV/0!</v>
      </c>
      <c r="L46" t="e">
        <f t="shared" si="15"/>
        <v>#DIV/0!</v>
      </c>
      <c r="M46" t="e">
        <f t="shared" si="15"/>
        <v>#DIV/0!</v>
      </c>
      <c r="N46" t="e">
        <f t="shared" si="15"/>
        <v>#DIV/0!</v>
      </c>
      <c r="O46" t="e">
        <f t="shared" si="15"/>
        <v>#DIV/0!</v>
      </c>
      <c r="P46" t="e">
        <f t="shared" si="15"/>
        <v>#DIV/0!</v>
      </c>
      <c r="Q46" t="e">
        <f t="shared" si="15"/>
        <v>#DIV/0!</v>
      </c>
      <c r="R46" t="e">
        <f t="shared" si="15"/>
        <v>#DIV/0!</v>
      </c>
      <c r="S46">
        <f t="shared" si="15"/>
        <v>4.6240639130083077</v>
      </c>
      <c r="T46" t="e">
        <f t="shared" si="15"/>
        <v>#DIV/0!</v>
      </c>
      <c r="U46" t="e">
        <f t="shared" si="15"/>
        <v>#DIV/0!</v>
      </c>
      <c r="V46" t="e">
        <f t="shared" si="15"/>
        <v>#DIV/0!</v>
      </c>
      <c r="W46" t="e">
        <f t="shared" si="15"/>
        <v>#DIV/0!</v>
      </c>
      <c r="X46" t="e">
        <f t="shared" si="15"/>
        <v>#DIV/0!</v>
      </c>
      <c r="Y46" t="e">
        <f t="shared" si="15"/>
        <v>#DIV/0!</v>
      </c>
      <c r="Z46" t="e">
        <f t="shared" si="15"/>
        <v>#DIV/0!</v>
      </c>
      <c r="AA46" t="e">
        <f t="shared" si="15"/>
        <v>#DIV/0!</v>
      </c>
      <c r="AB46" t="e">
        <f t="shared" si="15"/>
        <v>#DIV/0!</v>
      </c>
      <c r="AC46" t="e">
        <f t="shared" si="15"/>
        <v>#DIV/0!</v>
      </c>
      <c r="AD46" t="e">
        <f t="shared" si="15"/>
        <v>#DIV/0!</v>
      </c>
      <c r="AE46" t="e">
        <f t="shared" si="15"/>
        <v>#DIV/0!</v>
      </c>
      <c r="AF46" t="e">
        <f t="shared" si="15"/>
        <v>#DIV/0!</v>
      </c>
      <c r="AG46" t="e">
        <f t="shared" si="15"/>
        <v>#DIV/0!</v>
      </c>
      <c r="AH46" t="e">
        <f t="shared" si="15"/>
        <v>#DIV/0!</v>
      </c>
      <c r="AI46" t="e">
        <f t="shared" si="15"/>
        <v>#DIV/0!</v>
      </c>
      <c r="AJ46">
        <f t="shared" si="15"/>
        <v>6.5638937553025123</v>
      </c>
      <c r="AK46" t="e">
        <f t="shared" si="15"/>
        <v>#DIV/0!</v>
      </c>
      <c r="AL46" t="e">
        <f t="shared" si="15"/>
        <v>#DIV/0!</v>
      </c>
      <c r="AM46" t="e">
        <f t="shared" si="15"/>
        <v>#DIV/0!</v>
      </c>
      <c r="AN46" t="e">
        <f t="shared" si="15"/>
        <v>#DIV/0!</v>
      </c>
      <c r="AO46" t="e">
        <f t="shared" si="15"/>
        <v>#DIV/0!</v>
      </c>
    </row>
  </sheetData>
  <conditionalFormatting sqref="D3:AO26">
    <cfRule type="notContainsText" dxfId="13" priority="1" operator="notContains" text="&lt;">
      <formula>ISERROR(SEARCH("&lt;",D3))</formula>
    </cfRule>
  </conditionalFormatting>
  <pageMargins left="0.7" right="0.7" top="0.78740157499999996" bottom="0.78740157499999996"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89016-140F-4FD8-AC7D-36A7A632DB2D}">
  <dimension ref="A1:BC148"/>
  <sheetViews>
    <sheetView zoomScale="70" zoomScaleNormal="70" workbookViewId="0">
      <pane xSplit="3" ySplit="2" topLeftCell="D3" activePane="bottomRight" state="frozen"/>
      <selection pane="topRight" activeCell="D1" sqref="D1"/>
      <selection pane="bottomLeft" activeCell="A2" sqref="A2"/>
      <selection pane="bottomRight" activeCell="AW43" sqref="AW43:BC52"/>
    </sheetView>
  </sheetViews>
  <sheetFormatPr baseColWidth="10" defaultRowHeight="15" x14ac:dyDescent="0.25"/>
  <cols>
    <col min="1" max="1" width="12.42578125" bestFit="1" customWidth="1"/>
    <col min="42" max="42" width="15.7109375" bestFit="1" customWidth="1"/>
    <col min="44" max="44" width="15.7109375" bestFit="1" customWidth="1"/>
    <col min="45" max="48" width="15.7109375" customWidth="1"/>
    <col min="51" max="51" width="15.7109375" bestFit="1" customWidth="1"/>
  </cols>
  <sheetData>
    <row r="1" spans="1:55" x14ac:dyDescent="0.25">
      <c r="AW1" t="s">
        <v>90</v>
      </c>
      <c r="AZ1" t="s">
        <v>90</v>
      </c>
    </row>
    <row r="2" spans="1:55" x14ac:dyDescent="0.25">
      <c r="D2" t="s">
        <v>78</v>
      </c>
      <c r="E2" t="s">
        <v>79</v>
      </c>
      <c r="F2" t="s">
        <v>80</v>
      </c>
      <c r="G2" t="s">
        <v>1</v>
      </c>
      <c r="H2" t="s">
        <v>2</v>
      </c>
      <c r="I2" t="s">
        <v>3</v>
      </c>
      <c r="J2" t="s">
        <v>4</v>
      </c>
      <c r="K2" t="s">
        <v>5</v>
      </c>
      <c r="L2" t="s">
        <v>6</v>
      </c>
      <c r="M2" t="s">
        <v>7</v>
      </c>
      <c r="N2" t="s">
        <v>8</v>
      </c>
      <c r="O2" t="s">
        <v>81</v>
      </c>
      <c r="P2" t="s">
        <v>82</v>
      </c>
      <c r="Q2" t="s">
        <v>9</v>
      </c>
      <c r="R2" t="s">
        <v>10</v>
      </c>
      <c r="S2" t="s">
        <v>11</v>
      </c>
      <c r="T2" t="s">
        <v>12</v>
      </c>
      <c r="U2" t="s">
        <v>13</v>
      </c>
      <c r="V2" t="s">
        <v>14</v>
      </c>
      <c r="W2" t="s">
        <v>15</v>
      </c>
      <c r="X2" t="s">
        <v>16</v>
      </c>
      <c r="Y2" t="s">
        <v>76</v>
      </c>
      <c r="Z2" t="s">
        <v>18</v>
      </c>
      <c r="AA2" t="s">
        <v>19</v>
      </c>
      <c r="AB2" t="s">
        <v>20</v>
      </c>
      <c r="AC2" t="s">
        <v>21</v>
      </c>
      <c r="AD2" t="s">
        <v>22</v>
      </c>
      <c r="AE2" t="s">
        <v>23</v>
      </c>
      <c r="AF2" t="s">
        <v>24</v>
      </c>
      <c r="AG2" t="s">
        <v>25</v>
      </c>
      <c r="AH2" t="s">
        <v>26</v>
      </c>
      <c r="AI2" t="s">
        <v>77</v>
      </c>
      <c r="AJ2" t="s">
        <v>27</v>
      </c>
      <c r="AK2" t="s">
        <v>28</v>
      </c>
      <c r="AL2" t="s">
        <v>29</v>
      </c>
      <c r="AM2" t="s">
        <v>30</v>
      </c>
      <c r="AN2" t="s">
        <v>31</v>
      </c>
      <c r="AO2" t="s">
        <v>32</v>
      </c>
      <c r="AP2" t="s">
        <v>86</v>
      </c>
      <c r="AQ2" t="s">
        <v>94</v>
      </c>
      <c r="AR2" t="s">
        <v>95</v>
      </c>
      <c r="AS2" t="s">
        <v>113</v>
      </c>
      <c r="AT2" t="s">
        <v>114</v>
      </c>
      <c r="AU2" t="s">
        <v>115</v>
      </c>
      <c r="AV2" t="s">
        <v>116</v>
      </c>
      <c r="AW2" t="s">
        <v>86</v>
      </c>
      <c r="AX2" t="s">
        <v>94</v>
      </c>
      <c r="AY2" t="s">
        <v>95</v>
      </c>
      <c r="AZ2" t="s">
        <v>113</v>
      </c>
      <c r="BA2" t="s">
        <v>114</v>
      </c>
      <c r="BB2" t="s">
        <v>115</v>
      </c>
      <c r="BC2" t="s">
        <v>116</v>
      </c>
    </row>
    <row r="3" spans="1:55" x14ac:dyDescent="0.25">
      <c r="A3" s="2">
        <v>45068</v>
      </c>
      <c r="B3">
        <v>1</v>
      </c>
      <c r="C3" t="s">
        <v>36</v>
      </c>
      <c r="D3" s="4">
        <v>0</v>
      </c>
      <c r="E3" s="4">
        <v>0</v>
      </c>
      <c r="F3" s="4">
        <v>0</v>
      </c>
      <c r="G3" s="4">
        <v>0</v>
      </c>
      <c r="H3" s="4">
        <v>0</v>
      </c>
      <c r="I3" s="4">
        <v>0</v>
      </c>
      <c r="J3" s="4">
        <v>0</v>
      </c>
      <c r="K3" s="4">
        <v>0</v>
      </c>
      <c r="L3" s="4">
        <v>0</v>
      </c>
      <c r="M3" s="4">
        <v>0</v>
      </c>
      <c r="N3" s="4">
        <v>0</v>
      </c>
      <c r="O3" s="4">
        <v>0</v>
      </c>
      <c r="P3" s="4">
        <v>0</v>
      </c>
      <c r="Q3" s="4">
        <v>0</v>
      </c>
      <c r="R3" s="4">
        <v>0</v>
      </c>
      <c r="S3" s="4">
        <v>0</v>
      </c>
      <c r="T3" s="4">
        <v>0</v>
      </c>
      <c r="U3" s="4">
        <v>0</v>
      </c>
      <c r="V3" s="4">
        <v>0</v>
      </c>
      <c r="W3" s="4">
        <v>0</v>
      </c>
      <c r="X3" s="4">
        <v>0</v>
      </c>
      <c r="Y3" s="4">
        <v>0</v>
      </c>
      <c r="Z3" s="4">
        <v>0</v>
      </c>
      <c r="AA3" s="4">
        <v>5.292122140140798E-5</v>
      </c>
      <c r="AB3" s="4">
        <v>0</v>
      </c>
      <c r="AC3" s="4">
        <v>0</v>
      </c>
      <c r="AD3" s="4">
        <v>0</v>
      </c>
      <c r="AE3" s="4">
        <v>0</v>
      </c>
      <c r="AF3" s="4">
        <v>0</v>
      </c>
      <c r="AG3" s="4">
        <v>0</v>
      </c>
      <c r="AH3" s="4">
        <v>0</v>
      </c>
      <c r="AI3" s="4">
        <v>0</v>
      </c>
      <c r="AJ3" s="4">
        <v>0</v>
      </c>
      <c r="AK3" s="4">
        <v>0</v>
      </c>
      <c r="AL3" s="4">
        <v>0</v>
      </c>
      <c r="AM3" s="4">
        <v>0</v>
      </c>
      <c r="AN3" s="4">
        <v>0</v>
      </c>
      <c r="AO3" s="4">
        <v>0</v>
      </c>
      <c r="AP3" s="4">
        <f>SUM(D3:AO3)</f>
        <v>5.292122140140798E-5</v>
      </c>
      <c r="AQ3" s="4">
        <f>SUM(D3:X3)</f>
        <v>0</v>
      </c>
      <c r="AR3" s="4">
        <f>SUM(Y3:AO3)</f>
        <v>5.292122140140798E-5</v>
      </c>
      <c r="AS3" s="4">
        <f>SUM(D3:N3)</f>
        <v>0</v>
      </c>
      <c r="AT3" s="4">
        <f>SUM(Y3:AG3)</f>
        <v>5.292122140140798E-5</v>
      </c>
      <c r="AU3" s="4">
        <f>SUM(O3:X3)</f>
        <v>0</v>
      </c>
      <c r="AV3" s="4">
        <f>SUM(AH3:AO3)</f>
        <v>0</v>
      </c>
      <c r="AW3" s="4"/>
      <c r="AX3" s="4"/>
      <c r="AY3" s="4"/>
      <c r="AZ3" s="4"/>
      <c r="BA3" s="4"/>
      <c r="BB3" s="4"/>
      <c r="BC3" s="4"/>
    </row>
    <row r="4" spans="1:55" x14ac:dyDescent="0.25">
      <c r="A4" s="2"/>
      <c r="C4" t="s">
        <v>39</v>
      </c>
      <c r="D4" s="4">
        <v>6.9893975387003504E-3</v>
      </c>
      <c r="E4" s="4">
        <v>0</v>
      </c>
      <c r="F4" s="4">
        <v>0</v>
      </c>
      <c r="G4" s="4">
        <v>0</v>
      </c>
      <c r="H4" s="4">
        <v>0</v>
      </c>
      <c r="I4" s="4">
        <v>2.33779026822488E-3</v>
      </c>
      <c r="J4" s="4">
        <v>1.1790775702605201E-2</v>
      </c>
      <c r="K4" s="4">
        <v>0</v>
      </c>
      <c r="L4" s="4">
        <v>0</v>
      </c>
      <c r="M4" s="4">
        <v>0</v>
      </c>
      <c r="N4" s="4">
        <v>0</v>
      </c>
      <c r="O4" s="4">
        <v>0</v>
      </c>
      <c r="P4" s="4">
        <v>0</v>
      </c>
      <c r="Q4" s="4">
        <v>0</v>
      </c>
      <c r="R4" s="4">
        <v>0</v>
      </c>
      <c r="S4" s="4">
        <v>0</v>
      </c>
      <c r="T4" s="4">
        <v>0</v>
      </c>
      <c r="U4" s="4">
        <v>0</v>
      </c>
      <c r="V4" s="4">
        <v>0</v>
      </c>
      <c r="W4" s="4">
        <v>0</v>
      </c>
      <c r="X4" s="4">
        <v>0</v>
      </c>
      <c r="Y4" s="4">
        <v>0</v>
      </c>
      <c r="Z4" s="4">
        <v>0</v>
      </c>
      <c r="AA4" s="4">
        <v>0</v>
      </c>
      <c r="AB4" s="4">
        <v>0</v>
      </c>
      <c r="AC4" s="4">
        <v>0</v>
      </c>
      <c r="AD4" s="4">
        <v>0</v>
      </c>
      <c r="AE4" s="4">
        <v>0</v>
      </c>
      <c r="AF4" s="4">
        <v>0</v>
      </c>
      <c r="AG4" s="4">
        <v>0</v>
      </c>
      <c r="AH4" s="4">
        <v>0</v>
      </c>
      <c r="AI4" s="4">
        <v>0</v>
      </c>
      <c r="AJ4" s="4">
        <v>0</v>
      </c>
      <c r="AK4" s="4">
        <v>0</v>
      </c>
      <c r="AL4" s="4">
        <v>0</v>
      </c>
      <c r="AM4" s="4">
        <v>0</v>
      </c>
      <c r="AN4" s="4">
        <v>0</v>
      </c>
      <c r="AO4" s="4">
        <v>0</v>
      </c>
      <c r="AP4" s="4">
        <f t="shared" ref="AP4:AP42" si="0">SUM(D4:AO4)</f>
        <v>2.1117963509530432E-2</v>
      </c>
      <c r="AQ4" s="4">
        <f t="shared" ref="AQ4:AQ42" si="1">SUM(D4:X4)</f>
        <v>2.1117963509530432E-2</v>
      </c>
      <c r="AR4" s="4">
        <f t="shared" ref="AR4:AR42" si="2">SUM(Y4:AO4)</f>
        <v>0</v>
      </c>
      <c r="AS4" s="4">
        <f t="shared" ref="AS4:AS67" si="3">SUM(D4:N4)</f>
        <v>2.1117963509530432E-2</v>
      </c>
      <c r="AT4" s="4">
        <f t="shared" ref="AT4:AT67" si="4">SUM(Y4:AG4)</f>
        <v>0</v>
      </c>
      <c r="AU4" s="4">
        <f t="shared" ref="AU4:AU67" si="5">SUM(O4:X4)</f>
        <v>0</v>
      </c>
      <c r="AV4" s="4">
        <f t="shared" ref="AV4:AV67" si="6">SUM(AH4:AO4)</f>
        <v>0</v>
      </c>
      <c r="AW4" s="4"/>
      <c r="AX4" s="4"/>
      <c r="AY4" s="4"/>
      <c r="AZ4" s="4"/>
      <c r="BA4" s="4"/>
      <c r="BB4" s="4"/>
      <c r="BC4" s="4"/>
    </row>
    <row r="5" spans="1:55" x14ac:dyDescent="0.25">
      <c r="A5" s="2"/>
      <c r="C5" t="s">
        <v>40</v>
      </c>
      <c r="D5" s="4">
        <v>7.1586165996728795E-3</v>
      </c>
      <c r="E5" s="4">
        <v>0</v>
      </c>
      <c r="F5" s="4">
        <v>0</v>
      </c>
      <c r="G5" s="4">
        <v>0</v>
      </c>
      <c r="H5" s="4">
        <v>0</v>
      </c>
      <c r="I5" s="4">
        <v>1.67825382247219E-3</v>
      </c>
      <c r="J5" s="4">
        <v>1.38040981363727E-2</v>
      </c>
      <c r="K5" s="4">
        <v>0</v>
      </c>
      <c r="L5" s="4">
        <v>0</v>
      </c>
      <c r="M5" s="4">
        <v>0</v>
      </c>
      <c r="N5" s="4">
        <v>0</v>
      </c>
      <c r="O5" s="4">
        <v>0</v>
      </c>
      <c r="P5" s="4">
        <v>0</v>
      </c>
      <c r="Q5" s="4">
        <v>0</v>
      </c>
      <c r="R5" s="4">
        <v>0</v>
      </c>
      <c r="S5" s="4">
        <v>0</v>
      </c>
      <c r="T5" s="4">
        <v>0</v>
      </c>
      <c r="U5" s="4">
        <v>0</v>
      </c>
      <c r="V5" s="4">
        <v>0</v>
      </c>
      <c r="W5" s="4">
        <v>0</v>
      </c>
      <c r="X5" s="4">
        <v>0</v>
      </c>
      <c r="Y5" s="4">
        <v>0</v>
      </c>
      <c r="Z5" s="4">
        <v>0</v>
      </c>
      <c r="AA5" s="4">
        <v>0</v>
      </c>
      <c r="AB5" s="4">
        <v>0</v>
      </c>
      <c r="AC5" s="4">
        <v>0</v>
      </c>
      <c r="AD5" s="4">
        <v>0</v>
      </c>
      <c r="AE5" s="4">
        <v>0</v>
      </c>
      <c r="AF5" s="4">
        <v>0</v>
      </c>
      <c r="AG5" s="4">
        <v>0</v>
      </c>
      <c r="AH5" s="4">
        <v>0</v>
      </c>
      <c r="AI5" s="4">
        <v>0</v>
      </c>
      <c r="AJ5" s="4">
        <v>0</v>
      </c>
      <c r="AK5" s="4">
        <v>0</v>
      </c>
      <c r="AL5" s="4">
        <v>0</v>
      </c>
      <c r="AM5" s="4">
        <v>0</v>
      </c>
      <c r="AN5" s="4">
        <v>0</v>
      </c>
      <c r="AO5" s="4">
        <v>0</v>
      </c>
      <c r="AP5" s="4">
        <f t="shared" si="0"/>
        <v>2.2640968558517771E-2</v>
      </c>
      <c r="AQ5" s="4">
        <f t="shared" si="1"/>
        <v>2.2640968558517771E-2</v>
      </c>
      <c r="AR5" s="4">
        <f t="shared" si="2"/>
        <v>0</v>
      </c>
      <c r="AS5" s="4">
        <f t="shared" si="3"/>
        <v>2.2640968558517771E-2</v>
      </c>
      <c r="AT5" s="4">
        <f t="shared" si="4"/>
        <v>0</v>
      </c>
      <c r="AU5" s="4">
        <f t="shared" si="5"/>
        <v>0</v>
      </c>
      <c r="AV5" s="4">
        <f t="shared" si="6"/>
        <v>0</v>
      </c>
      <c r="AW5" s="4"/>
      <c r="AX5" s="4"/>
      <c r="AY5" s="4"/>
      <c r="AZ5" s="4"/>
      <c r="BA5" s="4"/>
      <c r="BB5" s="4"/>
      <c r="BC5" s="4"/>
    </row>
    <row r="6" spans="1:55" x14ac:dyDescent="0.25">
      <c r="A6" s="2"/>
      <c r="C6" t="s">
        <v>41</v>
      </c>
      <c r="D6" s="4">
        <v>6.5415614056163899E-3</v>
      </c>
      <c r="E6" s="4">
        <v>0</v>
      </c>
      <c r="F6" s="4">
        <v>0</v>
      </c>
      <c r="G6" s="4">
        <v>0</v>
      </c>
      <c r="H6" s="4">
        <v>1.01335748380402E-3</v>
      </c>
      <c r="I6" s="4">
        <v>0</v>
      </c>
      <c r="J6" s="4">
        <v>1.25119338315338E-2</v>
      </c>
      <c r="K6" s="4">
        <v>2.58914829109826E-3</v>
      </c>
      <c r="L6" s="4">
        <v>0</v>
      </c>
      <c r="M6" s="4">
        <v>0</v>
      </c>
      <c r="N6" s="4">
        <v>0</v>
      </c>
      <c r="O6" s="4">
        <v>0</v>
      </c>
      <c r="P6" s="4">
        <v>0</v>
      </c>
      <c r="Q6" s="4">
        <v>0</v>
      </c>
      <c r="R6" s="4">
        <v>0</v>
      </c>
      <c r="S6" s="4">
        <v>0</v>
      </c>
      <c r="T6" s="4">
        <v>0</v>
      </c>
      <c r="U6" s="4">
        <v>0</v>
      </c>
      <c r="V6" s="4">
        <v>0</v>
      </c>
      <c r="W6" s="4">
        <v>0</v>
      </c>
      <c r="X6" s="4">
        <v>0</v>
      </c>
      <c r="Y6" s="4">
        <v>0</v>
      </c>
      <c r="Z6" s="4">
        <v>0</v>
      </c>
      <c r="AA6" s="4">
        <v>0</v>
      </c>
      <c r="AB6" s="4">
        <v>0</v>
      </c>
      <c r="AC6" s="4">
        <v>0</v>
      </c>
      <c r="AD6" s="4">
        <v>0</v>
      </c>
      <c r="AE6" s="4">
        <v>0</v>
      </c>
      <c r="AF6" s="4">
        <v>0</v>
      </c>
      <c r="AG6" s="4">
        <v>0</v>
      </c>
      <c r="AH6" s="4">
        <v>0</v>
      </c>
      <c r="AI6" s="4">
        <v>0</v>
      </c>
      <c r="AJ6" s="4">
        <v>0</v>
      </c>
      <c r="AK6" s="4">
        <v>0</v>
      </c>
      <c r="AL6" s="4">
        <v>0</v>
      </c>
      <c r="AM6" s="4">
        <v>0</v>
      </c>
      <c r="AN6" s="4">
        <v>0</v>
      </c>
      <c r="AO6" s="4">
        <v>0</v>
      </c>
      <c r="AP6" s="4">
        <f t="shared" si="0"/>
        <v>2.2656001012052469E-2</v>
      </c>
      <c r="AQ6" s="4">
        <f t="shared" si="1"/>
        <v>2.2656001012052469E-2</v>
      </c>
      <c r="AR6" s="4">
        <f t="shared" si="2"/>
        <v>0</v>
      </c>
      <c r="AS6" s="4">
        <f t="shared" si="3"/>
        <v>2.2656001012052469E-2</v>
      </c>
      <c r="AT6" s="4">
        <f t="shared" si="4"/>
        <v>0</v>
      </c>
      <c r="AU6" s="4">
        <f t="shared" si="5"/>
        <v>0</v>
      </c>
      <c r="AV6" s="4">
        <f t="shared" si="6"/>
        <v>0</v>
      </c>
      <c r="AW6" s="4"/>
      <c r="AX6" s="4"/>
      <c r="AY6" s="4"/>
      <c r="AZ6" s="4"/>
      <c r="BA6" s="4"/>
      <c r="BB6" s="4"/>
      <c r="BC6" s="4"/>
    </row>
    <row r="7" spans="1:55" x14ac:dyDescent="0.25">
      <c r="A7" s="2">
        <v>45072</v>
      </c>
      <c r="B7">
        <v>5</v>
      </c>
      <c r="C7" t="s">
        <v>36</v>
      </c>
      <c r="D7" s="4">
        <v>9.8164066612928494E-2</v>
      </c>
      <c r="E7" s="4">
        <v>0</v>
      </c>
      <c r="F7" s="4">
        <v>0</v>
      </c>
      <c r="G7" s="4">
        <v>0</v>
      </c>
      <c r="H7" s="4">
        <v>4.4426549334355414E-3</v>
      </c>
      <c r="I7" s="4">
        <v>0</v>
      </c>
      <c r="J7" s="4">
        <v>0</v>
      </c>
      <c r="K7" s="4">
        <v>0</v>
      </c>
      <c r="L7" s="4">
        <v>0</v>
      </c>
      <c r="M7" s="4">
        <v>0</v>
      </c>
      <c r="N7" s="4">
        <v>0</v>
      </c>
      <c r="O7" s="4">
        <v>0</v>
      </c>
      <c r="P7" s="4">
        <v>0</v>
      </c>
      <c r="Q7" s="4">
        <v>0</v>
      </c>
      <c r="R7" s="4">
        <v>0</v>
      </c>
      <c r="S7" s="4">
        <v>5.3580058831647799E-2</v>
      </c>
      <c r="T7" s="4">
        <v>3.8691960747259301E-2</v>
      </c>
      <c r="U7" s="4">
        <v>3.6018150539357897E-2</v>
      </c>
      <c r="V7" s="4">
        <v>0</v>
      </c>
      <c r="W7" s="4">
        <v>1.2965405021472E-3</v>
      </c>
      <c r="X7" s="4">
        <v>0</v>
      </c>
      <c r="Y7" s="4">
        <v>0</v>
      </c>
      <c r="Z7" s="4">
        <v>0</v>
      </c>
      <c r="AA7" s="4">
        <v>4.3670303934443644E-4</v>
      </c>
      <c r="AB7" s="4">
        <v>0</v>
      </c>
      <c r="AC7" s="4">
        <v>0</v>
      </c>
      <c r="AD7" s="4">
        <v>0</v>
      </c>
      <c r="AE7" s="4">
        <v>2.8082242722292073E-3</v>
      </c>
      <c r="AF7" s="4">
        <v>2.5424562337542854E-4</v>
      </c>
      <c r="AG7" s="4">
        <v>2.5311993405342993E-4</v>
      </c>
      <c r="AH7" s="4">
        <v>0</v>
      </c>
      <c r="AI7" s="4">
        <v>0</v>
      </c>
      <c r="AJ7" s="4">
        <v>7.5652293876605353E-2</v>
      </c>
      <c r="AK7" s="4">
        <v>5.4933853295788447E-2</v>
      </c>
      <c r="AL7" s="4">
        <v>1.7359270346077812E-2</v>
      </c>
      <c r="AM7" s="4">
        <v>9.3604569100482291E-3</v>
      </c>
      <c r="AN7" s="4">
        <v>3.235156124643855E-3</v>
      </c>
      <c r="AO7" s="4">
        <v>0</v>
      </c>
      <c r="AP7" s="4">
        <f t="shared" si="0"/>
        <v>0.39648675558894242</v>
      </c>
      <c r="AQ7" s="4">
        <f t="shared" si="1"/>
        <v>0.23219343216677624</v>
      </c>
      <c r="AR7" s="4">
        <f t="shared" si="2"/>
        <v>0.16429332342216621</v>
      </c>
      <c r="AS7" s="4">
        <f t="shared" si="3"/>
        <v>0.10260672154636404</v>
      </c>
      <c r="AT7" s="4">
        <f t="shared" si="4"/>
        <v>3.7522928690025023E-3</v>
      </c>
      <c r="AU7" s="4">
        <f t="shared" si="5"/>
        <v>0.12958671062041219</v>
      </c>
      <c r="AV7" s="4">
        <f t="shared" si="6"/>
        <v>0.16054103055316371</v>
      </c>
      <c r="AW7" s="4"/>
      <c r="AX7" s="4"/>
      <c r="AY7" s="4"/>
      <c r="AZ7" s="4"/>
      <c r="BA7" s="4"/>
      <c r="BB7" s="4"/>
      <c r="BC7" s="4"/>
    </row>
    <row r="8" spans="1:55" x14ac:dyDescent="0.25">
      <c r="A8" s="2"/>
      <c r="C8" t="s">
        <v>39</v>
      </c>
      <c r="D8" s="4">
        <v>2.24605963039477</v>
      </c>
      <c r="E8" s="4">
        <v>3.3345659651197401E-2</v>
      </c>
      <c r="F8" s="4">
        <v>0</v>
      </c>
      <c r="G8" s="4">
        <v>0</v>
      </c>
      <c r="H8" s="4">
        <v>0.209595663169868</v>
      </c>
      <c r="I8" s="4">
        <v>8.4797716901868301E-3</v>
      </c>
      <c r="J8" s="4">
        <v>3.3389069317713203E-2</v>
      </c>
      <c r="K8" s="4">
        <v>9.360817310340809E-3</v>
      </c>
      <c r="L8" s="4">
        <v>7.89648505321092E-3</v>
      </c>
      <c r="M8" s="4">
        <v>0</v>
      </c>
      <c r="N8" s="4">
        <v>0</v>
      </c>
      <c r="O8" s="4">
        <v>0</v>
      </c>
      <c r="P8" s="4">
        <v>0</v>
      </c>
      <c r="Q8" s="4">
        <v>0</v>
      </c>
      <c r="R8" s="4">
        <v>0</v>
      </c>
      <c r="S8" s="4">
        <v>1.87660381699656</v>
      </c>
      <c r="T8" s="4">
        <v>1.0537722752310799</v>
      </c>
      <c r="U8" s="4">
        <v>0.61761008805601503</v>
      </c>
      <c r="V8" s="4">
        <v>7.0429298677974997E-2</v>
      </c>
      <c r="W8" s="4">
        <v>2.0764918452111397E-2</v>
      </c>
      <c r="X8" s="4">
        <v>0</v>
      </c>
      <c r="Y8" s="4">
        <v>0</v>
      </c>
      <c r="Z8" s="4">
        <v>0</v>
      </c>
      <c r="AA8" s="4">
        <v>1.9610061907035702E-2</v>
      </c>
      <c r="AB8" s="4">
        <v>1.64689399004667E-3</v>
      </c>
      <c r="AC8" s="4">
        <v>0</v>
      </c>
      <c r="AD8" s="4">
        <v>0</v>
      </c>
      <c r="AE8" s="4">
        <v>0</v>
      </c>
      <c r="AF8" s="4">
        <v>6.8514143292240648E-3</v>
      </c>
      <c r="AG8" s="4">
        <v>7.2705515071929752E-3</v>
      </c>
      <c r="AH8" s="4">
        <v>0</v>
      </c>
      <c r="AI8" s="4">
        <v>0</v>
      </c>
      <c r="AJ8" s="4">
        <v>0.29225129548985251</v>
      </c>
      <c r="AK8" s="4">
        <v>1.9363650390547249</v>
      </c>
      <c r="AL8" s="4">
        <v>0.42756712867803598</v>
      </c>
      <c r="AM8" s="4">
        <v>0.44154062465152655</v>
      </c>
      <c r="AN8" s="4">
        <v>0.12534287001228395</v>
      </c>
      <c r="AO8" s="4">
        <v>5.0288467165350605E-2</v>
      </c>
      <c r="AP8" s="4">
        <f t="shared" si="0"/>
        <v>9.496041840786301</v>
      </c>
      <c r="AQ8" s="4">
        <f t="shared" si="1"/>
        <v>6.1873074940010282</v>
      </c>
      <c r="AR8" s="4">
        <f t="shared" si="2"/>
        <v>3.3087343467852737</v>
      </c>
      <c r="AS8" s="4">
        <f t="shared" si="3"/>
        <v>2.5481270965872871</v>
      </c>
      <c r="AT8" s="4">
        <f t="shared" si="4"/>
        <v>3.5378921733499408E-2</v>
      </c>
      <c r="AU8" s="4">
        <f t="shared" si="5"/>
        <v>3.6391803974137411</v>
      </c>
      <c r="AV8" s="4">
        <f t="shared" si="6"/>
        <v>3.2733554250517747</v>
      </c>
      <c r="AW8" s="4"/>
      <c r="AX8" s="4"/>
      <c r="AY8" s="4"/>
      <c r="AZ8" s="4"/>
      <c r="BA8" s="4"/>
      <c r="BB8" s="4"/>
      <c r="BC8" s="4"/>
    </row>
    <row r="9" spans="1:55" x14ac:dyDescent="0.25">
      <c r="A9" s="2"/>
      <c r="C9" t="s">
        <v>40</v>
      </c>
      <c r="D9" s="4">
        <v>0.78960623360809801</v>
      </c>
      <c r="E9" s="4">
        <v>1.3818630109277599E-2</v>
      </c>
      <c r="F9" s="4">
        <v>0</v>
      </c>
      <c r="G9" s="4">
        <v>0</v>
      </c>
      <c r="H9" s="4">
        <v>4.0133144250146899E-2</v>
      </c>
      <c r="I9" s="4">
        <v>2.6023062165192001E-3</v>
      </c>
      <c r="J9" s="4">
        <v>2.1062998773426902E-2</v>
      </c>
      <c r="K9" s="4">
        <v>5.5475062293487403E-3</v>
      </c>
      <c r="L9" s="4">
        <v>0</v>
      </c>
      <c r="M9" s="4">
        <v>0</v>
      </c>
      <c r="N9" s="4">
        <v>0</v>
      </c>
      <c r="O9" s="4">
        <v>0</v>
      </c>
      <c r="P9" s="4">
        <v>0</v>
      </c>
      <c r="Q9" s="4">
        <v>0</v>
      </c>
      <c r="R9" s="4">
        <v>0</v>
      </c>
      <c r="S9" s="4">
        <v>0.50523927403996205</v>
      </c>
      <c r="T9" s="4">
        <v>0.36539778023237396</v>
      </c>
      <c r="U9" s="4">
        <v>0.32328649307469198</v>
      </c>
      <c r="V9" s="4">
        <v>2.68430125780139E-2</v>
      </c>
      <c r="W9" s="4">
        <v>1.18975483383991E-2</v>
      </c>
      <c r="X9" s="4">
        <v>0</v>
      </c>
      <c r="Y9" s="4">
        <v>0</v>
      </c>
      <c r="Z9" s="4">
        <v>0</v>
      </c>
      <c r="AA9" s="4">
        <v>3.84639919889388E-3</v>
      </c>
      <c r="AB9" s="4">
        <v>0</v>
      </c>
      <c r="AC9" s="4">
        <v>0</v>
      </c>
      <c r="AD9" s="4">
        <v>0</v>
      </c>
      <c r="AE9" s="4">
        <v>0</v>
      </c>
      <c r="AF9" s="4">
        <v>0</v>
      </c>
      <c r="AG9" s="4">
        <v>0</v>
      </c>
      <c r="AH9" s="4">
        <v>0</v>
      </c>
      <c r="AI9" s="4">
        <v>0</v>
      </c>
      <c r="AJ9" s="4">
        <v>9.6911218567987956E-2</v>
      </c>
      <c r="AK9" s="4">
        <v>0.51672229362191902</v>
      </c>
      <c r="AL9" s="4">
        <v>0.17091438572765072</v>
      </c>
      <c r="AM9" s="4">
        <v>0.13218645795696118</v>
      </c>
      <c r="AN9" s="4">
        <v>4.1003157029536594E-2</v>
      </c>
      <c r="AO9" s="4">
        <v>2.2455549144666177E-2</v>
      </c>
      <c r="AP9" s="4">
        <f t="shared" si="0"/>
        <v>3.0894743886978731</v>
      </c>
      <c r="AQ9" s="4">
        <f t="shared" si="1"/>
        <v>2.1054349274502582</v>
      </c>
      <c r="AR9" s="4">
        <f t="shared" si="2"/>
        <v>0.98403946124761554</v>
      </c>
      <c r="AS9" s="4">
        <f t="shared" si="3"/>
        <v>0.87277081918681743</v>
      </c>
      <c r="AT9" s="4">
        <f t="shared" si="4"/>
        <v>3.84639919889388E-3</v>
      </c>
      <c r="AU9" s="4">
        <f t="shared" si="5"/>
        <v>1.2326641082634411</v>
      </c>
      <c r="AV9" s="4">
        <f t="shared" si="6"/>
        <v>0.9801930620487217</v>
      </c>
      <c r="AW9" s="4"/>
      <c r="AX9" s="4"/>
      <c r="AY9" s="4"/>
      <c r="AZ9" s="4"/>
      <c r="BA9" s="4"/>
      <c r="BB9" s="4"/>
      <c r="BC9" s="4"/>
    </row>
    <row r="10" spans="1:55" x14ac:dyDescent="0.25">
      <c r="A10" s="2"/>
      <c r="C10" t="s">
        <v>41</v>
      </c>
      <c r="D10" s="4">
        <v>0.279018390056684</v>
      </c>
      <c r="E10" s="4">
        <v>6.5073364540553106E-3</v>
      </c>
      <c r="F10" s="4">
        <v>0</v>
      </c>
      <c r="G10" s="4">
        <v>0</v>
      </c>
      <c r="H10" s="4">
        <v>3.0518497895284297E-2</v>
      </c>
      <c r="I10" s="4">
        <v>2.8251625857980398E-3</v>
      </c>
      <c r="J10" s="4">
        <v>2.64028903773092E-2</v>
      </c>
      <c r="K10" s="4">
        <v>7.4585079263439708E-3</v>
      </c>
      <c r="L10" s="4">
        <v>0</v>
      </c>
      <c r="M10" s="4">
        <v>0</v>
      </c>
      <c r="N10" s="4">
        <v>0</v>
      </c>
      <c r="O10" s="4">
        <v>0</v>
      </c>
      <c r="P10" s="4">
        <v>0</v>
      </c>
      <c r="Q10" s="4">
        <v>0</v>
      </c>
      <c r="R10" s="4">
        <v>0</v>
      </c>
      <c r="S10" s="4">
        <v>0.63925431093827101</v>
      </c>
      <c r="T10" s="4">
        <v>0.43831271544360501</v>
      </c>
      <c r="U10" s="4">
        <v>0.344819352976798</v>
      </c>
      <c r="V10" s="4">
        <v>2.9631016779758098E-2</v>
      </c>
      <c r="W10" s="4">
        <v>1.2468631218282299E-2</v>
      </c>
      <c r="X10" s="4">
        <v>0</v>
      </c>
      <c r="Y10" s="4">
        <v>0</v>
      </c>
      <c r="Z10" s="4">
        <v>0</v>
      </c>
      <c r="AA10" s="4">
        <v>2.769374528613595E-3</v>
      </c>
      <c r="AB10" s="4">
        <v>0</v>
      </c>
      <c r="AC10" s="4">
        <v>0</v>
      </c>
      <c r="AD10" s="4">
        <v>0</v>
      </c>
      <c r="AE10" s="4">
        <v>0</v>
      </c>
      <c r="AF10" s="4">
        <v>2.9476215648256447E-3</v>
      </c>
      <c r="AG10" s="4">
        <v>3.4423885011957045E-3</v>
      </c>
      <c r="AH10" s="4">
        <v>0</v>
      </c>
      <c r="AI10" s="4">
        <v>0</v>
      </c>
      <c r="AJ10" s="4">
        <v>0.1020955943800058</v>
      </c>
      <c r="AK10" s="4">
        <v>0.7176094132707479</v>
      </c>
      <c r="AL10" s="4">
        <v>0.21949159979208849</v>
      </c>
      <c r="AM10" s="4">
        <v>0.17289452509140305</v>
      </c>
      <c r="AN10" s="4">
        <v>4.9447564206956299E-2</v>
      </c>
      <c r="AO10" s="4">
        <v>2.9113419824988634E-2</v>
      </c>
      <c r="AP10" s="4">
        <f t="shared" si="0"/>
        <v>3.1170283138130146</v>
      </c>
      <c r="AQ10" s="4">
        <f t="shared" si="1"/>
        <v>1.817216812652189</v>
      </c>
      <c r="AR10" s="4">
        <f t="shared" si="2"/>
        <v>1.2998115011608253</v>
      </c>
      <c r="AS10" s="4">
        <f t="shared" si="3"/>
        <v>0.3527307852954748</v>
      </c>
      <c r="AT10" s="4">
        <f t="shared" si="4"/>
        <v>9.1593845946349433E-3</v>
      </c>
      <c r="AU10" s="4">
        <f t="shared" si="5"/>
        <v>1.4644860273567142</v>
      </c>
      <c r="AV10" s="4">
        <f t="shared" si="6"/>
        <v>1.2906521165661904</v>
      </c>
      <c r="AW10" s="4"/>
      <c r="AX10" s="4"/>
      <c r="AY10" s="4"/>
      <c r="AZ10" s="4"/>
      <c r="BA10" s="4"/>
      <c r="BB10" s="4"/>
      <c r="BC10" s="4"/>
    </row>
    <row r="11" spans="1:55" x14ac:dyDescent="0.25">
      <c r="A11" s="2">
        <v>45084</v>
      </c>
      <c r="B11">
        <v>17</v>
      </c>
      <c r="C11" t="s">
        <v>36</v>
      </c>
      <c r="D11" s="4">
        <v>1.19641911251205</v>
      </c>
      <c r="E11" s="4">
        <v>3.4012276422417602E-2</v>
      </c>
      <c r="F11" s="4">
        <v>0</v>
      </c>
      <c r="G11" s="4">
        <v>0</v>
      </c>
      <c r="H11" s="4">
        <v>5.0477336705412809E-2</v>
      </c>
      <c r="I11" s="4">
        <v>4.6489465087705788E-3</v>
      </c>
      <c r="J11" s="4">
        <v>3.2914773966452947E-2</v>
      </c>
      <c r="K11" s="4">
        <v>1.6954041349351301E-2</v>
      </c>
      <c r="L11" s="4">
        <v>1.49716133301933E-2</v>
      </c>
      <c r="M11" s="4">
        <v>4.3512974013214462E-3</v>
      </c>
      <c r="N11" s="4">
        <v>0</v>
      </c>
      <c r="O11" s="4">
        <v>0</v>
      </c>
      <c r="P11" s="4">
        <v>0</v>
      </c>
      <c r="Q11" s="4">
        <v>6.5557913200847704E-3</v>
      </c>
      <c r="R11" s="4">
        <v>5.6641672377653702E-3</v>
      </c>
      <c r="S11" s="4">
        <v>4.6243772558082901</v>
      </c>
      <c r="T11" s="4">
        <v>2.9057804620535901</v>
      </c>
      <c r="U11" s="4">
        <v>2.0641866359766401</v>
      </c>
      <c r="V11" s="4">
        <v>0.102152144349442</v>
      </c>
      <c r="W11" s="4">
        <v>8.5388713982052E-2</v>
      </c>
      <c r="X11" s="4">
        <v>1.14400408441735E-2</v>
      </c>
      <c r="Y11" s="4">
        <v>0</v>
      </c>
      <c r="Z11" s="4">
        <v>0</v>
      </c>
      <c r="AA11" s="4">
        <v>4.8111453669411712E-3</v>
      </c>
      <c r="AB11" s="4">
        <v>5.5744863885341352E-4</v>
      </c>
      <c r="AC11" s="4">
        <v>2.8382231967330998E-3</v>
      </c>
      <c r="AD11" s="4">
        <v>7.6697844121633206E-3</v>
      </c>
      <c r="AE11" s="4">
        <v>2.1140420501981765E-2</v>
      </c>
      <c r="AF11" s="4">
        <v>1.0455106475929874E-2</v>
      </c>
      <c r="AG11" s="4">
        <v>8.5536131385797205E-3</v>
      </c>
      <c r="AH11" s="4">
        <v>0</v>
      </c>
      <c r="AI11" s="4">
        <v>0</v>
      </c>
      <c r="AJ11" s="4">
        <v>0.5271159560327765</v>
      </c>
      <c r="AK11" s="4">
        <v>5.4549801313517747</v>
      </c>
      <c r="AL11" s="4">
        <v>1.3477171716721805</v>
      </c>
      <c r="AM11" s="4">
        <v>0.58912211765783962</v>
      </c>
      <c r="AN11" s="4">
        <v>0.15329934076695156</v>
      </c>
      <c r="AO11" s="4">
        <v>7.2365778849155307E-2</v>
      </c>
      <c r="AP11" s="4">
        <f t="shared" si="0"/>
        <v>19.360920847829867</v>
      </c>
      <c r="AQ11" s="4">
        <f t="shared" si="1"/>
        <v>11.160294609768007</v>
      </c>
      <c r="AR11" s="4">
        <f t="shared" si="2"/>
        <v>8.2006262380618615</v>
      </c>
      <c r="AS11" s="4">
        <f t="shared" si="3"/>
        <v>1.3547493981959702</v>
      </c>
      <c r="AT11" s="4">
        <f t="shared" si="4"/>
        <v>5.6025741731182355E-2</v>
      </c>
      <c r="AU11" s="4">
        <f t="shared" si="5"/>
        <v>9.8055452115720385</v>
      </c>
      <c r="AV11" s="4">
        <f t="shared" si="6"/>
        <v>8.1446004963306784</v>
      </c>
      <c r="AW11" s="4"/>
      <c r="AX11" s="4"/>
      <c r="AY11" s="4"/>
      <c r="AZ11" s="4"/>
      <c r="BA11" s="4"/>
      <c r="BB11" s="4"/>
      <c r="BC11" s="4"/>
    </row>
    <row r="12" spans="1:55" x14ac:dyDescent="0.25">
      <c r="A12" s="2"/>
      <c r="C12" t="s">
        <v>39</v>
      </c>
      <c r="D12" s="4">
        <v>3.67502333566574</v>
      </c>
      <c r="E12" s="4">
        <v>5.2710090590919599E-2</v>
      </c>
      <c r="F12" s="4">
        <v>0</v>
      </c>
      <c r="G12" s="4">
        <v>0</v>
      </c>
      <c r="H12" s="4">
        <v>0.22187965780612298</v>
      </c>
      <c r="I12" s="4">
        <v>1.5030022547124601E-2</v>
      </c>
      <c r="J12" s="4">
        <v>7.3795781913673808E-2</v>
      </c>
      <c r="K12" s="4">
        <v>3.49147823591077E-2</v>
      </c>
      <c r="L12" s="4">
        <v>2.9367155782343599E-2</v>
      </c>
      <c r="M12" s="4">
        <v>1.177727502749E-2</v>
      </c>
      <c r="N12" s="4">
        <v>3.71900619133E-3</v>
      </c>
      <c r="O12" s="4">
        <v>0</v>
      </c>
      <c r="P12" s="4">
        <v>0</v>
      </c>
      <c r="Q12" s="4">
        <v>1.6660111714123901E-2</v>
      </c>
      <c r="R12" s="4">
        <v>1.1517704350125901E-2</v>
      </c>
      <c r="S12" s="4">
        <v>10.835528744974001</v>
      </c>
      <c r="T12" s="4">
        <v>5.9692562438094399</v>
      </c>
      <c r="U12" s="4">
        <v>3.5304297069530199</v>
      </c>
      <c r="V12" s="4">
        <v>0.37883498507369701</v>
      </c>
      <c r="W12" s="4">
        <v>0.17813655823584698</v>
      </c>
      <c r="X12" s="4">
        <v>2.12743835140164E-2</v>
      </c>
      <c r="Y12" s="4">
        <v>0</v>
      </c>
      <c r="Z12" s="4">
        <v>0</v>
      </c>
      <c r="AA12" s="4">
        <v>2.7330063803399352E-2</v>
      </c>
      <c r="AB12" s="4">
        <v>2.46629679871813E-3</v>
      </c>
      <c r="AC12" s="4">
        <v>0</v>
      </c>
      <c r="AD12" s="4">
        <v>1.1024792686562189E-2</v>
      </c>
      <c r="AE12" s="4">
        <v>4.4394956552049752E-2</v>
      </c>
      <c r="AF12" s="4">
        <v>3.0188292932294948E-2</v>
      </c>
      <c r="AG12" s="4">
        <v>2.1826027513332701E-2</v>
      </c>
      <c r="AH12" s="4">
        <v>0</v>
      </c>
      <c r="AI12" s="4">
        <v>0</v>
      </c>
      <c r="AJ12" s="4">
        <v>1.5371696030902051</v>
      </c>
      <c r="AK12" s="4">
        <v>15.305735766819165</v>
      </c>
      <c r="AL12" s="4">
        <v>2.9501752224288449</v>
      </c>
      <c r="AM12" s="4">
        <v>1.8463504174720931</v>
      </c>
      <c r="AN12" s="4">
        <v>0.40866443218217702</v>
      </c>
      <c r="AO12" s="4">
        <v>0.18121911757366274</v>
      </c>
      <c r="AP12" s="4">
        <f t="shared" si="0"/>
        <v>47.426400536360632</v>
      </c>
      <c r="AQ12" s="4">
        <f t="shared" si="1"/>
        <v>25.059855546508121</v>
      </c>
      <c r="AR12" s="4">
        <f t="shared" si="2"/>
        <v>22.366544989852503</v>
      </c>
      <c r="AS12" s="4">
        <f t="shared" si="3"/>
        <v>4.1182171078838516</v>
      </c>
      <c r="AT12" s="4">
        <f t="shared" si="4"/>
        <v>0.13723043028635706</v>
      </c>
      <c r="AU12" s="4">
        <f t="shared" si="5"/>
        <v>20.941638438624267</v>
      </c>
      <c r="AV12" s="4">
        <f t="shared" si="6"/>
        <v>22.229314559566145</v>
      </c>
      <c r="AW12" s="4"/>
      <c r="AX12" s="4"/>
      <c r="AY12" s="4"/>
      <c r="AZ12" s="4"/>
      <c r="BA12" s="4"/>
      <c r="BB12" s="4"/>
      <c r="BC12" s="4"/>
    </row>
    <row r="13" spans="1:55" x14ac:dyDescent="0.25">
      <c r="A13" s="2"/>
      <c r="C13" t="s">
        <v>40</v>
      </c>
      <c r="D13" s="4">
        <v>2.7551055604085501</v>
      </c>
      <c r="E13" s="4">
        <v>3.9803457530830998E-2</v>
      </c>
      <c r="F13" s="4">
        <v>0</v>
      </c>
      <c r="G13" s="4">
        <v>0</v>
      </c>
      <c r="H13" s="4">
        <v>0.17811158942407701</v>
      </c>
      <c r="I13" s="4">
        <v>7.2258822105941492E-3</v>
      </c>
      <c r="J13" s="4">
        <v>4.3196445494956201E-2</v>
      </c>
      <c r="K13" s="4">
        <v>1.86194526223438E-2</v>
      </c>
      <c r="L13" s="4">
        <v>1.69262717975509E-2</v>
      </c>
      <c r="M13" s="4">
        <v>5.0055865967406302E-3</v>
      </c>
      <c r="N13" s="4">
        <v>0</v>
      </c>
      <c r="O13" s="4">
        <v>0</v>
      </c>
      <c r="P13" s="4">
        <v>0</v>
      </c>
      <c r="Q13" s="4">
        <v>1.1395948625353799E-2</v>
      </c>
      <c r="R13" s="4">
        <v>6.0242160625142193E-3</v>
      </c>
      <c r="S13" s="4">
        <v>4.5231807834538307</v>
      </c>
      <c r="T13" s="4">
        <v>2.8542492831941599</v>
      </c>
      <c r="U13" s="4">
        <v>1.79539685407369</v>
      </c>
      <c r="V13" s="4">
        <v>0.17329305665351502</v>
      </c>
      <c r="W13" s="4">
        <v>8.3583860428090101E-2</v>
      </c>
      <c r="X13" s="4">
        <v>1.0792537855158199E-2</v>
      </c>
      <c r="Y13" s="4">
        <v>0</v>
      </c>
      <c r="Z13" s="4">
        <v>0</v>
      </c>
      <c r="AA13" s="4">
        <v>2.1480765512347504E-2</v>
      </c>
      <c r="AB13" s="4">
        <v>1.3376403419051231E-3</v>
      </c>
      <c r="AC13" s="4">
        <v>0</v>
      </c>
      <c r="AD13" s="4">
        <v>5.6344680479036759E-3</v>
      </c>
      <c r="AE13" s="4">
        <v>2.0486206072156985E-2</v>
      </c>
      <c r="AF13" s="4">
        <v>1.0451948290635031E-2</v>
      </c>
      <c r="AG13" s="4">
        <v>8.9858358554183899E-3</v>
      </c>
      <c r="AH13" s="4">
        <v>0</v>
      </c>
      <c r="AI13" s="4">
        <v>0</v>
      </c>
      <c r="AJ13" s="4">
        <v>0.56839127645739351</v>
      </c>
      <c r="AK13" s="4">
        <v>5.5625440524280751</v>
      </c>
      <c r="AL13" s="4">
        <v>1.2518256102986691</v>
      </c>
      <c r="AM13" s="4">
        <v>0.73344088456303003</v>
      </c>
      <c r="AN13" s="4">
        <v>0.15659987917422924</v>
      </c>
      <c r="AO13" s="4">
        <v>7.2378222425363542E-2</v>
      </c>
      <c r="AP13" s="4">
        <f t="shared" si="0"/>
        <v>20.935467575899086</v>
      </c>
      <c r="AQ13" s="4">
        <f t="shared" si="1"/>
        <v>12.521910786431954</v>
      </c>
      <c r="AR13" s="4">
        <f t="shared" si="2"/>
        <v>8.4135567894671279</v>
      </c>
      <c r="AS13" s="4">
        <f t="shared" si="3"/>
        <v>3.0639942460856435</v>
      </c>
      <c r="AT13" s="4">
        <f t="shared" si="4"/>
        <v>6.8376864120366712E-2</v>
      </c>
      <c r="AU13" s="4">
        <f t="shared" si="5"/>
        <v>9.4579165403463126</v>
      </c>
      <c r="AV13" s="4">
        <f t="shared" si="6"/>
        <v>8.3451799253467609</v>
      </c>
      <c r="AW13" s="4"/>
      <c r="AX13" s="4"/>
      <c r="AY13" s="4"/>
      <c r="AZ13" s="4"/>
      <c r="BA13" s="4"/>
      <c r="BB13" s="4"/>
      <c r="BC13" s="4"/>
    </row>
    <row r="14" spans="1:55" x14ac:dyDescent="0.25">
      <c r="A14" s="2"/>
      <c r="C14" t="s">
        <v>41</v>
      </c>
      <c r="D14" s="4">
        <v>1.6091218272130901</v>
      </c>
      <c r="E14" s="4">
        <v>3.48060411972336E-2</v>
      </c>
      <c r="F14" s="4">
        <v>0</v>
      </c>
      <c r="G14" s="4">
        <v>0</v>
      </c>
      <c r="H14" s="4">
        <v>0.11524712207587601</v>
      </c>
      <c r="I14" s="4">
        <v>1.20451467714188E-2</v>
      </c>
      <c r="J14" s="4">
        <v>8.3871477172770201E-2</v>
      </c>
      <c r="K14" s="4">
        <v>4.1619764345093103E-2</v>
      </c>
      <c r="L14" s="4">
        <v>3.4153800334022003E-2</v>
      </c>
      <c r="M14" s="4">
        <v>1.2351631347168199E-2</v>
      </c>
      <c r="N14" s="4">
        <v>4.0851702599383208E-3</v>
      </c>
      <c r="O14" s="4">
        <v>0</v>
      </c>
      <c r="P14" s="4">
        <v>0</v>
      </c>
      <c r="Q14" s="4">
        <v>1.20643796393429E-2</v>
      </c>
      <c r="R14" s="4">
        <v>9.1155236529303005E-3</v>
      </c>
      <c r="S14" s="4">
        <v>9.8357407093285687</v>
      </c>
      <c r="T14" s="4">
        <v>7.4230781195522706</v>
      </c>
      <c r="U14" s="4">
        <v>3.6727777893274602</v>
      </c>
      <c r="V14" s="4">
        <v>0.36623319428279599</v>
      </c>
      <c r="W14" s="4">
        <v>0.17022264270950799</v>
      </c>
      <c r="X14" s="4">
        <v>1.68274816537143E-2</v>
      </c>
      <c r="Y14" s="4">
        <v>0</v>
      </c>
      <c r="Z14" s="4">
        <v>0</v>
      </c>
      <c r="AA14" s="4">
        <v>1.2645314073531651E-2</v>
      </c>
      <c r="AB14" s="4">
        <v>1.3444266951945485E-3</v>
      </c>
      <c r="AC14" s="4">
        <v>0</v>
      </c>
      <c r="AD14" s="4">
        <v>1.3881859657493304E-2</v>
      </c>
      <c r="AE14" s="4">
        <v>5.62097632959392E-2</v>
      </c>
      <c r="AF14" s="4">
        <v>3.011836119085385E-2</v>
      </c>
      <c r="AG14" s="4">
        <v>2.0624772184046E-2</v>
      </c>
      <c r="AH14" s="4">
        <v>0</v>
      </c>
      <c r="AI14" s="4">
        <v>0</v>
      </c>
      <c r="AJ14" s="4">
        <v>1.352204809328623</v>
      </c>
      <c r="AK14" s="4">
        <v>14.213042037467297</v>
      </c>
      <c r="AL14" s="4">
        <v>2.6810979497808405</v>
      </c>
      <c r="AM14" s="4">
        <v>1.608714992248379</v>
      </c>
      <c r="AN14" s="4">
        <v>0.34982015776777198</v>
      </c>
      <c r="AO14" s="4">
        <v>0.1612771691561265</v>
      </c>
      <c r="AP14" s="4">
        <f t="shared" si="0"/>
        <v>43.954343433709305</v>
      </c>
      <c r="AQ14" s="4">
        <f t="shared" si="1"/>
        <v>23.453361820863201</v>
      </c>
      <c r="AR14" s="4">
        <f t="shared" si="2"/>
        <v>20.500981612846097</v>
      </c>
      <c r="AS14" s="4">
        <f t="shared" si="3"/>
        <v>1.9473019807166101</v>
      </c>
      <c r="AT14" s="4">
        <f t="shared" si="4"/>
        <v>0.13482449709705857</v>
      </c>
      <c r="AU14" s="4">
        <f t="shared" si="5"/>
        <v>21.506059840146591</v>
      </c>
      <c r="AV14" s="4">
        <f t="shared" si="6"/>
        <v>20.36615711574904</v>
      </c>
      <c r="AW14" s="4"/>
      <c r="AX14" s="4"/>
      <c r="AY14" s="4"/>
      <c r="AZ14" s="4"/>
      <c r="BA14" s="4"/>
      <c r="BB14" s="4"/>
      <c r="BC14" s="4"/>
    </row>
    <row r="15" spans="1:55" x14ac:dyDescent="0.25">
      <c r="A15" s="2">
        <v>45105</v>
      </c>
      <c r="B15">
        <v>38</v>
      </c>
      <c r="C15" t="s">
        <v>36</v>
      </c>
      <c r="D15" s="4">
        <v>0.62222069012869197</v>
      </c>
      <c r="E15" s="4">
        <v>2.0120701387558299E-2</v>
      </c>
      <c r="F15" s="4">
        <v>0</v>
      </c>
      <c r="G15" s="4">
        <v>0</v>
      </c>
      <c r="H15" s="4">
        <v>1.9847346509452211E-2</v>
      </c>
      <c r="I15" s="4">
        <v>2.0039105419237492E-3</v>
      </c>
      <c r="J15" s="4">
        <v>4.3136119076977154E-2</v>
      </c>
      <c r="K15" s="4">
        <v>2.5778508931931701E-2</v>
      </c>
      <c r="L15" s="4">
        <v>2.45732131973363E-2</v>
      </c>
      <c r="M15" s="4">
        <v>6.9595442551019862E-3</v>
      </c>
      <c r="N15" s="4">
        <v>0</v>
      </c>
      <c r="O15" s="4">
        <v>0</v>
      </c>
      <c r="P15" s="4">
        <v>0</v>
      </c>
      <c r="Q15" s="4">
        <v>1.1095719548076801E-2</v>
      </c>
      <c r="R15" s="4">
        <v>1.2141093173336601E-2</v>
      </c>
      <c r="S15" s="4">
        <v>7.7913358235521804</v>
      </c>
      <c r="T15" s="4">
        <v>5.6650737451774802</v>
      </c>
      <c r="U15" s="4">
        <v>3.5708669461957903</v>
      </c>
      <c r="V15" s="4">
        <v>0.167671178737582</v>
      </c>
      <c r="W15" s="4">
        <v>9.5478274008794703E-2</v>
      </c>
      <c r="X15" s="4">
        <v>1.49404777523991E-2</v>
      </c>
      <c r="Y15" s="4">
        <v>0</v>
      </c>
      <c r="Z15" s="4">
        <v>0</v>
      </c>
      <c r="AA15" s="4">
        <v>1.9444675982843908E-3</v>
      </c>
      <c r="AB15" s="4">
        <v>2.6362252126458849E-4</v>
      </c>
      <c r="AC15" s="4">
        <v>3.8529898544175599E-3</v>
      </c>
      <c r="AD15" s="4">
        <v>1.2955858635025266E-2</v>
      </c>
      <c r="AE15" s="4">
        <v>3.0480475490152172E-2</v>
      </c>
      <c r="AF15" s="4">
        <v>9.5318486183135383E-3</v>
      </c>
      <c r="AG15" s="4">
        <v>4.1061283734182847E-3</v>
      </c>
      <c r="AH15" s="4">
        <v>0</v>
      </c>
      <c r="AI15" s="4">
        <v>0</v>
      </c>
      <c r="AJ15" s="4">
        <v>1.2012360518197391</v>
      </c>
      <c r="AK15" s="4">
        <v>11.345965384444105</v>
      </c>
      <c r="AL15" s="4">
        <v>2.3280778310498</v>
      </c>
      <c r="AM15" s="4">
        <v>0.4619932546173719</v>
      </c>
      <c r="AN15" s="4">
        <v>6.7287350113926656E-2</v>
      </c>
      <c r="AO15" s="4">
        <v>2.2546122705409146E-2</v>
      </c>
      <c r="AP15" s="4">
        <f t="shared" si="0"/>
        <v>33.583484678015836</v>
      </c>
      <c r="AQ15" s="4">
        <f t="shared" si="1"/>
        <v>18.093243292174613</v>
      </c>
      <c r="AR15" s="4">
        <f t="shared" si="2"/>
        <v>15.490241385841228</v>
      </c>
      <c r="AS15" s="4">
        <f t="shared" si="3"/>
        <v>0.76464003402897329</v>
      </c>
      <c r="AT15" s="4">
        <f t="shared" si="4"/>
        <v>6.3135391090875792E-2</v>
      </c>
      <c r="AU15" s="4">
        <f t="shared" si="5"/>
        <v>17.328603258145641</v>
      </c>
      <c r="AV15" s="4">
        <f t="shared" si="6"/>
        <v>15.427105994750352</v>
      </c>
      <c r="AW15" s="4"/>
      <c r="AX15" s="4"/>
      <c r="AY15" s="4"/>
      <c r="AZ15" s="4"/>
      <c r="BA15" s="4"/>
      <c r="BB15" s="4"/>
      <c r="BC15" s="4"/>
    </row>
    <row r="16" spans="1:55" x14ac:dyDescent="0.25">
      <c r="A16" s="2"/>
      <c r="C16" t="s">
        <v>39</v>
      </c>
      <c r="D16" s="4">
        <v>0.47456697291351996</v>
      </c>
      <c r="E16" s="4">
        <v>1.0714507365478401E-2</v>
      </c>
      <c r="F16" s="4">
        <v>0</v>
      </c>
      <c r="G16" s="4">
        <v>0</v>
      </c>
      <c r="H16" s="4">
        <v>2.6532308742198498E-2</v>
      </c>
      <c r="I16" s="4">
        <v>7.3776302534387895E-3</v>
      </c>
      <c r="J16" s="4">
        <v>0.107156169024134</v>
      </c>
      <c r="K16" s="4">
        <v>5.4210330547925699E-2</v>
      </c>
      <c r="L16" s="4">
        <v>4.00500470331797E-2</v>
      </c>
      <c r="M16" s="4">
        <v>1.5297612110506099E-2</v>
      </c>
      <c r="N16" s="4">
        <v>3.8852212077120298E-3</v>
      </c>
      <c r="O16" s="4">
        <v>0</v>
      </c>
      <c r="P16" s="4">
        <v>0</v>
      </c>
      <c r="Q16" s="4">
        <v>2.9408653847937602E-2</v>
      </c>
      <c r="R16" s="4">
        <v>2.2203826120604401E-2</v>
      </c>
      <c r="S16" s="4">
        <v>17.950616136018301</v>
      </c>
      <c r="T16" s="4">
        <v>14.6440039623887</v>
      </c>
      <c r="U16" s="4">
        <v>5.0016911305427003</v>
      </c>
      <c r="V16" s="4">
        <v>0.45625967794779304</v>
      </c>
      <c r="W16" s="4">
        <v>0.19855296137720099</v>
      </c>
      <c r="X16" s="4">
        <v>3.23563367144315E-2</v>
      </c>
      <c r="Y16" s="4">
        <v>0</v>
      </c>
      <c r="Z16" s="4">
        <v>0</v>
      </c>
      <c r="AA16" s="4">
        <v>3.4993840018234202E-3</v>
      </c>
      <c r="AB16" s="4">
        <v>0</v>
      </c>
      <c r="AC16" s="4">
        <v>1.0119185709119639E-2</v>
      </c>
      <c r="AD16" s="4">
        <v>2.077109261870725E-2</v>
      </c>
      <c r="AE16" s="4">
        <v>7.8280441633385392E-2</v>
      </c>
      <c r="AF16" s="4">
        <v>2.2599241329179898E-2</v>
      </c>
      <c r="AG16" s="4">
        <v>7.25674669640593E-3</v>
      </c>
      <c r="AH16" s="4">
        <v>0</v>
      </c>
      <c r="AI16" s="4">
        <v>0</v>
      </c>
      <c r="AJ16" s="4">
        <v>3.6083164488543149</v>
      </c>
      <c r="AK16" s="4">
        <v>33.651710510482957</v>
      </c>
      <c r="AL16" s="4">
        <v>4.1098330811812147</v>
      </c>
      <c r="AM16" s="4">
        <v>1.0730215300607702</v>
      </c>
      <c r="AN16" s="4">
        <v>0.15222149177864505</v>
      </c>
      <c r="AO16" s="4">
        <v>5.0528676136253253E-2</v>
      </c>
      <c r="AP16" s="4">
        <f t="shared" si="0"/>
        <v>81.863041314638565</v>
      </c>
      <c r="AQ16" s="4">
        <f t="shared" si="1"/>
        <v>39.074883484155762</v>
      </c>
      <c r="AR16" s="4">
        <f t="shared" si="2"/>
        <v>42.788157830482781</v>
      </c>
      <c r="AS16" s="4">
        <f t="shared" si="3"/>
        <v>0.73979079919809321</v>
      </c>
      <c r="AT16" s="4">
        <f t="shared" si="4"/>
        <v>0.14252609198862154</v>
      </c>
      <c r="AU16" s="4">
        <f t="shared" si="5"/>
        <v>38.335092684957672</v>
      </c>
      <c r="AV16" s="4">
        <f t="shared" si="6"/>
        <v>42.64563173849416</v>
      </c>
      <c r="AW16" s="4"/>
      <c r="AX16" s="4"/>
      <c r="AY16" s="4"/>
      <c r="AZ16" s="4"/>
      <c r="BA16" s="4"/>
      <c r="BB16" s="4"/>
      <c r="BC16" s="4"/>
    </row>
    <row r="17" spans="1:55" x14ac:dyDescent="0.25">
      <c r="A17" s="2"/>
      <c r="C17" t="s">
        <v>40</v>
      </c>
      <c r="D17" s="4">
        <v>0.81752364008779099</v>
      </c>
      <c r="E17" s="4">
        <v>1.8483968979916401E-2</v>
      </c>
      <c r="F17" s="4">
        <v>0</v>
      </c>
      <c r="G17" s="4">
        <v>0</v>
      </c>
      <c r="H17" s="4">
        <v>3.3488525233316802E-2</v>
      </c>
      <c r="I17" s="4">
        <v>3.7931325441260201E-3</v>
      </c>
      <c r="J17" s="4">
        <v>4.6570570423550894E-2</v>
      </c>
      <c r="K17" s="4">
        <v>2.2460409862691998E-2</v>
      </c>
      <c r="L17" s="4">
        <v>1.7348980508508301E-2</v>
      </c>
      <c r="M17" s="4">
        <v>5.7448802761218692E-3</v>
      </c>
      <c r="N17" s="4">
        <v>0</v>
      </c>
      <c r="O17" s="4">
        <v>0</v>
      </c>
      <c r="P17" s="4">
        <v>0</v>
      </c>
      <c r="Q17" s="4">
        <v>1.8867048921763198E-2</v>
      </c>
      <c r="R17" s="4">
        <v>1.0689204284392399E-2</v>
      </c>
      <c r="S17" s="4">
        <v>6.4683392317634496</v>
      </c>
      <c r="T17" s="4">
        <v>5.0072221111036095</v>
      </c>
      <c r="U17" s="4">
        <v>2.2505623622516602</v>
      </c>
      <c r="V17" s="4">
        <v>0.19442477662521901</v>
      </c>
      <c r="W17" s="4">
        <v>8.2360791857298193E-2</v>
      </c>
      <c r="X17" s="4">
        <v>1.5973331800111099E-2</v>
      </c>
      <c r="Y17" s="4">
        <v>0</v>
      </c>
      <c r="Z17" s="4">
        <v>0</v>
      </c>
      <c r="AA17" s="4">
        <v>4.9968066699074103E-3</v>
      </c>
      <c r="AB17" s="4">
        <v>0</v>
      </c>
      <c r="AC17" s="4">
        <v>0</v>
      </c>
      <c r="AD17" s="4">
        <v>8.5650542022637846E-3</v>
      </c>
      <c r="AE17" s="4">
        <v>2.9762818022795796E-2</v>
      </c>
      <c r="AF17" s="4">
        <v>1.163996512011818E-2</v>
      </c>
      <c r="AG17" s="4">
        <v>3.7563983423557854E-3</v>
      </c>
      <c r="AH17" s="4">
        <v>0</v>
      </c>
      <c r="AI17" s="4">
        <v>0</v>
      </c>
      <c r="AJ17" s="4">
        <v>1.1008016120363979</v>
      </c>
      <c r="AK17" s="4">
        <v>9.5342121756762701</v>
      </c>
      <c r="AL17" s="4">
        <v>1.5028775703246815</v>
      </c>
      <c r="AM17" s="4">
        <v>0.55580561642446102</v>
      </c>
      <c r="AN17" s="4">
        <v>7.8153960323339808E-2</v>
      </c>
      <c r="AO17" s="4">
        <v>2.7501892787467848E-2</v>
      </c>
      <c r="AP17" s="4">
        <f t="shared" si="0"/>
        <v>27.871926836453586</v>
      </c>
      <c r="AQ17" s="4">
        <f t="shared" si="1"/>
        <v>15.013852966523526</v>
      </c>
      <c r="AR17" s="4">
        <f t="shared" si="2"/>
        <v>12.85807386993006</v>
      </c>
      <c r="AS17" s="4">
        <f t="shared" si="3"/>
        <v>0.96541410791602345</v>
      </c>
      <c r="AT17" s="4">
        <f t="shared" si="4"/>
        <v>5.872104235744096E-2</v>
      </c>
      <c r="AU17" s="4">
        <f t="shared" si="5"/>
        <v>14.048438858607504</v>
      </c>
      <c r="AV17" s="4">
        <f t="shared" si="6"/>
        <v>12.799352827572617</v>
      </c>
      <c r="AW17" s="4"/>
      <c r="AX17" s="4"/>
      <c r="AY17" s="4"/>
      <c r="AZ17" s="4"/>
      <c r="BA17" s="4"/>
      <c r="BB17" s="4"/>
      <c r="BC17" s="4"/>
    </row>
    <row r="18" spans="1:55" x14ac:dyDescent="0.25">
      <c r="A18" s="2"/>
      <c r="C18" t="s">
        <v>41</v>
      </c>
      <c r="D18" s="4">
        <v>0.56360375292007203</v>
      </c>
      <c r="E18" s="4">
        <v>1.40968050056729E-2</v>
      </c>
      <c r="F18" s="4">
        <v>0</v>
      </c>
      <c r="G18" s="4">
        <v>0</v>
      </c>
      <c r="H18" s="4">
        <v>2.2925038679851698E-2</v>
      </c>
      <c r="I18" s="4">
        <v>4.7618705283005401E-3</v>
      </c>
      <c r="J18" s="4">
        <v>9.3911152115214197E-2</v>
      </c>
      <c r="K18" s="4">
        <v>4.99200196084294E-2</v>
      </c>
      <c r="L18" s="4">
        <v>3.1663821973688298E-2</v>
      </c>
      <c r="M18" s="4">
        <v>1.20682546284227E-2</v>
      </c>
      <c r="N18" s="4">
        <v>3.1217518201245098E-3</v>
      </c>
      <c r="O18" s="4">
        <v>0</v>
      </c>
      <c r="P18" s="4">
        <v>0</v>
      </c>
      <c r="Q18" s="4">
        <v>1.9187682386456299E-2</v>
      </c>
      <c r="R18" s="4">
        <v>1.74804326784944E-2</v>
      </c>
      <c r="S18" s="4">
        <v>14.209710185902601</v>
      </c>
      <c r="T18" s="4">
        <v>11.2446959444881</v>
      </c>
      <c r="U18" s="4">
        <v>3.8405693601750701</v>
      </c>
      <c r="V18" s="4">
        <v>0.37079378889122599</v>
      </c>
      <c r="W18" s="4">
        <v>0.16554012338117</v>
      </c>
      <c r="X18" s="4">
        <v>2.49589603238329E-2</v>
      </c>
      <c r="Y18" s="4">
        <v>0</v>
      </c>
      <c r="Z18" s="4">
        <v>0</v>
      </c>
      <c r="AA18" s="4">
        <v>3.1139371853736854E-3</v>
      </c>
      <c r="AB18" s="4">
        <v>0</v>
      </c>
      <c r="AC18" s="4">
        <v>0</v>
      </c>
      <c r="AD18" s="4">
        <v>1.8398940793751897E-2</v>
      </c>
      <c r="AE18" s="4">
        <v>6.0657717322553907E-2</v>
      </c>
      <c r="AF18" s="4">
        <v>2.1205425999709652E-2</v>
      </c>
      <c r="AG18" s="4">
        <v>4.1850793143174197E-3</v>
      </c>
      <c r="AH18" s="4">
        <v>0</v>
      </c>
      <c r="AI18" s="4">
        <v>0</v>
      </c>
      <c r="AJ18" s="4">
        <v>2.5499455529131549</v>
      </c>
      <c r="AK18" s="4">
        <v>22.284176851409452</v>
      </c>
      <c r="AL18" s="4">
        <v>2.8042007651053149</v>
      </c>
      <c r="AM18" s="4">
        <v>0.85592688848670007</v>
      </c>
      <c r="AN18" s="4">
        <v>0.1080090741365741</v>
      </c>
      <c r="AO18" s="4">
        <v>3.4098407660503802E-2</v>
      </c>
      <c r="AP18" s="4">
        <f t="shared" si="0"/>
        <v>59.432927585834129</v>
      </c>
      <c r="AQ18" s="4">
        <f t="shared" si="1"/>
        <v>30.689008945506728</v>
      </c>
      <c r="AR18" s="4">
        <f t="shared" si="2"/>
        <v>28.743918640327408</v>
      </c>
      <c r="AS18" s="4">
        <f t="shared" si="3"/>
        <v>0.79607246727977632</v>
      </c>
      <c r="AT18" s="4">
        <f t="shared" si="4"/>
        <v>0.10756110061570655</v>
      </c>
      <c r="AU18" s="4">
        <f t="shared" si="5"/>
        <v>29.89293647822695</v>
      </c>
      <c r="AV18" s="4">
        <f t="shared" si="6"/>
        <v>28.6363575397117</v>
      </c>
      <c r="AW18" s="4"/>
      <c r="AX18" s="4"/>
      <c r="AY18" s="4"/>
      <c r="AZ18" s="4"/>
      <c r="BA18" s="4"/>
      <c r="BB18" s="4"/>
      <c r="BC18" s="4"/>
    </row>
    <row r="19" spans="1:55" x14ac:dyDescent="0.25">
      <c r="A19" s="2">
        <v>45121</v>
      </c>
      <c r="B19">
        <v>54</v>
      </c>
      <c r="C19" t="s">
        <v>36</v>
      </c>
      <c r="D19" s="62">
        <v>1.0619309572376001</v>
      </c>
      <c r="E19" s="62">
        <v>2.5213805424686399E-2</v>
      </c>
      <c r="F19" s="62">
        <v>0</v>
      </c>
      <c r="G19" s="62">
        <v>0</v>
      </c>
      <c r="H19" s="62">
        <v>2.8548527844760814E-2</v>
      </c>
      <c r="I19" s="62">
        <v>2.3049986580432392E-3</v>
      </c>
      <c r="J19" s="62">
        <v>5.4652470905084349E-2</v>
      </c>
      <c r="K19" s="62">
        <v>2.7230372760294098E-2</v>
      </c>
      <c r="L19" s="62">
        <v>2.4922846824658999E-2</v>
      </c>
      <c r="M19" s="62">
        <v>9.2405962964164663E-3</v>
      </c>
      <c r="N19" s="62">
        <v>2.87002596735482E-3</v>
      </c>
      <c r="O19" s="62">
        <v>0</v>
      </c>
      <c r="P19" s="62">
        <v>0</v>
      </c>
      <c r="Q19" s="62">
        <v>9.3084041860647011E-3</v>
      </c>
      <c r="R19" s="62">
        <v>1.3002768497254E-2</v>
      </c>
      <c r="S19" s="62">
        <v>12.178471095585101</v>
      </c>
      <c r="T19" s="62">
        <v>9.2242609658041896</v>
      </c>
      <c r="U19" s="62">
        <v>3.79519077749109</v>
      </c>
      <c r="V19" s="62">
        <v>0.21737011441599199</v>
      </c>
      <c r="W19" s="62">
        <v>0.147857920300968</v>
      </c>
      <c r="X19" s="62">
        <v>2.2925943642312402E-2</v>
      </c>
      <c r="Y19" s="62">
        <v>0</v>
      </c>
      <c r="Z19" s="62">
        <v>0</v>
      </c>
      <c r="AA19" s="62">
        <v>2.7150332767940611E-3</v>
      </c>
      <c r="AB19" s="62">
        <v>2.7104309312193654E-4</v>
      </c>
      <c r="AC19" s="62">
        <v>3.3980153780899755E-3</v>
      </c>
      <c r="AD19" s="62">
        <v>1.4262070259876575E-2</v>
      </c>
      <c r="AE19" s="62">
        <v>3.171293734856525E-2</v>
      </c>
      <c r="AF19" s="62">
        <v>9.637453491599739E-3</v>
      </c>
      <c r="AG19" s="62">
        <v>5.4402578086721054E-3</v>
      </c>
      <c r="AH19" s="62">
        <v>0</v>
      </c>
      <c r="AI19" s="62">
        <v>0</v>
      </c>
      <c r="AJ19" s="62">
        <v>1.679655877338335</v>
      </c>
      <c r="AK19" s="62">
        <v>16.490106032230401</v>
      </c>
      <c r="AL19" s="62">
        <v>2.3725220150491402</v>
      </c>
      <c r="AM19" s="62">
        <v>0.45578934583212249</v>
      </c>
      <c r="AN19" s="62">
        <v>9.3171228476581491E-2</v>
      </c>
      <c r="AO19" s="62">
        <v>3.8953399898012053E-2</v>
      </c>
      <c r="AP19" s="4">
        <f t="shared" si="0"/>
        <v>48.042937301323178</v>
      </c>
      <c r="AQ19" s="4">
        <f t="shared" si="1"/>
        <v>26.845302591841872</v>
      </c>
      <c r="AR19" s="4">
        <f t="shared" si="2"/>
        <v>21.19763470948131</v>
      </c>
      <c r="AS19" s="4">
        <f t="shared" si="3"/>
        <v>1.2369146019188992</v>
      </c>
      <c r="AT19" s="4">
        <f t="shared" si="4"/>
        <v>6.7436810656719637E-2</v>
      </c>
      <c r="AU19" s="4">
        <f t="shared" si="5"/>
        <v>25.608387989922974</v>
      </c>
      <c r="AV19" s="4">
        <f t="shared" si="6"/>
        <v>21.130197898824591</v>
      </c>
      <c r="AW19" s="4"/>
      <c r="AX19" s="4"/>
      <c r="AY19" s="4"/>
      <c r="AZ19" s="4"/>
      <c r="BA19" s="4"/>
      <c r="BB19" s="4"/>
      <c r="BC19" s="4"/>
    </row>
    <row r="20" spans="1:55" x14ac:dyDescent="0.25">
      <c r="A20" s="2"/>
      <c r="C20" t="s">
        <v>39</v>
      </c>
      <c r="D20" s="62">
        <v>1.1686367911011579</v>
      </c>
      <c r="E20" s="62">
        <v>1.8934151612254136E-2</v>
      </c>
      <c r="F20" s="62">
        <v>0</v>
      </c>
      <c r="G20" s="62">
        <v>0</v>
      </c>
      <c r="H20" s="62">
        <v>5.7782984025754477E-2</v>
      </c>
      <c r="I20" s="62">
        <v>3.6596696402208442E-3</v>
      </c>
      <c r="J20" s="62">
        <v>7.2559051018973225E-2</v>
      </c>
      <c r="K20" s="62">
        <v>3.29218952878743E-2</v>
      </c>
      <c r="L20" s="62">
        <v>2.4558960948641701E-2</v>
      </c>
      <c r="M20" s="62">
        <v>5.6927500909723901E-3</v>
      </c>
      <c r="N20" s="62">
        <v>2.9847111615760504E-3</v>
      </c>
      <c r="O20" s="62">
        <v>0</v>
      </c>
      <c r="P20" s="62">
        <v>0</v>
      </c>
      <c r="Q20" s="62">
        <v>1.86221002781897E-2</v>
      </c>
      <c r="R20" s="62">
        <v>1.7074242584207599E-2</v>
      </c>
      <c r="S20" s="62">
        <v>12.2113401710182</v>
      </c>
      <c r="T20" s="62">
        <v>7.2737674716598306</v>
      </c>
      <c r="U20" s="62">
        <v>4.4679111312556996</v>
      </c>
      <c r="V20" s="62">
        <v>0.24010636623901102</v>
      </c>
      <c r="W20" s="62">
        <v>0.107009556215841</v>
      </c>
      <c r="X20" s="62">
        <v>0</v>
      </c>
      <c r="Y20" s="62">
        <v>0</v>
      </c>
      <c r="Z20" s="62">
        <v>0</v>
      </c>
      <c r="AA20" s="62">
        <v>6.3635057737545502E-3</v>
      </c>
      <c r="AB20" s="62">
        <v>0</v>
      </c>
      <c r="AC20" s="62">
        <v>0</v>
      </c>
      <c r="AD20" s="62">
        <v>1.6808987002905389E-2</v>
      </c>
      <c r="AE20" s="62">
        <v>4.8048498183923552E-2</v>
      </c>
      <c r="AF20" s="62">
        <v>1.6925491721549675E-2</v>
      </c>
      <c r="AG20" s="62">
        <v>5.9538345705168003E-3</v>
      </c>
      <c r="AH20" s="62">
        <v>0</v>
      </c>
      <c r="AI20" s="62">
        <v>0</v>
      </c>
      <c r="AJ20" s="62">
        <v>3.0735573316915996</v>
      </c>
      <c r="AK20" s="62">
        <v>23.785474489897851</v>
      </c>
      <c r="AL20" s="62">
        <v>3.83122922248663</v>
      </c>
      <c r="AM20" s="62">
        <v>1.0204273633446599</v>
      </c>
      <c r="AN20" s="62">
        <v>0.21740941691297599</v>
      </c>
      <c r="AO20" s="62">
        <v>8.45009976381568E-2</v>
      </c>
      <c r="AP20" s="4">
        <f t="shared" si="0"/>
        <v>57.830261143362932</v>
      </c>
      <c r="AQ20" s="4">
        <f t="shared" si="1"/>
        <v>25.723562004138405</v>
      </c>
      <c r="AR20" s="4">
        <f t="shared" si="2"/>
        <v>32.106699139224524</v>
      </c>
      <c r="AS20" s="4">
        <f t="shared" si="3"/>
        <v>1.387730964887425</v>
      </c>
      <c r="AT20" s="4">
        <f t="shared" si="4"/>
        <v>9.4100317252649959E-2</v>
      </c>
      <c r="AU20" s="4">
        <f t="shared" si="5"/>
        <v>24.33583103925098</v>
      </c>
      <c r="AV20" s="4">
        <f t="shared" si="6"/>
        <v>32.012598821971871</v>
      </c>
      <c r="AW20" s="4"/>
      <c r="AX20" s="4"/>
      <c r="AY20" s="4"/>
      <c r="AZ20" s="4"/>
      <c r="BA20" s="4"/>
      <c r="BB20" s="4"/>
      <c r="BC20" s="4"/>
    </row>
    <row r="21" spans="1:55" x14ac:dyDescent="0.25">
      <c r="A21" s="2"/>
      <c r="C21" t="s">
        <v>40</v>
      </c>
      <c r="D21" s="62">
        <v>0.79100742912884503</v>
      </c>
      <c r="E21" s="62">
        <v>1.6431611680696439E-2</v>
      </c>
      <c r="F21" s="62">
        <v>0</v>
      </c>
      <c r="G21" s="62">
        <v>0</v>
      </c>
      <c r="H21" s="62">
        <v>3.6048779271888078E-2</v>
      </c>
      <c r="I21" s="62">
        <v>3.4360410834665838E-3</v>
      </c>
      <c r="J21" s="62">
        <v>9.7881261792901728E-2</v>
      </c>
      <c r="K21" s="62">
        <v>4.44819259799447E-2</v>
      </c>
      <c r="L21" s="62">
        <v>2.6888572770725899E-2</v>
      </c>
      <c r="M21" s="62">
        <v>6.3412909842697103E-3</v>
      </c>
      <c r="N21" s="62">
        <v>3.38428878453583E-3</v>
      </c>
      <c r="O21" s="62">
        <v>0</v>
      </c>
      <c r="P21" s="62">
        <v>0</v>
      </c>
      <c r="Q21" s="62">
        <v>1.3779695614473599E-2</v>
      </c>
      <c r="R21" s="62">
        <v>1.8896087924118898E-2</v>
      </c>
      <c r="S21" s="62">
        <v>14.746996268781301</v>
      </c>
      <c r="T21" s="62">
        <v>8.7706734849236607</v>
      </c>
      <c r="U21" s="62">
        <v>7.3632789817963502</v>
      </c>
      <c r="V21" s="62">
        <v>0.34496510773367001</v>
      </c>
      <c r="W21" s="62">
        <v>0.120551304480173</v>
      </c>
      <c r="X21" s="62">
        <v>1.9196026540313001E-2</v>
      </c>
      <c r="Y21" s="62">
        <v>0</v>
      </c>
      <c r="Z21" s="62">
        <v>0</v>
      </c>
      <c r="AA21" s="62">
        <v>5.3916440441543548E-3</v>
      </c>
      <c r="AB21" s="62">
        <v>0</v>
      </c>
      <c r="AC21" s="62">
        <v>0</v>
      </c>
      <c r="AD21" s="62">
        <v>1.188788830452929E-2</v>
      </c>
      <c r="AE21" s="62">
        <v>3.2905107853339902E-2</v>
      </c>
      <c r="AF21" s="62">
        <v>1.0674010282829655E-2</v>
      </c>
      <c r="AG21" s="62">
        <v>3.8033230321297099E-3</v>
      </c>
      <c r="AH21" s="62">
        <v>0</v>
      </c>
      <c r="AI21" s="62">
        <v>0</v>
      </c>
      <c r="AJ21" s="62">
        <v>2.1194320797102799</v>
      </c>
      <c r="AK21" s="62">
        <v>16.62543272970435</v>
      </c>
      <c r="AL21" s="62">
        <v>2.9323626571220904</v>
      </c>
      <c r="AM21" s="62">
        <v>0.61395888059773362</v>
      </c>
      <c r="AN21" s="62">
        <v>0.13169299252933186</v>
      </c>
      <c r="AO21" s="62">
        <v>6.0294424094009598E-2</v>
      </c>
      <c r="AP21" s="4">
        <f t="shared" si="0"/>
        <v>54.972073896546107</v>
      </c>
      <c r="AQ21" s="4">
        <f t="shared" si="1"/>
        <v>32.424238159271333</v>
      </c>
      <c r="AR21" s="4">
        <f t="shared" si="2"/>
        <v>22.547835737274781</v>
      </c>
      <c r="AS21" s="4">
        <f t="shared" si="3"/>
        <v>1.0259012014772741</v>
      </c>
      <c r="AT21" s="4">
        <f t="shared" si="4"/>
        <v>6.4661973516982912E-2</v>
      </c>
      <c r="AU21" s="4">
        <f t="shared" si="5"/>
        <v>31.398336957794065</v>
      </c>
      <c r="AV21" s="4">
        <f t="shared" si="6"/>
        <v>22.483173763757797</v>
      </c>
      <c r="AW21" s="4"/>
      <c r="AX21" s="4"/>
      <c r="AY21" s="4"/>
      <c r="AZ21" s="4"/>
      <c r="BA21" s="4"/>
      <c r="BB21" s="4"/>
      <c r="BC21" s="4"/>
    </row>
    <row r="22" spans="1:55" x14ac:dyDescent="0.25">
      <c r="A22" s="2"/>
      <c r="C22" t="s">
        <v>41</v>
      </c>
      <c r="D22" s="62">
        <v>0.73354981248234508</v>
      </c>
      <c r="E22" s="62">
        <v>1.7710857508864936E-2</v>
      </c>
      <c r="F22" s="62">
        <v>0</v>
      </c>
      <c r="G22" s="62">
        <v>0</v>
      </c>
      <c r="H22" s="62">
        <v>2.3278323846917186E-2</v>
      </c>
      <c r="I22" s="62">
        <v>1.9904698988405236E-3</v>
      </c>
      <c r="J22" s="62">
        <v>5.2268330133902328E-2</v>
      </c>
      <c r="K22" s="62">
        <v>2.58525007599066E-2</v>
      </c>
      <c r="L22" s="62">
        <v>2.1273776649253999E-2</v>
      </c>
      <c r="M22" s="62">
        <v>5.7661339984552903E-3</v>
      </c>
      <c r="N22" s="62">
        <v>3.4164464677102504E-3</v>
      </c>
      <c r="O22" s="62">
        <v>0</v>
      </c>
      <c r="P22" s="62">
        <v>0</v>
      </c>
      <c r="Q22" s="62">
        <v>1.0096036658988901E-2</v>
      </c>
      <c r="R22" s="62">
        <v>1.2380236946933699E-2</v>
      </c>
      <c r="S22" s="62">
        <v>9.3219295076075603</v>
      </c>
      <c r="T22" s="62">
        <v>5.9668111903246901</v>
      </c>
      <c r="U22" s="62">
        <v>5.1063755050540705</v>
      </c>
      <c r="V22" s="62">
        <v>0.25473995149161899</v>
      </c>
      <c r="W22" s="62">
        <v>0.11729913113347</v>
      </c>
      <c r="X22" s="62">
        <v>2.2630244202460299E-2</v>
      </c>
      <c r="Y22" s="62">
        <v>0</v>
      </c>
      <c r="Z22" s="62">
        <v>0</v>
      </c>
      <c r="AA22" s="62">
        <v>3.2268491710953306E-3</v>
      </c>
      <c r="AB22" s="62">
        <v>0</v>
      </c>
      <c r="AC22" s="62">
        <v>0</v>
      </c>
      <c r="AD22" s="62">
        <v>1.6604947909307666E-2</v>
      </c>
      <c r="AE22" s="62">
        <v>4.2978367761761456E-2</v>
      </c>
      <c r="AF22" s="62">
        <v>1.4417047706331381E-2</v>
      </c>
      <c r="AG22" s="62">
        <v>4.0379042680576396E-3</v>
      </c>
      <c r="AH22" s="62">
        <v>0</v>
      </c>
      <c r="AI22" s="62">
        <v>0</v>
      </c>
      <c r="AJ22" s="62">
        <v>2.6612097195616151</v>
      </c>
      <c r="AK22" s="62">
        <v>20.253202493795552</v>
      </c>
      <c r="AL22" s="62">
        <v>2.9393730411851449</v>
      </c>
      <c r="AM22" s="62">
        <v>0.89149686988445753</v>
      </c>
      <c r="AN22" s="62">
        <v>0.15828204462283962</v>
      </c>
      <c r="AO22" s="62">
        <v>6.826880926453055E-2</v>
      </c>
      <c r="AP22" s="4">
        <f t="shared" si="0"/>
        <v>48.750466550296672</v>
      </c>
      <c r="AQ22" s="4">
        <f t="shared" si="1"/>
        <v>21.697368455165989</v>
      </c>
      <c r="AR22" s="4">
        <f t="shared" si="2"/>
        <v>27.053098095130693</v>
      </c>
      <c r="AS22" s="4">
        <f t="shared" si="3"/>
        <v>0.88510665174619618</v>
      </c>
      <c r="AT22" s="4">
        <f t="shared" si="4"/>
        <v>8.1265116816553476E-2</v>
      </c>
      <c r="AU22" s="4">
        <f t="shared" si="5"/>
        <v>20.812261803419794</v>
      </c>
      <c r="AV22" s="4">
        <f t="shared" si="6"/>
        <v>26.97183297831414</v>
      </c>
      <c r="AW22" s="4"/>
      <c r="AX22" s="4"/>
      <c r="AY22" s="4"/>
      <c r="AZ22" s="4"/>
      <c r="BA22" s="4"/>
      <c r="BB22" s="4"/>
      <c r="BC22" s="4"/>
    </row>
    <row r="23" spans="1:55" x14ac:dyDescent="0.25">
      <c r="A23" s="2">
        <v>45124</v>
      </c>
      <c r="B23">
        <v>57</v>
      </c>
      <c r="C23" t="s">
        <v>36</v>
      </c>
      <c r="D23" s="4">
        <v>0.191609480329993</v>
      </c>
      <c r="E23" s="4">
        <v>5.4750192484498096E-3</v>
      </c>
      <c r="F23" s="4">
        <v>0</v>
      </c>
      <c r="G23" s="4">
        <v>0</v>
      </c>
      <c r="H23" s="4">
        <v>4.8280235046873517E-3</v>
      </c>
      <c r="I23" s="4">
        <v>1.3729193269155192E-3</v>
      </c>
      <c r="J23" s="4">
        <v>5.9375309489246755E-2</v>
      </c>
      <c r="K23" s="4">
        <v>3.11602479895168E-2</v>
      </c>
      <c r="L23" s="4">
        <v>2.0915846046972799E-2</v>
      </c>
      <c r="M23" s="4">
        <v>6.948940608235506E-3</v>
      </c>
      <c r="N23" s="4">
        <v>0</v>
      </c>
      <c r="O23" s="4">
        <v>0</v>
      </c>
      <c r="P23" s="4">
        <v>0</v>
      </c>
      <c r="Q23" s="4">
        <v>7.3833736709949197E-3</v>
      </c>
      <c r="R23" s="4">
        <v>1.37402336685368E-2</v>
      </c>
      <c r="S23" s="4">
        <v>13.123967032493699</v>
      </c>
      <c r="T23" s="4">
        <v>9.1197662805331294</v>
      </c>
      <c r="U23" s="4">
        <v>3.07895596092464</v>
      </c>
      <c r="V23" s="4">
        <v>0.16138814260926501</v>
      </c>
      <c r="W23" s="4">
        <v>0.11722411297259999</v>
      </c>
      <c r="X23" s="4">
        <v>1.7540271303837698E-2</v>
      </c>
      <c r="Y23" s="4">
        <v>0</v>
      </c>
      <c r="Z23" s="4">
        <v>0</v>
      </c>
      <c r="AA23" s="4">
        <v>7.2035827867841351E-4</v>
      </c>
      <c r="AB23" s="4">
        <v>1.0954216237367245E-4</v>
      </c>
      <c r="AC23" s="4">
        <v>3.6656457441379049E-3</v>
      </c>
      <c r="AD23" s="4">
        <v>1.3110013403611899E-2</v>
      </c>
      <c r="AE23" s="4">
        <v>3.2628323477382842E-2</v>
      </c>
      <c r="AF23" s="4">
        <v>8.1874305871640699E-3</v>
      </c>
      <c r="AG23" s="4">
        <v>3.7385731472161549E-3</v>
      </c>
      <c r="AH23" s="4">
        <v>0</v>
      </c>
      <c r="AI23" s="4">
        <v>0</v>
      </c>
      <c r="AJ23" s="4">
        <v>1.8231924434099951</v>
      </c>
      <c r="AK23" s="4">
        <v>19.9097810804552</v>
      </c>
      <c r="AL23" s="4">
        <v>2.1808957414782459</v>
      </c>
      <c r="AM23" s="4">
        <v>0.39490856338653807</v>
      </c>
      <c r="AN23" s="4">
        <v>8.1229967157202293E-2</v>
      </c>
      <c r="AO23" s="4">
        <v>2.4992031411712551E-2</v>
      </c>
      <c r="AP23" s="4">
        <f t="shared" si="0"/>
        <v>50.438810908820173</v>
      </c>
      <c r="AQ23" s="4">
        <f t="shared" si="1"/>
        <v>25.961651194720719</v>
      </c>
      <c r="AR23" s="4">
        <f t="shared" si="2"/>
        <v>24.477159714099457</v>
      </c>
      <c r="AS23" s="4">
        <f t="shared" si="3"/>
        <v>0.32168578654401753</v>
      </c>
      <c r="AT23" s="4">
        <f t="shared" si="4"/>
        <v>6.2159886800564959E-2</v>
      </c>
      <c r="AU23" s="4">
        <f t="shared" si="5"/>
        <v>25.639965408176703</v>
      </c>
      <c r="AV23" s="4">
        <f t="shared" si="6"/>
        <v>24.414999827298892</v>
      </c>
      <c r="AW23" s="4"/>
      <c r="AX23" s="4"/>
      <c r="AY23" s="4"/>
      <c r="AZ23" s="4"/>
      <c r="BA23" s="4"/>
      <c r="BB23" s="4"/>
      <c r="BC23" s="4"/>
    </row>
    <row r="24" spans="1:55" x14ac:dyDescent="0.25">
      <c r="A24" s="2"/>
      <c r="C24" t="s">
        <v>39</v>
      </c>
      <c r="D24" s="4">
        <v>0.68973237880904303</v>
      </c>
      <c r="E24" s="4">
        <v>1.5414459421945199E-2</v>
      </c>
      <c r="F24" s="4">
        <v>0</v>
      </c>
      <c r="G24" s="4">
        <v>0</v>
      </c>
      <c r="H24" s="4">
        <v>3.00340268400104E-2</v>
      </c>
      <c r="I24" s="4">
        <v>4.9915542995211098E-3</v>
      </c>
      <c r="J24" s="4">
        <v>9.3097136993615395E-2</v>
      </c>
      <c r="K24" s="4">
        <v>4.8083620149294799E-2</v>
      </c>
      <c r="L24" s="4">
        <v>3.9158369226801597E-2</v>
      </c>
      <c r="M24" s="4">
        <v>1.4108046349941599E-2</v>
      </c>
      <c r="N24" s="4">
        <v>4.3675021552802996E-3</v>
      </c>
      <c r="O24" s="4">
        <v>0</v>
      </c>
      <c r="P24" s="4">
        <v>0</v>
      </c>
      <c r="Q24" s="4">
        <v>1.8373239981052902E-2</v>
      </c>
      <c r="R24" s="4">
        <v>1.9789815939691303E-2</v>
      </c>
      <c r="S24" s="4">
        <v>15.308263091115199</v>
      </c>
      <c r="T24" s="4">
        <v>12.715707396533901</v>
      </c>
      <c r="U24" s="4">
        <v>5.5331546916020695</v>
      </c>
      <c r="V24" s="4">
        <v>0.55423502122565194</v>
      </c>
      <c r="W24" s="4">
        <v>0.24664696213113099</v>
      </c>
      <c r="X24" s="4">
        <v>4.2757357829126E-2</v>
      </c>
      <c r="Y24" s="4">
        <v>0</v>
      </c>
      <c r="Z24" s="4">
        <v>0</v>
      </c>
      <c r="AA24" s="4">
        <v>3.72570804732199E-3</v>
      </c>
      <c r="AB24" s="4">
        <v>0</v>
      </c>
      <c r="AC24" s="4">
        <v>0</v>
      </c>
      <c r="AD24" s="4">
        <v>1.85355360499827E-2</v>
      </c>
      <c r="AE24" s="4">
        <v>6.3965205536623992E-2</v>
      </c>
      <c r="AF24" s="4">
        <v>2.1858796372347448E-2</v>
      </c>
      <c r="AG24" s="4">
        <v>9.1619929053933548E-3</v>
      </c>
      <c r="AH24" s="4">
        <v>0</v>
      </c>
      <c r="AI24" s="4">
        <v>0</v>
      </c>
      <c r="AJ24" s="4">
        <v>2.9442522834545</v>
      </c>
      <c r="AK24" s="4">
        <v>27.188591933462348</v>
      </c>
      <c r="AL24" s="4">
        <v>3.8886065348204348</v>
      </c>
      <c r="AM24" s="4">
        <v>1.2810854887995107</v>
      </c>
      <c r="AN24" s="4">
        <v>0.21644478226953898</v>
      </c>
      <c r="AO24" s="4">
        <v>7.1160662144487546E-2</v>
      </c>
      <c r="AP24" s="4">
        <f t="shared" si="0"/>
        <v>71.085303594465756</v>
      </c>
      <c r="AQ24" s="4">
        <f t="shared" si="1"/>
        <v>35.377914670603275</v>
      </c>
      <c r="AR24" s="4">
        <f t="shared" si="2"/>
        <v>35.707388923862489</v>
      </c>
      <c r="AS24" s="4">
        <f t="shared" si="3"/>
        <v>0.93898709424545346</v>
      </c>
      <c r="AT24" s="4">
        <f t="shared" si="4"/>
        <v>0.11724723891166948</v>
      </c>
      <c r="AU24" s="4">
        <f t="shared" si="5"/>
        <v>34.43892757635782</v>
      </c>
      <c r="AV24" s="4">
        <f t="shared" si="6"/>
        <v>35.590141684950822</v>
      </c>
      <c r="AW24" s="4"/>
      <c r="AX24" s="4"/>
      <c r="AY24" s="4"/>
      <c r="AZ24" s="4"/>
      <c r="BA24" s="4"/>
      <c r="BB24" s="4"/>
      <c r="BC24" s="4"/>
    </row>
    <row r="25" spans="1:55" x14ac:dyDescent="0.25">
      <c r="A25" s="2"/>
      <c r="C25" t="s">
        <v>40</v>
      </c>
      <c r="D25" s="4">
        <v>0.42947039358863798</v>
      </c>
      <c r="E25" s="4">
        <v>7.0542448656698599E-3</v>
      </c>
      <c r="F25" s="4">
        <v>0</v>
      </c>
      <c r="G25" s="4">
        <v>0</v>
      </c>
      <c r="H25" s="4">
        <v>1.5007052692955799E-2</v>
      </c>
      <c r="I25" s="4">
        <v>2.69775103344185E-3</v>
      </c>
      <c r="J25" s="4">
        <v>6.4711043081659897E-2</v>
      </c>
      <c r="K25" s="4">
        <v>2.7504118597854302E-2</v>
      </c>
      <c r="L25" s="4">
        <v>2.3506400259173499E-2</v>
      </c>
      <c r="M25" s="4">
        <v>7.4245700138655703E-3</v>
      </c>
      <c r="N25" s="4">
        <v>2.8705064614474199E-3</v>
      </c>
      <c r="O25" s="4">
        <v>0</v>
      </c>
      <c r="P25" s="4">
        <v>0</v>
      </c>
      <c r="Q25" s="4">
        <v>1.2895731141396799E-2</v>
      </c>
      <c r="R25" s="4">
        <v>1.1529417582512001E-2</v>
      </c>
      <c r="S25" s="4">
        <v>10.1008984194719</v>
      </c>
      <c r="T25" s="4">
        <v>7.6726181491103196</v>
      </c>
      <c r="U25" s="4">
        <v>3.7448282765504199</v>
      </c>
      <c r="V25" s="4">
        <v>0.28694246162158205</v>
      </c>
      <c r="W25" s="4">
        <v>0.126709780752263</v>
      </c>
      <c r="X25" s="4">
        <v>2.1558482227100398E-2</v>
      </c>
      <c r="Y25" s="4">
        <v>0</v>
      </c>
      <c r="Z25" s="4">
        <v>0</v>
      </c>
      <c r="AA25" s="4">
        <v>0</v>
      </c>
      <c r="AB25" s="4">
        <v>0</v>
      </c>
      <c r="AC25" s="4">
        <v>0</v>
      </c>
      <c r="AD25" s="4">
        <v>1.0970707498737393E-2</v>
      </c>
      <c r="AE25" s="4">
        <v>2.9470184345915845E-2</v>
      </c>
      <c r="AF25" s="4">
        <v>9.910801450857409E-3</v>
      </c>
      <c r="AG25" s="4">
        <v>5.54031582668074E-3</v>
      </c>
      <c r="AH25" s="4">
        <v>0</v>
      </c>
      <c r="AI25" s="4">
        <v>0</v>
      </c>
      <c r="AJ25" s="4">
        <v>1.65836114027338</v>
      </c>
      <c r="AK25" s="4">
        <v>16.292055578649645</v>
      </c>
      <c r="AL25" s="4">
        <v>2.5323243029888456</v>
      </c>
      <c r="AM25" s="4">
        <v>0.73596285630648461</v>
      </c>
      <c r="AN25" s="4">
        <v>0.13653732913296135</v>
      </c>
      <c r="AO25" s="4">
        <v>4.9065624402986653E-2</v>
      </c>
      <c r="AP25" s="4">
        <f t="shared" si="0"/>
        <v>44.018425639928701</v>
      </c>
      <c r="AQ25" s="4">
        <f t="shared" si="1"/>
        <v>22.558226799052203</v>
      </c>
      <c r="AR25" s="4">
        <f t="shared" si="2"/>
        <v>21.46019884087649</v>
      </c>
      <c r="AS25" s="4">
        <f t="shared" si="3"/>
        <v>0.58024608059470606</v>
      </c>
      <c r="AT25" s="4">
        <f t="shared" si="4"/>
        <v>5.5892009122191388E-2</v>
      </c>
      <c r="AU25" s="4">
        <f t="shared" si="5"/>
        <v>21.977980718457491</v>
      </c>
      <c r="AV25" s="4">
        <f t="shared" si="6"/>
        <v>21.404306831754301</v>
      </c>
      <c r="AW25" s="4"/>
      <c r="AX25" s="4"/>
      <c r="AY25" s="4"/>
      <c r="AZ25" s="4"/>
      <c r="BA25" s="4"/>
      <c r="BB25" s="4"/>
      <c r="BC25" s="4"/>
    </row>
    <row r="26" spans="1:55" x14ac:dyDescent="0.25">
      <c r="A26" s="2"/>
      <c r="C26" t="s">
        <v>41</v>
      </c>
      <c r="D26" s="4">
        <v>0.32210511069560199</v>
      </c>
      <c r="E26" s="4">
        <v>6.6743501273200502E-3</v>
      </c>
      <c r="F26" s="4">
        <v>0</v>
      </c>
      <c r="G26" s="4">
        <v>0</v>
      </c>
      <c r="H26" s="4">
        <v>1.12463808041988E-2</v>
      </c>
      <c r="I26" s="4">
        <v>3.0336585547517296E-3</v>
      </c>
      <c r="J26" s="4">
        <v>0.122337683612202</v>
      </c>
      <c r="K26" s="4">
        <v>5.5610732630760704E-2</v>
      </c>
      <c r="L26" s="4">
        <v>3.5579949787219102E-2</v>
      </c>
      <c r="M26" s="4">
        <v>1.1383355976669301E-2</v>
      </c>
      <c r="N26" s="4">
        <v>3.1216667510384601E-3</v>
      </c>
      <c r="O26" s="4">
        <v>0</v>
      </c>
      <c r="P26" s="4">
        <v>0</v>
      </c>
      <c r="Q26" s="4">
        <v>1.2333846591473E-2</v>
      </c>
      <c r="R26" s="4">
        <v>1.7616738110509601E-2</v>
      </c>
      <c r="S26" s="4">
        <v>17.773688354314501</v>
      </c>
      <c r="T26" s="4">
        <v>13.6145809669993</v>
      </c>
      <c r="U26" s="4">
        <v>3.98937850733267</v>
      </c>
      <c r="V26" s="4">
        <v>0.36028469449916201</v>
      </c>
      <c r="W26" s="4">
        <v>0.164807409900561</v>
      </c>
      <c r="X26" s="4">
        <v>2.4908600108026799E-2</v>
      </c>
      <c r="Y26" s="4">
        <v>0</v>
      </c>
      <c r="Z26" s="4">
        <v>0</v>
      </c>
      <c r="AA26" s="4">
        <v>0</v>
      </c>
      <c r="AB26" s="4">
        <v>0</v>
      </c>
      <c r="AC26" s="4">
        <v>0</v>
      </c>
      <c r="AD26" s="4">
        <v>2.3872895740790802E-2</v>
      </c>
      <c r="AE26" s="4">
        <v>6.0963392010367747E-2</v>
      </c>
      <c r="AF26" s="4">
        <v>2.0305624975952001E-2</v>
      </c>
      <c r="AG26" s="4">
        <v>5.1691841125675354E-3</v>
      </c>
      <c r="AH26" s="4">
        <v>0</v>
      </c>
      <c r="AI26" s="4">
        <v>0</v>
      </c>
      <c r="AJ26" s="4">
        <v>3.1979796473763047</v>
      </c>
      <c r="AK26" s="4">
        <v>29.309853383363198</v>
      </c>
      <c r="AL26" s="4">
        <v>2.7438752843255245</v>
      </c>
      <c r="AM26" s="4">
        <v>0.84985241895705244</v>
      </c>
      <c r="AN26" s="4">
        <v>0.13821241956749036</v>
      </c>
      <c r="AO26" s="4">
        <v>4.6111374534836103E-2</v>
      </c>
      <c r="AP26" s="4">
        <f t="shared" si="0"/>
        <v>72.924887631760058</v>
      </c>
      <c r="AQ26" s="4">
        <f t="shared" si="1"/>
        <v>36.528692006795964</v>
      </c>
      <c r="AR26" s="4">
        <f t="shared" si="2"/>
        <v>36.396195624964079</v>
      </c>
      <c r="AS26" s="4">
        <f t="shared" si="3"/>
        <v>0.57109288893976207</v>
      </c>
      <c r="AT26" s="4">
        <f t="shared" si="4"/>
        <v>0.11031109683967807</v>
      </c>
      <c r="AU26" s="4">
        <f t="shared" si="5"/>
        <v>35.957599117856205</v>
      </c>
      <c r="AV26" s="4">
        <f t="shared" si="6"/>
        <v>36.285884528124413</v>
      </c>
      <c r="AW26" s="4"/>
      <c r="AX26" s="4"/>
      <c r="AY26" s="4"/>
      <c r="AZ26" s="4"/>
      <c r="BA26" s="4"/>
      <c r="BB26" s="4"/>
      <c r="BC26" s="4"/>
    </row>
    <row r="27" spans="1:55" x14ac:dyDescent="0.25">
      <c r="A27" s="2">
        <v>45128</v>
      </c>
      <c r="B27">
        <v>61</v>
      </c>
      <c r="C27" t="s">
        <v>36</v>
      </c>
      <c r="D27" s="4">
        <v>0</v>
      </c>
      <c r="E27" s="4">
        <v>0</v>
      </c>
      <c r="F27" s="4">
        <v>0</v>
      </c>
      <c r="G27" s="4">
        <v>0</v>
      </c>
      <c r="H27" s="4">
        <v>0</v>
      </c>
      <c r="I27" s="4">
        <v>0</v>
      </c>
      <c r="J27" s="4">
        <v>4.5975018505869651E-2</v>
      </c>
      <c r="K27" s="4">
        <v>2.16245846227331E-2</v>
      </c>
      <c r="L27" s="4">
        <v>1.64069896124623E-2</v>
      </c>
      <c r="M27" s="4">
        <v>0</v>
      </c>
      <c r="N27" s="4">
        <v>0</v>
      </c>
      <c r="O27" s="4">
        <v>0</v>
      </c>
      <c r="P27" s="4">
        <v>0</v>
      </c>
      <c r="Q27" s="4">
        <v>3.4865405581599399E-3</v>
      </c>
      <c r="R27" s="4">
        <v>8.7121600333454601E-3</v>
      </c>
      <c r="S27" s="4">
        <v>7.9336850604161304</v>
      </c>
      <c r="T27" s="4">
        <v>4.6866294787117901</v>
      </c>
      <c r="U27" s="4">
        <v>1.70419675803185</v>
      </c>
      <c r="V27" s="4">
        <v>0.12168541208162099</v>
      </c>
      <c r="W27" s="4">
        <v>6.77959396565848E-2</v>
      </c>
      <c r="X27" s="4">
        <v>1.18088536838999E-2</v>
      </c>
      <c r="Y27" s="4">
        <v>0</v>
      </c>
      <c r="Z27" s="4">
        <v>0</v>
      </c>
      <c r="AA27" s="4">
        <v>1.2771371875721849E-4</v>
      </c>
      <c r="AB27" s="4">
        <v>0</v>
      </c>
      <c r="AC27" s="4">
        <v>2.4755531433027153E-3</v>
      </c>
      <c r="AD27" s="4">
        <v>1.0176367292812415E-2</v>
      </c>
      <c r="AE27" s="4">
        <v>3.0534996219135642E-2</v>
      </c>
      <c r="AF27" s="4">
        <v>3.2359550513144952E-3</v>
      </c>
      <c r="AG27" s="4">
        <v>2.4860203734637801E-3</v>
      </c>
      <c r="AH27" s="4">
        <v>0</v>
      </c>
      <c r="AI27" s="4">
        <v>0</v>
      </c>
      <c r="AJ27" s="4">
        <v>1.0538351666258445</v>
      </c>
      <c r="AK27" s="4">
        <v>10.61211932864016</v>
      </c>
      <c r="AL27" s="4">
        <v>1.2892741510676204</v>
      </c>
      <c r="AM27" s="4">
        <v>0.21981174288244795</v>
      </c>
      <c r="AN27" s="4">
        <v>2.7819895881302799E-2</v>
      </c>
      <c r="AO27" s="4">
        <v>7.6793623517929848E-3</v>
      </c>
      <c r="AP27" s="4">
        <f t="shared" si="0"/>
        <v>27.881583049162408</v>
      </c>
      <c r="AQ27" s="4">
        <f t="shared" si="1"/>
        <v>14.622006795914448</v>
      </c>
      <c r="AR27" s="4">
        <f t="shared" si="2"/>
        <v>13.259576253247955</v>
      </c>
      <c r="AS27" s="4">
        <f t="shared" si="3"/>
        <v>8.4006592741065048E-2</v>
      </c>
      <c r="AT27" s="4">
        <f t="shared" si="4"/>
        <v>4.9036605798786263E-2</v>
      </c>
      <c r="AU27" s="4">
        <f t="shared" si="5"/>
        <v>14.538000203173382</v>
      </c>
      <c r="AV27" s="4">
        <f t="shared" si="6"/>
        <v>13.210539647449169</v>
      </c>
      <c r="AW27" s="4"/>
      <c r="AX27" s="4"/>
      <c r="AY27" s="4"/>
      <c r="AZ27" s="4"/>
      <c r="BA27" s="4"/>
      <c r="BB27" s="4"/>
      <c r="BC27" s="4"/>
    </row>
    <row r="28" spans="1:55" x14ac:dyDescent="0.25">
      <c r="A28" s="2"/>
      <c r="C28" t="s">
        <v>39</v>
      </c>
      <c r="D28" s="4">
        <v>1.0859730285776401E-2</v>
      </c>
      <c r="E28" s="4">
        <v>0</v>
      </c>
      <c r="F28" s="4">
        <v>0</v>
      </c>
      <c r="G28" s="4">
        <v>0</v>
      </c>
      <c r="H28" s="4">
        <v>2.6515195355113802E-3</v>
      </c>
      <c r="I28" s="4">
        <v>3.6211183527189899E-3</v>
      </c>
      <c r="J28" s="4">
        <v>6.9676128653275896E-2</v>
      </c>
      <c r="K28" s="4">
        <v>3.82098923606249E-2</v>
      </c>
      <c r="L28" s="4">
        <v>2.6949181076347601E-2</v>
      </c>
      <c r="M28" s="4">
        <v>1.01318094645198E-2</v>
      </c>
      <c r="N28" s="4">
        <v>3.29461466420089E-3</v>
      </c>
      <c r="O28" s="4">
        <v>0</v>
      </c>
      <c r="P28" s="4">
        <v>0</v>
      </c>
      <c r="Q28" s="4">
        <v>1.1028218196287201E-2</v>
      </c>
      <c r="R28" s="4">
        <v>1.37345436145476E-2</v>
      </c>
      <c r="S28" s="4">
        <v>11.191836639536399</v>
      </c>
      <c r="T28" s="4">
        <v>9.0647681064767198</v>
      </c>
      <c r="U28" s="4">
        <v>3.6040390556858801</v>
      </c>
      <c r="V28" s="4">
        <v>0.29737755128882704</v>
      </c>
      <c r="W28" s="4">
        <v>0.161957310661902</v>
      </c>
      <c r="X28" s="4">
        <v>2.48710807927062E-2</v>
      </c>
      <c r="Y28" s="4">
        <v>0</v>
      </c>
      <c r="Z28" s="4">
        <v>0</v>
      </c>
      <c r="AA28" s="4">
        <v>0</v>
      </c>
      <c r="AB28" s="4">
        <v>0</v>
      </c>
      <c r="AC28" s="4">
        <v>0</v>
      </c>
      <c r="AD28" s="4">
        <v>1.3714112240122801E-2</v>
      </c>
      <c r="AE28" s="4">
        <v>4.2309672619393703E-2</v>
      </c>
      <c r="AF28" s="4">
        <v>1.170114715736352E-2</v>
      </c>
      <c r="AG28" s="4">
        <v>0</v>
      </c>
      <c r="AH28" s="4">
        <v>0</v>
      </c>
      <c r="AI28" s="4">
        <v>0</v>
      </c>
      <c r="AJ28" s="4">
        <v>1.7231841699515049</v>
      </c>
      <c r="AK28" s="4">
        <v>15.281134002037867</v>
      </c>
      <c r="AL28" s="4">
        <v>1.889375948214445</v>
      </c>
      <c r="AM28" s="4">
        <v>0.4565276526168805</v>
      </c>
      <c r="AN28" s="4">
        <v>5.7540755837430298E-2</v>
      </c>
      <c r="AO28" s="4">
        <v>1.2979008341621046E-2</v>
      </c>
      <c r="AP28" s="4">
        <f t="shared" si="0"/>
        <v>44.023472969662869</v>
      </c>
      <c r="AQ28" s="4">
        <f t="shared" si="1"/>
        <v>24.535006500646244</v>
      </c>
      <c r="AR28" s="4">
        <f t="shared" si="2"/>
        <v>19.488466469016629</v>
      </c>
      <c r="AS28" s="4">
        <f t="shared" si="3"/>
        <v>0.16539399439297589</v>
      </c>
      <c r="AT28" s="4">
        <f t="shared" si="4"/>
        <v>6.7724932016880027E-2</v>
      </c>
      <c r="AU28" s="4">
        <f t="shared" si="5"/>
        <v>24.369612506253265</v>
      </c>
      <c r="AV28" s="4">
        <f t="shared" si="6"/>
        <v>19.420741536999749</v>
      </c>
      <c r="AW28" s="4"/>
      <c r="AX28" s="4"/>
      <c r="AY28" s="4"/>
      <c r="AZ28" s="4"/>
      <c r="BA28" s="4"/>
      <c r="BB28" s="4"/>
      <c r="BC28" s="4"/>
    </row>
    <row r="29" spans="1:55" x14ac:dyDescent="0.25">
      <c r="A29" s="2"/>
      <c r="C29" t="s">
        <v>40</v>
      </c>
      <c r="D29" s="4">
        <v>9.5133677631140598E-3</v>
      </c>
      <c r="E29" s="4">
        <v>0</v>
      </c>
      <c r="F29" s="4">
        <v>0</v>
      </c>
      <c r="G29" s="4">
        <v>0</v>
      </c>
      <c r="H29" s="4">
        <v>1.9355260240149E-3</v>
      </c>
      <c r="I29" s="4">
        <v>2.52474404611672E-3</v>
      </c>
      <c r="J29" s="4">
        <v>4.7105444929390602E-2</v>
      </c>
      <c r="K29" s="4">
        <v>2.17988163822024E-2</v>
      </c>
      <c r="L29" s="4">
        <v>1.62668779880514E-2</v>
      </c>
      <c r="M29" s="4">
        <v>5.67138636541585E-3</v>
      </c>
      <c r="N29" s="4">
        <v>0</v>
      </c>
      <c r="O29" s="4">
        <v>0</v>
      </c>
      <c r="P29" s="4">
        <v>0</v>
      </c>
      <c r="Q29" s="4">
        <v>5.9754643161275397E-3</v>
      </c>
      <c r="R29" s="4">
        <v>8.002606638203319E-3</v>
      </c>
      <c r="S29" s="4">
        <v>7.34638398120312</v>
      </c>
      <c r="T29" s="4">
        <v>4.83857959887633</v>
      </c>
      <c r="U29" s="4">
        <v>1.9112769767770998</v>
      </c>
      <c r="V29" s="4">
        <v>0.154295329528676</v>
      </c>
      <c r="W29" s="4">
        <v>7.0184972204941506E-2</v>
      </c>
      <c r="X29" s="4">
        <v>1.3484687541245799E-2</v>
      </c>
      <c r="Y29" s="4">
        <v>0</v>
      </c>
      <c r="Z29" s="4">
        <v>0</v>
      </c>
      <c r="AA29" s="4">
        <v>0</v>
      </c>
      <c r="AB29" s="4">
        <v>0</v>
      </c>
      <c r="AC29" s="4">
        <v>0</v>
      </c>
      <c r="AD29" s="4">
        <v>8.7620541005839214E-3</v>
      </c>
      <c r="AE29" s="4">
        <v>2.2574046419860216E-2</v>
      </c>
      <c r="AF29" s="4">
        <v>6.4122437866597406E-3</v>
      </c>
      <c r="AG29" s="4">
        <v>0</v>
      </c>
      <c r="AH29" s="4">
        <v>0</v>
      </c>
      <c r="AI29" s="4">
        <v>0</v>
      </c>
      <c r="AJ29" s="4">
        <v>0.95341610203079863</v>
      </c>
      <c r="AK29" s="4">
        <v>7.9153806574561951</v>
      </c>
      <c r="AL29" s="4">
        <v>1.0196944359322275</v>
      </c>
      <c r="AM29" s="4">
        <v>0.23165116512665584</v>
      </c>
      <c r="AN29" s="4">
        <v>2.7184566126550052E-2</v>
      </c>
      <c r="AO29" s="4">
        <v>0</v>
      </c>
      <c r="AP29" s="4">
        <f t="shared" si="0"/>
        <v>24.638075051563579</v>
      </c>
      <c r="AQ29" s="4">
        <f t="shared" si="1"/>
        <v>14.452999780584049</v>
      </c>
      <c r="AR29" s="4">
        <f t="shared" si="2"/>
        <v>10.185075270979532</v>
      </c>
      <c r="AS29" s="4">
        <f t="shared" si="3"/>
        <v>0.10481616349830593</v>
      </c>
      <c r="AT29" s="4">
        <f t="shared" si="4"/>
        <v>3.774834430710388E-2</v>
      </c>
      <c r="AU29" s="4">
        <f t="shared" si="5"/>
        <v>14.348183617085743</v>
      </c>
      <c r="AV29" s="4">
        <f t="shared" si="6"/>
        <v>10.147326926672427</v>
      </c>
      <c r="AW29" s="4"/>
      <c r="AX29" s="4"/>
      <c r="AY29" s="4"/>
      <c r="AZ29" s="4"/>
      <c r="BA29" s="4"/>
      <c r="BB29" s="4"/>
      <c r="BC29" s="4"/>
    </row>
    <row r="30" spans="1:55" x14ac:dyDescent="0.25">
      <c r="A30" s="2"/>
      <c r="C30" t="s">
        <v>41</v>
      </c>
      <c r="D30" s="4">
        <v>8.9569253511838989E-3</v>
      </c>
      <c r="E30" s="4">
        <v>0</v>
      </c>
      <c r="F30" s="4">
        <v>0</v>
      </c>
      <c r="G30" s="4">
        <v>0</v>
      </c>
      <c r="H30" s="4">
        <v>1.6774457027934301E-3</v>
      </c>
      <c r="I30" s="4">
        <v>1.7035833449573501E-3</v>
      </c>
      <c r="J30" s="4">
        <v>9.1003090713101198E-2</v>
      </c>
      <c r="K30" s="4">
        <v>4.0541575175703302E-2</v>
      </c>
      <c r="L30" s="4">
        <v>2.5023743811544399E-2</v>
      </c>
      <c r="M30" s="4">
        <v>7.2839433494401098E-3</v>
      </c>
      <c r="N30" s="4">
        <v>0</v>
      </c>
      <c r="O30" s="4">
        <v>0</v>
      </c>
      <c r="P30" s="4">
        <v>0</v>
      </c>
      <c r="Q30" s="4">
        <v>5.5429119425641606E-3</v>
      </c>
      <c r="R30" s="4">
        <v>1.2414674305087499E-2</v>
      </c>
      <c r="S30" s="4">
        <v>13.704638869157399</v>
      </c>
      <c r="T30" s="4">
        <v>10.0734839679328</v>
      </c>
      <c r="U30" s="4">
        <v>2.3803849538049597</v>
      </c>
      <c r="V30" s="4">
        <v>0.15802487161550802</v>
      </c>
      <c r="W30" s="4">
        <v>7.1795904193045504E-2</v>
      </c>
      <c r="X30" s="4">
        <v>1.3432876879483101E-2</v>
      </c>
      <c r="Y30" s="4">
        <v>0</v>
      </c>
      <c r="Z30" s="4">
        <v>0</v>
      </c>
      <c r="AA30" s="4">
        <v>0</v>
      </c>
      <c r="AB30" s="4">
        <v>0</v>
      </c>
      <c r="AC30" s="4">
        <v>0</v>
      </c>
      <c r="AD30" s="4">
        <v>1.80116830014228E-2</v>
      </c>
      <c r="AE30" s="4">
        <v>4.0926052900627494E-2</v>
      </c>
      <c r="AF30" s="4">
        <v>7.6042614953733953E-3</v>
      </c>
      <c r="AG30" s="4">
        <v>0</v>
      </c>
      <c r="AH30" s="4">
        <v>0</v>
      </c>
      <c r="AI30" s="4">
        <v>0</v>
      </c>
      <c r="AJ30" s="4">
        <v>2.2680279850904399</v>
      </c>
      <c r="AK30" s="4">
        <v>19.572238609274848</v>
      </c>
      <c r="AL30" s="4">
        <v>1.3708262337325601</v>
      </c>
      <c r="AM30" s="4">
        <v>0.23967456300601991</v>
      </c>
      <c r="AN30" s="4">
        <v>2.421763243523305E-2</v>
      </c>
      <c r="AO30" s="4">
        <v>0</v>
      </c>
      <c r="AP30" s="4">
        <f t="shared" si="0"/>
        <v>50.1374363582161</v>
      </c>
      <c r="AQ30" s="4">
        <f t="shared" si="1"/>
        <v>26.595909337279576</v>
      </c>
      <c r="AR30" s="4">
        <f t="shared" si="2"/>
        <v>23.541527020936524</v>
      </c>
      <c r="AS30" s="4">
        <f t="shared" si="3"/>
        <v>0.17619030744872369</v>
      </c>
      <c r="AT30" s="4">
        <f t="shared" si="4"/>
        <v>6.6541997397423683E-2</v>
      </c>
      <c r="AU30" s="4">
        <f t="shared" si="5"/>
        <v>26.419719029830851</v>
      </c>
      <c r="AV30" s="4">
        <f t="shared" si="6"/>
        <v>23.474985023539102</v>
      </c>
      <c r="AW30" s="4"/>
      <c r="AX30" s="4"/>
      <c r="AY30" s="4"/>
      <c r="AZ30" s="4"/>
      <c r="BA30" s="4"/>
      <c r="BB30" s="4"/>
      <c r="BC30" s="4"/>
    </row>
    <row r="31" spans="1:55" x14ac:dyDescent="0.25">
      <c r="A31" s="2">
        <v>45140</v>
      </c>
      <c r="B31">
        <v>73</v>
      </c>
      <c r="C31" t="s">
        <v>36</v>
      </c>
      <c r="D31" s="4">
        <v>0</v>
      </c>
      <c r="E31" s="4">
        <v>0</v>
      </c>
      <c r="F31" s="4">
        <v>0</v>
      </c>
      <c r="G31" s="4">
        <v>0</v>
      </c>
      <c r="H31" s="4">
        <v>0</v>
      </c>
      <c r="I31" s="4">
        <v>0</v>
      </c>
      <c r="J31" s="4">
        <v>4.6606885049235151E-2</v>
      </c>
      <c r="K31" s="4">
        <v>2.0695190398836001E-2</v>
      </c>
      <c r="L31" s="4">
        <v>1.2761840533562E-2</v>
      </c>
      <c r="M31" s="4">
        <v>2.7627025658919762E-3</v>
      </c>
      <c r="N31" s="4">
        <v>0</v>
      </c>
      <c r="O31" s="4">
        <v>0</v>
      </c>
      <c r="P31" s="4">
        <v>0</v>
      </c>
      <c r="Q31" s="4">
        <v>0</v>
      </c>
      <c r="R31" s="4">
        <v>9.05496778973474E-3</v>
      </c>
      <c r="S31" s="4">
        <v>8.3974744149872596</v>
      </c>
      <c r="T31" s="4">
        <v>5.65399682212482</v>
      </c>
      <c r="U31" s="4">
        <v>1.65851417542233</v>
      </c>
      <c r="V31" s="4">
        <v>5.5499389238652101E-2</v>
      </c>
      <c r="W31" s="4">
        <v>3.7092893656351801E-2</v>
      </c>
      <c r="X31" s="4">
        <v>5.3450667576929699E-3</v>
      </c>
      <c r="Y31" s="4">
        <v>0</v>
      </c>
      <c r="Z31" s="4">
        <v>0</v>
      </c>
      <c r="AA31" s="4">
        <v>4.0316426740471978E-5</v>
      </c>
      <c r="AB31" s="4">
        <v>0</v>
      </c>
      <c r="AC31" s="4">
        <v>2.0207142997115102E-3</v>
      </c>
      <c r="AD31" s="4">
        <v>1.0235049802784701E-2</v>
      </c>
      <c r="AE31" s="4">
        <v>2.00852299787018E-2</v>
      </c>
      <c r="AF31" s="4">
        <v>1.5892414200802598E-3</v>
      </c>
      <c r="AG31" s="4">
        <v>2.7472453724883598E-4</v>
      </c>
      <c r="AH31" s="4">
        <v>0</v>
      </c>
      <c r="AI31" s="4">
        <v>0</v>
      </c>
      <c r="AJ31" s="4">
        <v>1.171686828231733</v>
      </c>
      <c r="AK31" s="4">
        <v>11.763948746280946</v>
      </c>
      <c r="AL31" s="4">
        <v>0.81455143310895695</v>
      </c>
      <c r="AM31" s="4">
        <v>3.3314905815844349E-2</v>
      </c>
      <c r="AN31" s="4">
        <v>2.82463342115302E-3</v>
      </c>
      <c r="AO31" s="4">
        <v>2.0819916130144752E-3</v>
      </c>
      <c r="AP31" s="4">
        <f t="shared" si="0"/>
        <v>29.722458163461276</v>
      </c>
      <c r="AQ31" s="4">
        <f t="shared" si="1"/>
        <v>15.899804348524366</v>
      </c>
      <c r="AR31" s="4">
        <f t="shared" si="2"/>
        <v>13.822653814936913</v>
      </c>
      <c r="AS31" s="4">
        <f t="shared" si="3"/>
        <v>8.2826618547525127E-2</v>
      </c>
      <c r="AT31" s="4">
        <f t="shared" si="4"/>
        <v>3.4245276465267573E-2</v>
      </c>
      <c r="AU31" s="4">
        <f t="shared" si="5"/>
        <v>15.816977729976841</v>
      </c>
      <c r="AV31" s="4">
        <f t="shared" si="6"/>
        <v>13.788408538471646</v>
      </c>
      <c r="AW31" s="4"/>
      <c r="AX31" s="4"/>
      <c r="AY31" s="4"/>
      <c r="AZ31" s="4"/>
      <c r="BA31" s="4"/>
      <c r="BB31" s="4"/>
      <c r="BC31" s="4"/>
    </row>
    <row r="32" spans="1:55" x14ac:dyDescent="0.25">
      <c r="A32" s="2"/>
      <c r="C32" t="s">
        <v>39</v>
      </c>
      <c r="D32" s="4">
        <v>8.4959389958965195E-3</v>
      </c>
      <c r="E32" s="4">
        <v>0</v>
      </c>
      <c r="F32" s="4">
        <v>0</v>
      </c>
      <c r="G32" s="4">
        <v>0</v>
      </c>
      <c r="H32" s="4">
        <v>1.3266456982193699E-3</v>
      </c>
      <c r="I32" s="4">
        <v>1.0786988359892799E-3</v>
      </c>
      <c r="J32" s="4">
        <v>8.8128211407214496E-2</v>
      </c>
      <c r="K32" s="4">
        <v>3.9919350703616095E-2</v>
      </c>
      <c r="L32" s="4">
        <v>2.25663423294197E-2</v>
      </c>
      <c r="M32" s="4">
        <v>5.2747902711915394E-3</v>
      </c>
      <c r="N32" s="4">
        <v>0</v>
      </c>
      <c r="O32" s="4">
        <v>0</v>
      </c>
      <c r="P32" s="4">
        <v>0</v>
      </c>
      <c r="Q32" s="4">
        <v>0</v>
      </c>
      <c r="R32" s="4">
        <v>1.5520974681841701E-2</v>
      </c>
      <c r="S32" s="4">
        <v>13.078703887668301</v>
      </c>
      <c r="T32" s="4">
        <v>9.4602189412475806</v>
      </c>
      <c r="U32" s="4">
        <v>2.6411137584645599</v>
      </c>
      <c r="V32" s="4">
        <v>0.17838748742716998</v>
      </c>
      <c r="W32" s="4">
        <v>5.4575426166608799E-2</v>
      </c>
      <c r="X32" s="4">
        <v>8.6578799598658693E-3</v>
      </c>
      <c r="Y32" s="4">
        <v>0</v>
      </c>
      <c r="Z32" s="4">
        <v>0</v>
      </c>
      <c r="AA32" s="4">
        <v>0</v>
      </c>
      <c r="AB32" s="4">
        <v>0</v>
      </c>
      <c r="AC32" s="4">
        <v>0</v>
      </c>
      <c r="AD32" s="4">
        <v>1.8980020406677827E-2</v>
      </c>
      <c r="AE32" s="4">
        <v>3.4168803401325831E-2</v>
      </c>
      <c r="AF32" s="4">
        <v>4.9140024029005348E-3</v>
      </c>
      <c r="AG32" s="4">
        <v>0</v>
      </c>
      <c r="AH32" s="4">
        <v>0</v>
      </c>
      <c r="AI32" s="4">
        <v>0</v>
      </c>
      <c r="AJ32" s="4">
        <v>2.3881332068912449</v>
      </c>
      <c r="AK32" s="4">
        <v>20.158448759353902</v>
      </c>
      <c r="AL32" s="4">
        <v>1.2771242351418706</v>
      </c>
      <c r="AM32" s="4">
        <v>8.1125351492378997E-2</v>
      </c>
      <c r="AN32" s="4">
        <v>0</v>
      </c>
      <c r="AO32" s="4">
        <v>0</v>
      </c>
      <c r="AP32" s="4">
        <f t="shared" si="0"/>
        <v>49.566862712947774</v>
      </c>
      <c r="AQ32" s="4">
        <f t="shared" si="1"/>
        <v>25.603968333857473</v>
      </c>
      <c r="AR32" s="4">
        <f t="shared" si="2"/>
        <v>23.962894379090297</v>
      </c>
      <c r="AS32" s="4">
        <f t="shared" si="3"/>
        <v>0.16678997824154701</v>
      </c>
      <c r="AT32" s="4">
        <f t="shared" si="4"/>
        <v>5.8062826210904195E-2</v>
      </c>
      <c r="AU32" s="4">
        <f t="shared" si="5"/>
        <v>25.437178355615924</v>
      </c>
      <c r="AV32" s="4">
        <f t="shared" si="6"/>
        <v>23.904831552879394</v>
      </c>
      <c r="AW32" s="4"/>
      <c r="AX32" s="4"/>
      <c r="AY32" s="4"/>
      <c r="AZ32" s="4"/>
      <c r="BA32" s="4"/>
      <c r="BB32" s="4"/>
      <c r="BC32" s="4"/>
    </row>
    <row r="33" spans="1:55" x14ac:dyDescent="0.25">
      <c r="A33" s="2"/>
      <c r="C33" t="s">
        <v>40</v>
      </c>
      <c r="D33" s="4">
        <v>7.7130612072629397E-3</v>
      </c>
      <c r="E33" s="4">
        <v>0</v>
      </c>
      <c r="F33" s="4">
        <v>0</v>
      </c>
      <c r="G33" s="4">
        <v>0</v>
      </c>
      <c r="H33" s="4">
        <v>2.41932109422932E-3</v>
      </c>
      <c r="I33" s="4">
        <v>2.1002750519565597E-3</v>
      </c>
      <c r="J33" s="4">
        <v>6.8830983718829994E-2</v>
      </c>
      <c r="K33" s="4">
        <v>3.1451860435167796E-2</v>
      </c>
      <c r="L33" s="4">
        <v>1.6122531047794299E-2</v>
      </c>
      <c r="M33" s="4">
        <v>4.2434378520402501E-3</v>
      </c>
      <c r="N33" s="4">
        <v>0</v>
      </c>
      <c r="O33" s="4">
        <v>0</v>
      </c>
      <c r="P33" s="4">
        <v>0</v>
      </c>
      <c r="Q33" s="4">
        <v>0</v>
      </c>
      <c r="R33" s="4">
        <v>8.3993123611177702E-3</v>
      </c>
      <c r="S33" s="4">
        <v>10.4668798676493</v>
      </c>
      <c r="T33" s="4">
        <v>6.8724561851474997</v>
      </c>
      <c r="U33" s="4">
        <v>1.78168998932584</v>
      </c>
      <c r="V33" s="4">
        <v>8.78135577577141E-2</v>
      </c>
      <c r="W33" s="4">
        <v>2.90435153304805E-2</v>
      </c>
      <c r="X33" s="4">
        <v>5.9349920310782199E-3</v>
      </c>
      <c r="Y33" s="4">
        <v>0</v>
      </c>
      <c r="Z33" s="4">
        <v>0</v>
      </c>
      <c r="AA33" s="4">
        <v>0</v>
      </c>
      <c r="AB33" s="4">
        <v>0</v>
      </c>
      <c r="AC33" s="4">
        <v>0</v>
      </c>
      <c r="AD33" s="4">
        <v>1.3336568755428897E-2</v>
      </c>
      <c r="AE33" s="4">
        <v>2.3100763824638954E-2</v>
      </c>
      <c r="AF33" s="4">
        <v>3.6553588331824801E-3</v>
      </c>
      <c r="AG33" s="4">
        <v>0</v>
      </c>
      <c r="AH33" s="4">
        <v>0</v>
      </c>
      <c r="AI33" s="4">
        <v>0</v>
      </c>
      <c r="AJ33" s="4">
        <v>1.4073035400056957</v>
      </c>
      <c r="AK33" s="4">
        <v>12.586343440270456</v>
      </c>
      <c r="AL33" s="4">
        <v>0.81935146542081749</v>
      </c>
      <c r="AM33" s="4">
        <v>4.3289365852070952E-2</v>
      </c>
      <c r="AN33" s="4">
        <v>0</v>
      </c>
      <c r="AO33" s="4">
        <v>0</v>
      </c>
      <c r="AP33" s="4">
        <f t="shared" si="0"/>
        <v>34.281479392972599</v>
      </c>
      <c r="AQ33" s="4">
        <f t="shared" si="1"/>
        <v>19.385098890010315</v>
      </c>
      <c r="AR33" s="4">
        <f t="shared" si="2"/>
        <v>14.896380502962289</v>
      </c>
      <c r="AS33" s="4">
        <f t="shared" si="3"/>
        <v>0.13288147040728115</v>
      </c>
      <c r="AT33" s="4">
        <f t="shared" si="4"/>
        <v>4.009269141325033E-2</v>
      </c>
      <c r="AU33" s="4">
        <f t="shared" si="5"/>
        <v>19.252217419603031</v>
      </c>
      <c r="AV33" s="4">
        <f t="shared" si="6"/>
        <v>14.85628781154904</v>
      </c>
      <c r="AW33" s="4"/>
      <c r="AX33" s="4"/>
      <c r="AY33" s="4"/>
      <c r="AZ33" s="4"/>
      <c r="BA33" s="4"/>
      <c r="BB33" s="4"/>
      <c r="BC33" s="4"/>
    </row>
    <row r="34" spans="1:55" x14ac:dyDescent="0.25">
      <c r="A34" s="2"/>
      <c r="C34" t="s">
        <v>41</v>
      </c>
      <c r="D34" s="4">
        <v>8.4833231638802194E-3</v>
      </c>
      <c r="E34" s="4">
        <v>0</v>
      </c>
      <c r="F34" s="4">
        <v>0</v>
      </c>
      <c r="G34" s="4">
        <v>0</v>
      </c>
      <c r="H34" s="4">
        <v>2.4672001328686697E-3</v>
      </c>
      <c r="I34" s="4">
        <v>1.83269009958066E-3</v>
      </c>
      <c r="J34" s="4">
        <v>9.8386977554906913E-2</v>
      </c>
      <c r="K34" s="4">
        <v>3.4805153877288497E-2</v>
      </c>
      <c r="L34" s="4">
        <v>1.6264082775781501E-2</v>
      </c>
      <c r="M34" s="4">
        <v>3.97840578786764E-3</v>
      </c>
      <c r="N34" s="4">
        <v>0</v>
      </c>
      <c r="O34" s="4">
        <v>0</v>
      </c>
      <c r="P34" s="4">
        <v>0</v>
      </c>
      <c r="Q34" s="4">
        <v>0</v>
      </c>
      <c r="R34" s="4">
        <v>9.31232988685924E-3</v>
      </c>
      <c r="S34" s="4">
        <v>12.7958967618153</v>
      </c>
      <c r="T34" s="4">
        <v>8.3803533705248299</v>
      </c>
      <c r="U34" s="4">
        <v>1.4093297474734099</v>
      </c>
      <c r="V34" s="4">
        <v>8.2461268240187291E-2</v>
      </c>
      <c r="W34" s="4">
        <v>3.0392222700314497E-2</v>
      </c>
      <c r="X34" s="4">
        <v>7.2117459713292795E-3</v>
      </c>
      <c r="Y34" s="4">
        <v>0</v>
      </c>
      <c r="Z34" s="4">
        <v>0</v>
      </c>
      <c r="AA34" s="4">
        <v>0</v>
      </c>
      <c r="AB34" s="4">
        <v>0</v>
      </c>
      <c r="AC34" s="4">
        <v>0</v>
      </c>
      <c r="AD34" s="4">
        <v>1.9690297518087256E-2</v>
      </c>
      <c r="AE34" s="4">
        <v>2.8171901006845943E-2</v>
      </c>
      <c r="AF34" s="4">
        <v>0</v>
      </c>
      <c r="AG34" s="4">
        <v>0</v>
      </c>
      <c r="AH34" s="4">
        <v>0</v>
      </c>
      <c r="AI34" s="4">
        <v>0</v>
      </c>
      <c r="AJ34" s="4">
        <v>2.0896429665309353</v>
      </c>
      <c r="AK34" s="4">
        <v>16.322715929944025</v>
      </c>
      <c r="AL34" s="4">
        <v>0.69898739872279247</v>
      </c>
      <c r="AM34" s="4">
        <v>0</v>
      </c>
      <c r="AN34" s="4">
        <v>0</v>
      </c>
      <c r="AO34" s="4">
        <v>0</v>
      </c>
      <c r="AP34" s="4">
        <f t="shared" si="0"/>
        <v>42.040383773727086</v>
      </c>
      <c r="AQ34" s="4">
        <f t="shared" si="1"/>
        <v>22.881175280004406</v>
      </c>
      <c r="AR34" s="4">
        <f t="shared" si="2"/>
        <v>19.159208493722687</v>
      </c>
      <c r="AS34" s="4">
        <f t="shared" si="3"/>
        <v>0.16621783339217414</v>
      </c>
      <c r="AT34" s="4">
        <f t="shared" si="4"/>
        <v>4.7862198524933203E-2</v>
      </c>
      <c r="AU34" s="4">
        <f t="shared" si="5"/>
        <v>22.714957446612232</v>
      </c>
      <c r="AV34" s="4">
        <f t="shared" si="6"/>
        <v>19.111346295197752</v>
      </c>
      <c r="AW34" s="4"/>
      <c r="AX34" s="4"/>
      <c r="AY34" s="4"/>
      <c r="AZ34" s="4"/>
      <c r="BA34" s="4"/>
      <c r="BB34" s="4"/>
      <c r="BC34" s="4"/>
    </row>
    <row r="35" spans="1:55" x14ac:dyDescent="0.25">
      <c r="A35" s="2">
        <v>45168</v>
      </c>
      <c r="B35">
        <v>101</v>
      </c>
      <c r="C35" t="s">
        <v>36</v>
      </c>
      <c r="D35" s="4">
        <v>0</v>
      </c>
      <c r="E35" s="4">
        <v>0</v>
      </c>
      <c r="F35" s="4">
        <v>0</v>
      </c>
      <c r="G35" s="4">
        <v>0</v>
      </c>
      <c r="H35" s="4">
        <v>0</v>
      </c>
      <c r="I35" s="4">
        <v>0</v>
      </c>
      <c r="J35" s="4">
        <v>3.0443656097894154E-2</v>
      </c>
      <c r="K35" s="4">
        <v>1.15001176611017E-2</v>
      </c>
      <c r="L35" s="4">
        <v>5.2161457668237999E-3</v>
      </c>
      <c r="M35" s="4">
        <v>0</v>
      </c>
      <c r="N35" s="4">
        <v>0</v>
      </c>
      <c r="O35" s="4">
        <v>0</v>
      </c>
      <c r="P35" s="4">
        <v>0</v>
      </c>
      <c r="Q35" s="4">
        <v>0</v>
      </c>
      <c r="R35" s="4">
        <v>2.9622217535084099E-3</v>
      </c>
      <c r="S35" s="4">
        <v>5.5462058463017101</v>
      </c>
      <c r="T35" s="4">
        <v>2.3080440542957499</v>
      </c>
      <c r="U35" s="4">
        <v>0.524464108527391</v>
      </c>
      <c r="V35" s="4">
        <v>1.4617249746065999E-2</v>
      </c>
      <c r="W35" s="4">
        <v>5.46694193144622E-3</v>
      </c>
      <c r="X35" s="4">
        <v>2.0313275294693203E-3</v>
      </c>
      <c r="Y35" s="4">
        <v>0</v>
      </c>
      <c r="Z35" s="4">
        <v>0</v>
      </c>
      <c r="AA35" s="4">
        <v>1.0652279559042199E-4</v>
      </c>
      <c r="AB35" s="4">
        <v>0</v>
      </c>
      <c r="AC35" s="4">
        <v>8.8089676549773198E-4</v>
      </c>
      <c r="AD35" s="4">
        <v>8.8680248247691145E-3</v>
      </c>
      <c r="AE35" s="4">
        <v>9.9628730728473103E-3</v>
      </c>
      <c r="AF35" s="4">
        <v>3.3718007489997806E-4</v>
      </c>
      <c r="AG35" s="4">
        <v>0</v>
      </c>
      <c r="AH35" s="4">
        <v>0</v>
      </c>
      <c r="AI35" s="4">
        <v>0</v>
      </c>
      <c r="AJ35" s="4">
        <v>0.69042389068732601</v>
      </c>
      <c r="AK35" s="4">
        <v>5.8942590030385551</v>
      </c>
      <c r="AL35" s="4">
        <v>0.20284225472533199</v>
      </c>
      <c r="AM35" s="4">
        <v>6.1108091987144095E-3</v>
      </c>
      <c r="AN35" s="4">
        <v>0</v>
      </c>
      <c r="AO35" s="4">
        <v>0</v>
      </c>
      <c r="AP35" s="4">
        <f t="shared" si="0"/>
        <v>15.264743124794697</v>
      </c>
      <c r="AQ35" s="4">
        <f t="shared" si="1"/>
        <v>8.4509516696111611</v>
      </c>
      <c r="AR35" s="4">
        <f t="shared" si="2"/>
        <v>6.8137914551835328</v>
      </c>
      <c r="AS35" s="4">
        <f t="shared" si="3"/>
        <v>4.7159919525819653E-2</v>
      </c>
      <c r="AT35" s="4">
        <f t="shared" si="4"/>
        <v>2.0155497533604554E-2</v>
      </c>
      <c r="AU35" s="4">
        <f t="shared" si="5"/>
        <v>8.4037917500853414</v>
      </c>
      <c r="AV35" s="4">
        <f t="shared" si="6"/>
        <v>6.7936359576499274</v>
      </c>
      <c r="AW35" s="4"/>
      <c r="AX35" s="4"/>
      <c r="AY35" s="4"/>
      <c r="AZ35" s="4"/>
      <c r="BA35" s="4"/>
      <c r="BB35" s="4"/>
      <c r="BC35" s="4"/>
    </row>
    <row r="36" spans="1:55" x14ac:dyDescent="0.25">
      <c r="A36" s="2"/>
      <c r="C36" t="s">
        <v>39</v>
      </c>
      <c r="D36" s="4">
        <v>8.6581842585173492E-3</v>
      </c>
      <c r="E36" s="4">
        <v>0</v>
      </c>
      <c r="F36" s="4">
        <v>0</v>
      </c>
      <c r="G36" s="4">
        <v>0</v>
      </c>
      <c r="H36" s="4">
        <v>2.4476944836482103E-3</v>
      </c>
      <c r="I36" s="4">
        <v>2.0831486387979502E-3</v>
      </c>
      <c r="J36" s="4">
        <v>5.9942483766367502E-2</v>
      </c>
      <c r="K36" s="4">
        <v>2.3069878619327602E-2</v>
      </c>
      <c r="L36" s="4">
        <v>9.9867257502593912E-3</v>
      </c>
      <c r="M36" s="4">
        <v>0</v>
      </c>
      <c r="N36" s="4">
        <v>0</v>
      </c>
      <c r="O36" s="4">
        <v>0</v>
      </c>
      <c r="P36" s="4">
        <v>0</v>
      </c>
      <c r="Q36" s="4">
        <v>0</v>
      </c>
      <c r="R36" s="4">
        <v>7.0807903770288205E-3</v>
      </c>
      <c r="S36" s="4">
        <v>8.57577453323408</v>
      </c>
      <c r="T36" s="4">
        <v>4.0069058140357203</v>
      </c>
      <c r="U36" s="4">
        <v>0.82715314312230104</v>
      </c>
      <c r="V36" s="4">
        <v>3.1546308857857697E-2</v>
      </c>
      <c r="W36" s="4">
        <v>7.2663555228737299E-3</v>
      </c>
      <c r="X36" s="4">
        <v>0</v>
      </c>
      <c r="Y36" s="4">
        <v>0</v>
      </c>
      <c r="Z36" s="4">
        <v>0</v>
      </c>
      <c r="AA36" s="4">
        <v>0</v>
      </c>
      <c r="AB36" s="4">
        <v>0</v>
      </c>
      <c r="AC36" s="4">
        <v>0</v>
      </c>
      <c r="AD36" s="4">
        <v>1.2989334278621995E-2</v>
      </c>
      <c r="AE36" s="4">
        <v>1.5671652595739435E-2</v>
      </c>
      <c r="AF36" s="4">
        <v>0</v>
      </c>
      <c r="AG36" s="4">
        <v>0</v>
      </c>
      <c r="AH36" s="4">
        <v>0</v>
      </c>
      <c r="AI36" s="4">
        <v>0</v>
      </c>
      <c r="AJ36" s="4">
        <v>1.2976625875356427</v>
      </c>
      <c r="AK36" s="4">
        <v>8.8558332393421288</v>
      </c>
      <c r="AL36" s="4">
        <v>0.27746634518883601</v>
      </c>
      <c r="AM36" s="4">
        <v>0</v>
      </c>
      <c r="AN36" s="4">
        <v>0</v>
      </c>
      <c r="AO36" s="4">
        <v>0</v>
      </c>
      <c r="AP36" s="4">
        <f t="shared" si="0"/>
        <v>24.021538219607741</v>
      </c>
      <c r="AQ36" s="4">
        <f t="shared" si="1"/>
        <v>13.561915060666777</v>
      </c>
      <c r="AR36" s="4">
        <f t="shared" si="2"/>
        <v>10.459623158940969</v>
      </c>
      <c r="AS36" s="4">
        <f t="shared" si="3"/>
        <v>0.10618811551691801</v>
      </c>
      <c r="AT36" s="4">
        <f t="shared" si="4"/>
        <v>2.866098687436143E-2</v>
      </c>
      <c r="AU36" s="4">
        <f t="shared" si="5"/>
        <v>13.455726945149859</v>
      </c>
      <c r="AV36" s="4">
        <f t="shared" si="6"/>
        <v>10.430962172066607</v>
      </c>
      <c r="AW36" s="4"/>
      <c r="AX36" s="4"/>
      <c r="AY36" s="4"/>
      <c r="AZ36" s="4"/>
      <c r="BA36" s="4"/>
      <c r="BB36" s="4"/>
      <c r="BC36" s="4"/>
    </row>
    <row r="37" spans="1:55" x14ac:dyDescent="0.25">
      <c r="A37" s="2"/>
      <c r="C37" t="s">
        <v>40</v>
      </c>
      <c r="D37" s="4">
        <v>1.39176285723316E-2</v>
      </c>
      <c r="E37" s="4">
        <v>0</v>
      </c>
      <c r="F37" s="4">
        <v>0</v>
      </c>
      <c r="G37" s="4">
        <v>0</v>
      </c>
      <c r="H37" s="4">
        <v>0</v>
      </c>
      <c r="I37" s="4">
        <v>0</v>
      </c>
      <c r="J37" s="4">
        <v>3.8687961798265696E-2</v>
      </c>
      <c r="K37" s="4">
        <v>1.2226508611969701E-2</v>
      </c>
      <c r="L37" s="4">
        <v>5.1444886890135997E-3</v>
      </c>
      <c r="M37" s="4">
        <v>0</v>
      </c>
      <c r="N37" s="4">
        <v>0</v>
      </c>
      <c r="O37" s="4">
        <v>0</v>
      </c>
      <c r="P37" s="4">
        <v>0</v>
      </c>
      <c r="Q37" s="4">
        <v>0</v>
      </c>
      <c r="R37" s="4">
        <v>0</v>
      </c>
      <c r="S37" s="4">
        <v>5.7910253994052301</v>
      </c>
      <c r="T37" s="4">
        <v>2.29174272301971</v>
      </c>
      <c r="U37" s="4">
        <v>0.39123072095407702</v>
      </c>
      <c r="V37" s="4">
        <v>1.7736173946911401E-2</v>
      </c>
      <c r="W37" s="4">
        <v>5.3325294544205697E-3</v>
      </c>
      <c r="X37" s="4">
        <v>0</v>
      </c>
      <c r="Y37" s="4">
        <v>0</v>
      </c>
      <c r="Z37" s="4">
        <v>0</v>
      </c>
      <c r="AA37" s="4">
        <v>0</v>
      </c>
      <c r="AB37" s="4">
        <v>0</v>
      </c>
      <c r="AC37" s="4">
        <v>0</v>
      </c>
      <c r="AD37" s="4">
        <v>7.7135765407100902E-3</v>
      </c>
      <c r="AE37" s="4">
        <v>7.3490415822283148E-3</v>
      </c>
      <c r="AF37" s="4">
        <v>0</v>
      </c>
      <c r="AG37" s="4">
        <v>0</v>
      </c>
      <c r="AH37" s="4">
        <v>0</v>
      </c>
      <c r="AI37" s="4">
        <v>0</v>
      </c>
      <c r="AJ37" s="4">
        <v>0.78769269937306508</v>
      </c>
      <c r="AK37" s="4">
        <v>5.4782715646642597</v>
      </c>
      <c r="AL37" s="4">
        <v>0.17095847370559239</v>
      </c>
      <c r="AM37" s="4">
        <v>0</v>
      </c>
      <c r="AN37" s="4">
        <v>0</v>
      </c>
      <c r="AO37" s="4">
        <v>0</v>
      </c>
      <c r="AP37" s="4">
        <f t="shared" si="0"/>
        <v>15.019029490317786</v>
      </c>
      <c r="AQ37" s="4">
        <f t="shared" si="1"/>
        <v>8.5670441344519297</v>
      </c>
      <c r="AR37" s="4">
        <f t="shared" si="2"/>
        <v>6.4519853558658555</v>
      </c>
      <c r="AS37" s="4">
        <f t="shared" si="3"/>
        <v>6.9976587671580603E-2</v>
      </c>
      <c r="AT37" s="4">
        <f t="shared" si="4"/>
        <v>1.5062618122938406E-2</v>
      </c>
      <c r="AU37" s="4">
        <f t="shared" si="5"/>
        <v>8.4970675467803503</v>
      </c>
      <c r="AV37" s="4">
        <f t="shared" si="6"/>
        <v>6.4369227377429175</v>
      </c>
      <c r="AW37" s="4"/>
      <c r="AX37" s="4"/>
      <c r="AY37" s="4"/>
      <c r="AZ37" s="4"/>
      <c r="BA37" s="4"/>
      <c r="BB37" s="4"/>
      <c r="BC37" s="4"/>
    </row>
    <row r="38" spans="1:55" x14ac:dyDescent="0.25">
      <c r="A38" s="2"/>
      <c r="C38" t="s">
        <v>41</v>
      </c>
      <c r="D38" s="4">
        <v>1.25389106650843E-2</v>
      </c>
      <c r="E38" s="4">
        <v>0</v>
      </c>
      <c r="F38" s="4">
        <v>0</v>
      </c>
      <c r="G38" s="4">
        <v>0</v>
      </c>
      <c r="H38" s="4">
        <v>0</v>
      </c>
      <c r="I38" s="4">
        <v>0</v>
      </c>
      <c r="J38" s="4">
        <v>4.07674500930005E-2</v>
      </c>
      <c r="K38" s="4">
        <v>1.2976656648201301E-2</v>
      </c>
      <c r="L38" s="4">
        <v>0</v>
      </c>
      <c r="M38" s="4">
        <v>0</v>
      </c>
      <c r="N38" s="4">
        <v>0</v>
      </c>
      <c r="O38" s="4">
        <v>0</v>
      </c>
      <c r="P38" s="4">
        <v>0</v>
      </c>
      <c r="Q38" s="4">
        <v>0</v>
      </c>
      <c r="R38" s="4">
        <v>2.9274581458242997E-3</v>
      </c>
      <c r="S38" s="4">
        <v>6.28796748858485</v>
      </c>
      <c r="T38" s="4">
        <v>2.1993931033742</v>
      </c>
      <c r="U38" s="4">
        <v>0.28647618435879701</v>
      </c>
      <c r="V38" s="4">
        <v>0</v>
      </c>
      <c r="W38" s="4">
        <v>4.0316654603942898E-3</v>
      </c>
      <c r="X38" s="4">
        <v>0</v>
      </c>
      <c r="Y38" s="4">
        <v>0</v>
      </c>
      <c r="Z38" s="4">
        <v>0</v>
      </c>
      <c r="AA38" s="4">
        <v>0</v>
      </c>
      <c r="AB38" s="4">
        <v>0</v>
      </c>
      <c r="AC38" s="4">
        <v>0</v>
      </c>
      <c r="AD38" s="4">
        <v>1.111819438717355E-2</v>
      </c>
      <c r="AE38" s="4">
        <v>1.1214216416007951E-2</v>
      </c>
      <c r="AF38" s="4">
        <v>0</v>
      </c>
      <c r="AG38" s="4">
        <v>0</v>
      </c>
      <c r="AH38" s="4">
        <v>0</v>
      </c>
      <c r="AI38" s="4">
        <v>0</v>
      </c>
      <c r="AJ38" s="4">
        <v>0.88592468420688097</v>
      </c>
      <c r="AK38" s="4">
        <v>5.6124561946575851</v>
      </c>
      <c r="AL38" s="4">
        <v>0.15203778024515363</v>
      </c>
      <c r="AM38" s="4">
        <v>0</v>
      </c>
      <c r="AN38" s="4">
        <v>0</v>
      </c>
      <c r="AO38" s="4">
        <v>0</v>
      </c>
      <c r="AP38" s="4">
        <f t="shared" si="0"/>
        <v>15.519829987243151</v>
      </c>
      <c r="AQ38" s="4">
        <f t="shared" si="1"/>
        <v>8.8470789173303519</v>
      </c>
      <c r="AR38" s="4">
        <f t="shared" si="2"/>
        <v>6.6727510699128016</v>
      </c>
      <c r="AS38" s="4">
        <f t="shared" si="3"/>
        <v>6.6283017406286102E-2</v>
      </c>
      <c r="AT38" s="4">
        <f t="shared" si="4"/>
        <v>2.2332410803181501E-2</v>
      </c>
      <c r="AU38" s="4">
        <f t="shared" si="5"/>
        <v>8.7807958999240654</v>
      </c>
      <c r="AV38" s="4">
        <f t="shared" si="6"/>
        <v>6.6504186591096195</v>
      </c>
      <c r="AW38" s="4"/>
      <c r="AX38" s="4"/>
      <c r="AY38" s="4"/>
      <c r="AZ38" s="4"/>
      <c r="BA38" s="4"/>
      <c r="BB38" s="4"/>
      <c r="BC38" s="4"/>
    </row>
    <row r="39" spans="1:55" x14ac:dyDescent="0.25">
      <c r="A39" s="2">
        <v>45203</v>
      </c>
      <c r="B39">
        <v>136</v>
      </c>
      <c r="C39" t="s">
        <v>36</v>
      </c>
      <c r="D39" s="4">
        <v>0</v>
      </c>
      <c r="E39" s="4">
        <v>0</v>
      </c>
      <c r="F39" s="4">
        <v>0</v>
      </c>
      <c r="G39" s="4">
        <v>0</v>
      </c>
      <c r="H39" s="4">
        <v>0</v>
      </c>
      <c r="I39" s="4">
        <v>0</v>
      </c>
      <c r="J39" s="4">
        <v>1.2826139872192754E-2</v>
      </c>
      <c r="K39" s="4">
        <v>3.7359473335998E-3</v>
      </c>
      <c r="L39" s="4">
        <v>0</v>
      </c>
      <c r="M39" s="4">
        <v>0</v>
      </c>
      <c r="N39" s="4">
        <v>0</v>
      </c>
      <c r="O39" s="4">
        <v>0</v>
      </c>
      <c r="P39" s="4">
        <v>0</v>
      </c>
      <c r="Q39" s="4">
        <v>0</v>
      </c>
      <c r="R39" s="4">
        <v>0</v>
      </c>
      <c r="S39" s="4">
        <v>2.3764097731810798</v>
      </c>
      <c r="T39" s="4">
        <v>0.53483673340285898</v>
      </c>
      <c r="U39" s="4">
        <v>7.2437417646764798E-2</v>
      </c>
      <c r="V39" s="4">
        <v>0</v>
      </c>
      <c r="W39" s="4">
        <v>0</v>
      </c>
      <c r="X39" s="4">
        <v>0</v>
      </c>
      <c r="Y39" s="4">
        <v>0</v>
      </c>
      <c r="Z39" s="4">
        <v>0</v>
      </c>
      <c r="AA39" s="4">
        <v>7.8592119132280479E-5</v>
      </c>
      <c r="AB39" s="4">
        <v>0</v>
      </c>
      <c r="AC39" s="4">
        <v>2.9461757607157104E-4</v>
      </c>
      <c r="AD39" s="4">
        <v>5.2684563517063857E-3</v>
      </c>
      <c r="AE39" s="4">
        <v>3.9144587444281329E-3</v>
      </c>
      <c r="AF39" s="4">
        <v>0</v>
      </c>
      <c r="AG39" s="4">
        <v>0</v>
      </c>
      <c r="AH39" s="4">
        <v>0</v>
      </c>
      <c r="AI39" s="4">
        <v>0</v>
      </c>
      <c r="AJ39" s="4">
        <v>0.4142904208661955</v>
      </c>
      <c r="AK39" s="4">
        <v>2.0490848437615483</v>
      </c>
      <c r="AL39" s="4">
        <v>7.3422315165843105E-2</v>
      </c>
      <c r="AM39" s="4">
        <v>0</v>
      </c>
      <c r="AN39" s="4">
        <v>0</v>
      </c>
      <c r="AO39" s="4">
        <v>0</v>
      </c>
      <c r="AP39" s="4">
        <f t="shared" si="0"/>
        <v>5.5465997160214213</v>
      </c>
      <c r="AQ39" s="4">
        <f t="shared" si="1"/>
        <v>3.0002460114364955</v>
      </c>
      <c r="AR39" s="4">
        <f t="shared" si="2"/>
        <v>2.5463537045849254</v>
      </c>
      <c r="AS39" s="4">
        <f t="shared" si="3"/>
        <v>1.6562087205792553E-2</v>
      </c>
      <c r="AT39" s="4">
        <f t="shared" si="4"/>
        <v>9.556124791338369E-3</v>
      </c>
      <c r="AU39" s="4">
        <f t="shared" si="5"/>
        <v>2.9836839242307032</v>
      </c>
      <c r="AV39" s="4">
        <f t="shared" si="6"/>
        <v>2.5367975797935869</v>
      </c>
      <c r="AW39" s="4"/>
      <c r="AX39" s="4"/>
      <c r="AY39" s="4"/>
      <c r="AZ39" s="4"/>
      <c r="BA39" s="4"/>
      <c r="BB39" s="4"/>
      <c r="BC39" s="4"/>
    </row>
    <row r="40" spans="1:55" x14ac:dyDescent="0.25">
      <c r="A40" s="2"/>
      <c r="C40" t="s">
        <v>39</v>
      </c>
      <c r="D40" s="4">
        <v>1.2974791377297701E-2</v>
      </c>
      <c r="E40" s="4">
        <v>0</v>
      </c>
      <c r="F40" s="4">
        <v>0</v>
      </c>
      <c r="G40" s="4">
        <v>0</v>
      </c>
      <c r="H40" s="4">
        <v>0</v>
      </c>
      <c r="I40" s="4">
        <v>0</v>
      </c>
      <c r="J40" s="4">
        <v>1.21215463322545E-2</v>
      </c>
      <c r="K40" s="4">
        <v>2.9100209041917099E-3</v>
      </c>
      <c r="L40" s="4">
        <v>0</v>
      </c>
      <c r="M40" s="4">
        <v>0</v>
      </c>
      <c r="N40" s="4">
        <v>0</v>
      </c>
      <c r="O40" s="4">
        <v>0</v>
      </c>
      <c r="P40" s="4">
        <v>0</v>
      </c>
      <c r="Q40" s="4">
        <v>0</v>
      </c>
      <c r="R40" s="4">
        <v>0</v>
      </c>
      <c r="S40" s="4">
        <v>1.8633306904098399</v>
      </c>
      <c r="T40" s="4">
        <v>0.374547706886044</v>
      </c>
      <c r="U40" s="4">
        <v>6.642771508437291E-2</v>
      </c>
      <c r="V40" s="4">
        <v>0</v>
      </c>
      <c r="W40" s="4">
        <v>0</v>
      </c>
      <c r="X40" s="4">
        <v>0</v>
      </c>
      <c r="Y40" s="4">
        <v>0</v>
      </c>
      <c r="Z40" s="4">
        <v>0</v>
      </c>
      <c r="AA40" s="4">
        <v>0</v>
      </c>
      <c r="AB40" s="4">
        <v>0</v>
      </c>
      <c r="AC40" s="4">
        <v>0</v>
      </c>
      <c r="AD40" s="4">
        <v>0</v>
      </c>
      <c r="AE40" s="4">
        <v>0</v>
      </c>
      <c r="AF40" s="4">
        <v>0</v>
      </c>
      <c r="AG40" s="4">
        <v>0</v>
      </c>
      <c r="AH40" s="4">
        <v>0</v>
      </c>
      <c r="AI40" s="4">
        <v>0</v>
      </c>
      <c r="AJ40" s="4">
        <v>0.32932262975871651</v>
      </c>
      <c r="AK40" s="4">
        <v>1.1892258082976046</v>
      </c>
      <c r="AL40" s="4">
        <v>3.1462617962832902E-2</v>
      </c>
      <c r="AM40" s="4">
        <v>0</v>
      </c>
      <c r="AN40" s="4">
        <v>0</v>
      </c>
      <c r="AO40" s="4">
        <v>0</v>
      </c>
      <c r="AP40" s="4">
        <f t="shared" si="0"/>
        <v>3.8823235270131549</v>
      </c>
      <c r="AQ40" s="4">
        <f t="shared" si="1"/>
        <v>2.3323124709940011</v>
      </c>
      <c r="AR40" s="4">
        <f t="shared" si="2"/>
        <v>1.550011056019154</v>
      </c>
      <c r="AS40" s="4">
        <f t="shared" si="3"/>
        <v>2.8006358613743912E-2</v>
      </c>
      <c r="AT40" s="4">
        <f t="shared" si="4"/>
        <v>0</v>
      </c>
      <c r="AU40" s="4">
        <f t="shared" si="5"/>
        <v>2.3043061123802571</v>
      </c>
      <c r="AV40" s="4">
        <f t="shared" si="6"/>
        <v>1.550011056019154</v>
      </c>
      <c r="AW40" s="4"/>
      <c r="AX40" s="4"/>
      <c r="AY40" s="4"/>
      <c r="AZ40" s="4"/>
      <c r="BA40" s="4"/>
      <c r="BB40" s="4"/>
      <c r="BC40" s="4"/>
    </row>
    <row r="41" spans="1:55" x14ac:dyDescent="0.25">
      <c r="A41" s="2"/>
      <c r="C41" t="s">
        <v>40</v>
      </c>
      <c r="D41" s="4">
        <v>5.3161443800222603E-3</v>
      </c>
      <c r="E41" s="4">
        <v>0</v>
      </c>
      <c r="F41" s="4">
        <v>0</v>
      </c>
      <c r="G41" s="4">
        <v>0</v>
      </c>
      <c r="H41" s="4">
        <v>0</v>
      </c>
      <c r="I41" s="4">
        <v>0</v>
      </c>
      <c r="J41" s="4">
        <v>0</v>
      </c>
      <c r="K41" s="4">
        <v>0</v>
      </c>
      <c r="L41" s="4">
        <v>0</v>
      </c>
      <c r="M41" s="4">
        <v>0</v>
      </c>
      <c r="N41" s="4">
        <v>0</v>
      </c>
      <c r="O41" s="4">
        <v>0</v>
      </c>
      <c r="P41" s="4">
        <v>0</v>
      </c>
      <c r="Q41" s="4">
        <v>0</v>
      </c>
      <c r="R41" s="4">
        <v>0</v>
      </c>
      <c r="S41" s="4">
        <v>1.26381722648068</v>
      </c>
      <c r="T41" s="4">
        <v>0.186186137485228</v>
      </c>
      <c r="U41" s="4">
        <v>1.8461482946058899E-2</v>
      </c>
      <c r="V41" s="4">
        <v>0</v>
      </c>
      <c r="W41" s="4">
        <v>0</v>
      </c>
      <c r="X41" s="4">
        <v>0</v>
      </c>
      <c r="Y41" s="4">
        <v>0</v>
      </c>
      <c r="Z41" s="4">
        <v>0</v>
      </c>
      <c r="AA41" s="4">
        <v>0</v>
      </c>
      <c r="AB41" s="4">
        <v>0</v>
      </c>
      <c r="AC41" s="4">
        <v>0</v>
      </c>
      <c r="AD41" s="4">
        <v>0</v>
      </c>
      <c r="AE41" s="4">
        <v>0</v>
      </c>
      <c r="AF41" s="4">
        <v>0</v>
      </c>
      <c r="AG41" s="4">
        <v>0</v>
      </c>
      <c r="AH41" s="4">
        <v>0</v>
      </c>
      <c r="AI41" s="4">
        <v>0</v>
      </c>
      <c r="AJ41" s="4">
        <v>0.19610509704915949</v>
      </c>
      <c r="AK41" s="4">
        <v>0.69050413101985186</v>
      </c>
      <c r="AL41" s="4">
        <v>2.2356650950075399E-2</v>
      </c>
      <c r="AM41" s="4">
        <v>0</v>
      </c>
      <c r="AN41" s="4">
        <v>0</v>
      </c>
      <c r="AO41" s="4">
        <v>0</v>
      </c>
      <c r="AP41" s="4">
        <f t="shared" si="0"/>
        <v>2.3827468703110761</v>
      </c>
      <c r="AQ41" s="4">
        <f t="shared" si="1"/>
        <v>1.4737809912919893</v>
      </c>
      <c r="AR41" s="4">
        <f t="shared" si="2"/>
        <v>0.90896587901908676</v>
      </c>
      <c r="AS41" s="4">
        <f t="shared" si="3"/>
        <v>5.3161443800222603E-3</v>
      </c>
      <c r="AT41" s="4">
        <f t="shared" si="4"/>
        <v>0</v>
      </c>
      <c r="AU41" s="4">
        <f t="shared" si="5"/>
        <v>1.468464846911967</v>
      </c>
      <c r="AV41" s="4">
        <f t="shared" si="6"/>
        <v>0.90896587901908676</v>
      </c>
      <c r="AW41" s="4"/>
      <c r="AX41" s="4"/>
      <c r="AY41" s="4"/>
      <c r="AZ41" s="4"/>
      <c r="BA41" s="4"/>
      <c r="BB41" s="4"/>
      <c r="BC41" s="4"/>
    </row>
    <row r="42" spans="1:55" x14ac:dyDescent="0.25">
      <c r="A42" s="2"/>
      <c r="C42" t="s">
        <v>41</v>
      </c>
      <c r="D42" s="4">
        <v>9.4373253328608898E-3</v>
      </c>
      <c r="E42" s="4">
        <v>0</v>
      </c>
      <c r="F42" s="4">
        <v>0</v>
      </c>
      <c r="G42" s="4">
        <v>0</v>
      </c>
      <c r="H42" s="4">
        <v>0</v>
      </c>
      <c r="I42" s="4">
        <v>0</v>
      </c>
      <c r="J42" s="4">
        <v>1.10560498443018E-2</v>
      </c>
      <c r="K42" s="4">
        <v>0</v>
      </c>
      <c r="L42" s="4">
        <v>0</v>
      </c>
      <c r="M42" s="4">
        <v>0</v>
      </c>
      <c r="N42" s="4">
        <v>0</v>
      </c>
      <c r="O42" s="4">
        <v>0</v>
      </c>
      <c r="P42" s="4">
        <v>0</v>
      </c>
      <c r="Q42" s="4">
        <v>0</v>
      </c>
      <c r="R42" s="4">
        <v>0</v>
      </c>
      <c r="S42" s="4">
        <v>1.9897611904925401</v>
      </c>
      <c r="T42" s="4">
        <v>0.26151063318067602</v>
      </c>
      <c r="U42" s="4">
        <v>1.8640647028759498E-2</v>
      </c>
      <c r="V42" s="4">
        <v>0</v>
      </c>
      <c r="W42" s="4">
        <v>0</v>
      </c>
      <c r="X42" s="4">
        <v>0</v>
      </c>
      <c r="Y42" s="4">
        <v>0</v>
      </c>
      <c r="Z42" s="4">
        <v>0</v>
      </c>
      <c r="AA42" s="4">
        <v>0</v>
      </c>
      <c r="AB42" s="4">
        <v>0</v>
      </c>
      <c r="AC42" s="4">
        <v>0</v>
      </c>
      <c r="AD42" s="4">
        <v>0</v>
      </c>
      <c r="AE42" s="4">
        <v>0</v>
      </c>
      <c r="AF42" s="4">
        <v>0</v>
      </c>
      <c r="AG42" s="4">
        <v>0</v>
      </c>
      <c r="AH42" s="4">
        <v>0</v>
      </c>
      <c r="AI42" s="4">
        <v>0</v>
      </c>
      <c r="AJ42" s="4">
        <v>0.28952015306655648</v>
      </c>
      <c r="AK42" s="4">
        <v>1.2477246235215405</v>
      </c>
      <c r="AL42" s="4">
        <v>2.5558129126068353E-2</v>
      </c>
      <c r="AM42" s="4">
        <v>0</v>
      </c>
      <c r="AN42" s="4">
        <v>0</v>
      </c>
      <c r="AO42" s="4">
        <v>0</v>
      </c>
      <c r="AP42" s="4">
        <f t="shared" si="0"/>
        <v>3.8532087515933036</v>
      </c>
      <c r="AQ42" s="4">
        <f t="shared" si="1"/>
        <v>2.2904058458791385</v>
      </c>
      <c r="AR42" s="4">
        <f t="shared" si="2"/>
        <v>1.5628029057141652</v>
      </c>
      <c r="AS42" s="4">
        <f>SUM(D42:N42)</f>
        <v>2.0493375177162688E-2</v>
      </c>
      <c r="AT42" s="4">
        <f t="shared" si="4"/>
        <v>0</v>
      </c>
      <c r="AU42" s="4">
        <f t="shared" si="5"/>
        <v>2.2699124707019753</v>
      </c>
      <c r="AV42" s="4">
        <f t="shared" si="6"/>
        <v>1.5628029057141652</v>
      </c>
      <c r="AW42" s="4"/>
      <c r="AX42" s="4"/>
      <c r="AY42" s="4"/>
      <c r="AZ42" s="4"/>
      <c r="BA42" s="4"/>
      <c r="BB42" s="4"/>
      <c r="BC42" s="4"/>
    </row>
    <row r="43" spans="1:55" s="35" customFormat="1" x14ac:dyDescent="0.25">
      <c r="B43" s="35" t="s">
        <v>128</v>
      </c>
      <c r="C43" s="35">
        <v>1</v>
      </c>
      <c r="D43" s="37">
        <f>AVERAGE(D3:D6)</f>
        <v>5.1723938859974047E-3</v>
      </c>
      <c r="E43" s="37">
        <f t="shared" ref="E43:AR43" si="7">AVERAGE(E3:E6)</f>
        <v>0</v>
      </c>
      <c r="F43" s="37">
        <f t="shared" si="7"/>
        <v>0</v>
      </c>
      <c r="G43" s="37">
        <f t="shared" si="7"/>
        <v>0</v>
      </c>
      <c r="H43" s="37">
        <f t="shared" si="7"/>
        <v>2.5333937095100499E-4</v>
      </c>
      <c r="I43" s="37">
        <f t="shared" si="7"/>
        <v>1.0040110226742674E-3</v>
      </c>
      <c r="J43" s="37">
        <f t="shared" si="7"/>
        <v>9.5267019176279253E-3</v>
      </c>
      <c r="K43" s="37">
        <f t="shared" si="7"/>
        <v>6.4728707277456499E-4</v>
      </c>
      <c r="L43" s="37">
        <f t="shared" si="7"/>
        <v>0</v>
      </c>
      <c r="M43" s="37">
        <f t="shared" si="7"/>
        <v>0</v>
      </c>
      <c r="N43" s="37">
        <f t="shared" si="7"/>
        <v>0</v>
      </c>
      <c r="O43" s="37">
        <f t="shared" si="7"/>
        <v>0</v>
      </c>
      <c r="P43" s="37">
        <f t="shared" si="7"/>
        <v>0</v>
      </c>
      <c r="Q43" s="37">
        <f t="shared" si="7"/>
        <v>0</v>
      </c>
      <c r="R43" s="37">
        <f t="shared" si="7"/>
        <v>0</v>
      </c>
      <c r="S43" s="37">
        <f t="shared" si="7"/>
        <v>0</v>
      </c>
      <c r="T43" s="37">
        <f t="shared" si="7"/>
        <v>0</v>
      </c>
      <c r="U43" s="37">
        <f t="shared" si="7"/>
        <v>0</v>
      </c>
      <c r="V43" s="37">
        <f t="shared" si="7"/>
        <v>0</v>
      </c>
      <c r="W43" s="37">
        <f t="shared" si="7"/>
        <v>0</v>
      </c>
      <c r="X43" s="37">
        <f t="shared" si="7"/>
        <v>0</v>
      </c>
      <c r="Y43" s="37">
        <f t="shared" si="7"/>
        <v>0</v>
      </c>
      <c r="Z43" s="37">
        <f t="shared" si="7"/>
        <v>0</v>
      </c>
      <c r="AA43" s="37">
        <f t="shared" si="7"/>
        <v>1.3230305350351995E-5</v>
      </c>
      <c r="AB43" s="37">
        <f t="shared" si="7"/>
        <v>0</v>
      </c>
      <c r="AC43" s="37">
        <f t="shared" si="7"/>
        <v>0</v>
      </c>
      <c r="AD43" s="37">
        <f t="shared" si="7"/>
        <v>0</v>
      </c>
      <c r="AE43" s="37">
        <f t="shared" si="7"/>
        <v>0</v>
      </c>
      <c r="AF43" s="37">
        <f t="shared" si="7"/>
        <v>0</v>
      </c>
      <c r="AG43" s="37">
        <f t="shared" si="7"/>
        <v>0</v>
      </c>
      <c r="AH43" s="37">
        <f t="shared" si="7"/>
        <v>0</v>
      </c>
      <c r="AI43" s="37">
        <f t="shared" si="7"/>
        <v>0</v>
      </c>
      <c r="AJ43" s="37">
        <f t="shared" si="7"/>
        <v>0</v>
      </c>
      <c r="AK43" s="37">
        <f t="shared" si="7"/>
        <v>0</v>
      </c>
      <c r="AL43" s="37">
        <f t="shared" si="7"/>
        <v>0</v>
      </c>
      <c r="AM43" s="37">
        <f t="shared" si="7"/>
        <v>0</v>
      </c>
      <c r="AN43" s="37">
        <f t="shared" si="7"/>
        <v>0</v>
      </c>
      <c r="AO43" s="37">
        <f t="shared" si="7"/>
        <v>0</v>
      </c>
      <c r="AP43" s="37">
        <f t="shared" si="7"/>
        <v>1.661696357537552E-2</v>
      </c>
      <c r="AQ43" s="37">
        <f t="shared" si="7"/>
        <v>1.6603733270025168E-2</v>
      </c>
      <c r="AR43" s="37">
        <f t="shared" si="7"/>
        <v>1.3230305350351995E-5</v>
      </c>
      <c r="AS43" s="37">
        <f>AVERAGE(AS3:AS6)</f>
        <v>1.6603733270025168E-2</v>
      </c>
      <c r="AT43" s="37">
        <f t="shared" ref="AT43:AV43" si="8">AVERAGE(AT3:AT6)</f>
        <v>1.3230305350351995E-5</v>
      </c>
      <c r="AU43" s="37">
        <f t="shared" si="8"/>
        <v>0</v>
      </c>
      <c r="AV43" s="37">
        <f t="shared" si="8"/>
        <v>0</v>
      </c>
      <c r="AW43" s="37">
        <f>_xlfn.STDEV.P(AP3:AP6)</f>
        <v>9.5836463403813459E-3</v>
      </c>
      <c r="AX43" s="37">
        <f>_xlfn.STDEV.P(AQ3:AQ6)</f>
        <v>9.6065132580350002E-3</v>
      </c>
      <c r="AY43" s="37">
        <f>_xlfn.STDEV.P(AR3:AR6)</f>
        <v>2.2915561066460012E-5</v>
      </c>
      <c r="AZ43" s="37">
        <f t="shared" ref="AZ43:BC43" si="9">_xlfn.STDEV.P(AS3:AS6)</f>
        <v>9.6065132580350002E-3</v>
      </c>
      <c r="BA43" s="37">
        <f t="shared" si="9"/>
        <v>2.2915561066460012E-5</v>
      </c>
      <c r="BB43" s="37">
        <f t="shared" si="9"/>
        <v>0</v>
      </c>
      <c r="BC43" s="37">
        <f t="shared" si="9"/>
        <v>0</v>
      </c>
    </row>
    <row r="44" spans="1:55" s="35" customFormat="1" x14ac:dyDescent="0.25">
      <c r="C44" s="35">
        <v>5</v>
      </c>
      <c r="D44" s="37">
        <f>AVERAGE(D7:D10)</f>
        <v>0.85321208016812011</v>
      </c>
      <c r="E44" s="37">
        <f t="shared" ref="E44:AR44" si="10">AVERAGE(E7:E10)</f>
        <v>1.3417906553632578E-2</v>
      </c>
      <c r="F44" s="37">
        <f t="shared" si="10"/>
        <v>0</v>
      </c>
      <c r="G44" s="37">
        <f t="shared" si="10"/>
        <v>0</v>
      </c>
      <c r="H44" s="37">
        <f t="shared" si="10"/>
        <v>7.117249006218368E-2</v>
      </c>
      <c r="I44" s="37">
        <f t="shared" si="10"/>
        <v>3.4768101231260175E-3</v>
      </c>
      <c r="J44" s="37">
        <f t="shared" si="10"/>
        <v>2.0213739617112324E-2</v>
      </c>
      <c r="K44" s="37">
        <f t="shared" si="10"/>
        <v>5.5917078665083803E-3</v>
      </c>
      <c r="L44" s="37">
        <f t="shared" si="10"/>
        <v>1.97412126330273E-3</v>
      </c>
      <c r="M44" s="37">
        <f t="shared" si="10"/>
        <v>0</v>
      </c>
      <c r="N44" s="37">
        <f t="shared" si="10"/>
        <v>0</v>
      </c>
      <c r="O44" s="37">
        <f t="shared" si="10"/>
        <v>0</v>
      </c>
      <c r="P44" s="37">
        <f t="shared" si="10"/>
        <v>0</v>
      </c>
      <c r="Q44" s="37">
        <f t="shared" si="10"/>
        <v>0</v>
      </c>
      <c r="R44" s="37">
        <f t="shared" si="10"/>
        <v>0</v>
      </c>
      <c r="S44" s="37">
        <f t="shared" si="10"/>
        <v>0.76866936520161011</v>
      </c>
      <c r="T44" s="37">
        <f t="shared" si="10"/>
        <v>0.47404368291357957</v>
      </c>
      <c r="U44" s="37">
        <f t="shared" si="10"/>
        <v>0.3304335211617157</v>
      </c>
      <c r="V44" s="37">
        <f t="shared" si="10"/>
        <v>3.172583200893675E-2</v>
      </c>
      <c r="W44" s="37">
        <f t="shared" si="10"/>
        <v>1.1606909627734998E-2</v>
      </c>
      <c r="X44" s="37">
        <f t="shared" si="10"/>
        <v>0</v>
      </c>
      <c r="Y44" s="37">
        <f t="shared" si="10"/>
        <v>0</v>
      </c>
      <c r="Z44" s="37">
        <f t="shared" si="10"/>
        <v>0</v>
      </c>
      <c r="AA44" s="37">
        <f t="shared" si="10"/>
        <v>6.6656346684719038E-3</v>
      </c>
      <c r="AB44" s="37">
        <f t="shared" si="10"/>
        <v>4.1172349751166751E-4</v>
      </c>
      <c r="AC44" s="37">
        <f t="shared" si="10"/>
        <v>0</v>
      </c>
      <c r="AD44" s="37">
        <f t="shared" si="10"/>
        <v>0</v>
      </c>
      <c r="AE44" s="37">
        <f t="shared" si="10"/>
        <v>7.0205606805730182E-4</v>
      </c>
      <c r="AF44" s="37">
        <f t="shared" si="10"/>
        <v>2.5133203793562845E-3</v>
      </c>
      <c r="AG44" s="37">
        <f t="shared" si="10"/>
        <v>2.7415149856105272E-3</v>
      </c>
      <c r="AH44" s="37">
        <f t="shared" si="10"/>
        <v>0</v>
      </c>
      <c r="AI44" s="37">
        <f t="shared" si="10"/>
        <v>0</v>
      </c>
      <c r="AJ44" s="37">
        <f t="shared" si="10"/>
        <v>0.14172760057861289</v>
      </c>
      <c r="AK44" s="37">
        <f t="shared" si="10"/>
        <v>0.80640764981079505</v>
      </c>
      <c r="AL44" s="37">
        <f t="shared" si="10"/>
        <v>0.20883309613596324</v>
      </c>
      <c r="AM44" s="37">
        <f t="shared" si="10"/>
        <v>0.18899551615248475</v>
      </c>
      <c r="AN44" s="37">
        <f t="shared" si="10"/>
        <v>5.4757186843355177E-2</v>
      </c>
      <c r="AO44" s="37">
        <f t="shared" si="10"/>
        <v>2.5464359033751355E-2</v>
      </c>
      <c r="AP44" s="37">
        <f t="shared" si="10"/>
        <v>4.024757824721533</v>
      </c>
      <c r="AQ44" s="37">
        <f t="shared" si="10"/>
        <v>2.585538166567563</v>
      </c>
      <c r="AR44" s="37">
        <f t="shared" si="10"/>
        <v>1.43921965815397</v>
      </c>
      <c r="AS44" s="37">
        <f t="shared" ref="AS44:AV44" si="11">AVERAGE(AS7:AS10)</f>
        <v>0.96905885565398586</v>
      </c>
      <c r="AT44" s="37">
        <f t="shared" si="11"/>
        <v>1.3034249599007683E-2</v>
      </c>
      <c r="AU44" s="37">
        <f t="shared" si="11"/>
        <v>1.6164793109135771</v>
      </c>
      <c r="AV44" s="37">
        <f t="shared" si="11"/>
        <v>1.4261854085549626</v>
      </c>
      <c r="AW44" s="37">
        <f>_xlfn.STDEV.P(AP7:AP10)</f>
        <v>3.3465664383896825</v>
      </c>
      <c r="AX44" s="37">
        <f>_xlfn.STDEV.P(AQ7:AQ10)</f>
        <v>2.1983966060555189</v>
      </c>
      <c r="AY44" s="37">
        <f>_xlfn.STDEV.P(AR7:AR10)</f>
        <v>1.1561948339156347</v>
      </c>
      <c r="AZ44" s="37">
        <f t="shared" ref="AZ44:BC44" si="12">_xlfn.STDEV.P(AS7:AS10)</f>
        <v>0.95306446352048912</v>
      </c>
      <c r="BA44" s="37">
        <f t="shared" si="12"/>
        <v>1.3085013061825764E-2</v>
      </c>
      <c r="BB44" s="37">
        <f t="shared" si="12"/>
        <v>1.2720638111124059</v>
      </c>
      <c r="BC44" s="37">
        <f t="shared" si="12"/>
        <v>1.1435876887882113</v>
      </c>
    </row>
    <row r="45" spans="1:55" s="35" customFormat="1" x14ac:dyDescent="0.25">
      <c r="C45" s="35">
        <v>17</v>
      </c>
      <c r="D45" s="37">
        <f>AVERAGE(D11:D14)</f>
        <v>2.3089174589498578</v>
      </c>
      <c r="E45" s="37">
        <f t="shared" ref="E45:AR45" si="13">AVERAGE(E11:E14)</f>
        <v>4.0332966435350448E-2</v>
      </c>
      <c r="F45" s="37">
        <f t="shared" si="13"/>
        <v>0</v>
      </c>
      <c r="G45" s="37">
        <f t="shared" si="13"/>
        <v>0</v>
      </c>
      <c r="H45" s="37">
        <f t="shared" si="13"/>
        <v>0.1414289265028722</v>
      </c>
      <c r="I45" s="37">
        <f t="shared" si="13"/>
        <v>9.7374995094770336E-3</v>
      </c>
      <c r="J45" s="37">
        <f t="shared" si="13"/>
        <v>5.8444619636963291E-2</v>
      </c>
      <c r="K45" s="37">
        <f t="shared" si="13"/>
        <v>2.8027010168973979E-2</v>
      </c>
      <c r="L45" s="37">
        <f t="shared" si="13"/>
        <v>2.3854710311027448E-2</v>
      </c>
      <c r="M45" s="37">
        <f t="shared" si="13"/>
        <v>8.3714475931800682E-3</v>
      </c>
      <c r="N45" s="37">
        <f t="shared" si="13"/>
        <v>1.9510441128170802E-3</v>
      </c>
      <c r="O45" s="37">
        <f t="shared" si="13"/>
        <v>0</v>
      </c>
      <c r="P45" s="37">
        <f t="shared" si="13"/>
        <v>0</v>
      </c>
      <c r="Q45" s="37">
        <f t="shared" si="13"/>
        <v>1.1669057824726343E-2</v>
      </c>
      <c r="R45" s="37">
        <f t="shared" si="13"/>
        <v>8.0804028258339468E-3</v>
      </c>
      <c r="S45" s="37">
        <f t="shared" si="13"/>
        <v>7.4547068733911726</v>
      </c>
      <c r="T45" s="37">
        <f t="shared" si="13"/>
        <v>4.7880910271523653</v>
      </c>
      <c r="U45" s="37">
        <f t="shared" si="13"/>
        <v>2.7656977465827026</v>
      </c>
      <c r="V45" s="37">
        <f t="shared" si="13"/>
        <v>0.25512834508986248</v>
      </c>
      <c r="W45" s="37">
        <f t="shared" si="13"/>
        <v>0.12933294383887428</v>
      </c>
      <c r="X45" s="37">
        <f t="shared" si="13"/>
        <v>1.5083610966765599E-2</v>
      </c>
      <c r="Y45" s="37">
        <f t="shared" si="13"/>
        <v>0</v>
      </c>
      <c r="Z45" s="37">
        <f t="shared" si="13"/>
        <v>0</v>
      </c>
      <c r="AA45" s="37">
        <f t="shared" si="13"/>
        <v>1.6566822189054919E-2</v>
      </c>
      <c r="AB45" s="37">
        <f t="shared" si="13"/>
        <v>1.4264531186678039E-3</v>
      </c>
      <c r="AC45" s="37">
        <f t="shared" si="13"/>
        <v>7.0955579918327496E-4</v>
      </c>
      <c r="AD45" s="37">
        <f t="shared" si="13"/>
        <v>9.5527262010306237E-3</v>
      </c>
      <c r="AE45" s="37">
        <f t="shared" si="13"/>
        <v>3.5557836605531926E-2</v>
      </c>
      <c r="AF45" s="37">
        <f t="shared" si="13"/>
        <v>2.0303427222428429E-2</v>
      </c>
      <c r="AG45" s="37">
        <f t="shared" si="13"/>
        <v>1.4997562172844203E-2</v>
      </c>
      <c r="AH45" s="37">
        <f t="shared" si="13"/>
        <v>0</v>
      </c>
      <c r="AI45" s="37">
        <f t="shared" si="13"/>
        <v>0</v>
      </c>
      <c r="AJ45" s="37">
        <f t="shared" si="13"/>
        <v>0.99622041122724947</v>
      </c>
      <c r="AK45" s="37">
        <f t="shared" si="13"/>
        <v>10.134075497016578</v>
      </c>
      <c r="AL45" s="37">
        <f t="shared" si="13"/>
        <v>2.0577039885451338</v>
      </c>
      <c r="AM45" s="37">
        <f t="shared" si="13"/>
        <v>1.1944071029853354</v>
      </c>
      <c r="AN45" s="37">
        <f t="shared" si="13"/>
        <v>0.26709595247278245</v>
      </c>
      <c r="AO45" s="37">
        <f t="shared" si="13"/>
        <v>0.12181007200107703</v>
      </c>
      <c r="AP45" s="37">
        <f t="shared" si="13"/>
        <v>32.919283098449725</v>
      </c>
      <c r="AQ45" s="37">
        <f t="shared" si="13"/>
        <v>18.048855690892822</v>
      </c>
      <c r="AR45" s="37">
        <f t="shared" si="13"/>
        <v>14.870427407556898</v>
      </c>
      <c r="AS45" s="37">
        <f t="shared" ref="AS45:AV45" si="14">AVERAGE(AS11:AS14)</f>
        <v>2.621065683220519</v>
      </c>
      <c r="AT45" s="37">
        <f t="shared" si="14"/>
        <v>9.9114383308741172E-2</v>
      </c>
      <c r="AU45" s="37">
        <f t="shared" si="14"/>
        <v>15.427790007672302</v>
      </c>
      <c r="AV45" s="37">
        <f t="shared" si="14"/>
        <v>14.771313024248157</v>
      </c>
      <c r="AW45" s="37">
        <f>_xlfn.STDEV.P(AP11:AP14)</f>
        <v>12.84202120343325</v>
      </c>
      <c r="AX45" s="37">
        <f>_xlfn.STDEV.P(AQ11:AQ14)</f>
        <v>6.2522435819003901</v>
      </c>
      <c r="AY45" s="37">
        <f>_xlfn.STDEV.P(AR11:AR14)</f>
        <v>6.5968239571336404</v>
      </c>
      <c r="AZ45" s="37">
        <f t="shared" ref="AZ45:BC45" si="15">_xlfn.STDEV.P(AS11:AS14)</f>
        <v>1.0600899207972128</v>
      </c>
      <c r="BA45" s="37">
        <f t="shared" si="15"/>
        <v>3.7180207714688142E-2</v>
      </c>
      <c r="BB45" s="37">
        <f t="shared" si="15"/>
        <v>5.8007955152512913</v>
      </c>
      <c r="BC45" s="37">
        <f t="shared" si="15"/>
        <v>6.559965183624497</v>
      </c>
    </row>
    <row r="46" spans="1:55" s="35" customFormat="1" x14ac:dyDescent="0.25">
      <c r="C46" s="35">
        <v>38</v>
      </c>
      <c r="D46" s="37">
        <f>AVERAGE(D15:D18)</f>
        <v>0.61947876401251878</v>
      </c>
      <c r="E46" s="37">
        <f t="shared" ref="E46:AR46" si="16">AVERAGE(E15:E18)</f>
        <v>1.5853995684656501E-2</v>
      </c>
      <c r="F46" s="37">
        <f t="shared" si="16"/>
        <v>0</v>
      </c>
      <c r="G46" s="37">
        <f t="shared" si="16"/>
        <v>0</v>
      </c>
      <c r="H46" s="37">
        <f t="shared" si="16"/>
        <v>2.5698304791204801E-2</v>
      </c>
      <c r="I46" s="37">
        <f t="shared" si="16"/>
        <v>4.4841359669472742E-3</v>
      </c>
      <c r="J46" s="37">
        <f t="shared" si="16"/>
        <v>7.2693502659969059E-2</v>
      </c>
      <c r="K46" s="37">
        <f t="shared" si="16"/>
        <v>3.8092317237744699E-2</v>
      </c>
      <c r="L46" s="37">
        <f t="shared" si="16"/>
        <v>2.8409015678178148E-2</v>
      </c>
      <c r="M46" s="37">
        <f t="shared" si="16"/>
        <v>1.0017572817538165E-2</v>
      </c>
      <c r="N46" s="37">
        <f t="shared" si="16"/>
        <v>1.751743256959135E-3</v>
      </c>
      <c r="O46" s="37">
        <f t="shared" si="16"/>
        <v>0</v>
      </c>
      <c r="P46" s="37">
        <f t="shared" si="16"/>
        <v>0</v>
      </c>
      <c r="Q46" s="37">
        <f t="shared" si="16"/>
        <v>1.9639776176058475E-2</v>
      </c>
      <c r="R46" s="37">
        <f t="shared" si="16"/>
        <v>1.5628639064206949E-2</v>
      </c>
      <c r="S46" s="37">
        <f t="shared" si="16"/>
        <v>11.605000344309133</v>
      </c>
      <c r="T46" s="37">
        <f t="shared" si="16"/>
        <v>9.1402489407894727</v>
      </c>
      <c r="U46" s="37">
        <f t="shared" si="16"/>
        <v>3.6659224497913052</v>
      </c>
      <c r="V46" s="37">
        <f t="shared" si="16"/>
        <v>0.29728735555045505</v>
      </c>
      <c r="W46" s="37">
        <f t="shared" si="16"/>
        <v>0.13548303765611597</v>
      </c>
      <c r="X46" s="37">
        <f t="shared" si="16"/>
        <v>2.2057276647693649E-2</v>
      </c>
      <c r="Y46" s="37">
        <f t="shared" si="16"/>
        <v>0</v>
      </c>
      <c r="Z46" s="37">
        <f t="shared" si="16"/>
        <v>0</v>
      </c>
      <c r="AA46" s="37">
        <f t="shared" si="16"/>
        <v>3.3886488638472266E-3</v>
      </c>
      <c r="AB46" s="37">
        <f t="shared" si="16"/>
        <v>6.5905630316147123E-5</v>
      </c>
      <c r="AC46" s="37">
        <f t="shared" si="16"/>
        <v>3.4930438908842999E-3</v>
      </c>
      <c r="AD46" s="37">
        <f t="shared" si="16"/>
        <v>1.5172736562437047E-2</v>
      </c>
      <c r="AE46" s="37">
        <f t="shared" si="16"/>
        <v>4.9795363117221818E-2</v>
      </c>
      <c r="AF46" s="37">
        <f t="shared" si="16"/>
        <v>1.6244120266830316E-2</v>
      </c>
      <c r="AG46" s="37">
        <f t="shared" si="16"/>
        <v>4.8260881816243545E-3</v>
      </c>
      <c r="AH46" s="37">
        <f t="shared" si="16"/>
        <v>0</v>
      </c>
      <c r="AI46" s="37">
        <f t="shared" si="16"/>
        <v>0</v>
      </c>
      <c r="AJ46" s="37">
        <f t="shared" si="16"/>
        <v>2.1150749164059017</v>
      </c>
      <c r="AK46" s="37">
        <f t="shared" si="16"/>
        <v>19.204016230503196</v>
      </c>
      <c r="AL46" s="37">
        <f t="shared" si="16"/>
        <v>2.6862473119152526</v>
      </c>
      <c r="AM46" s="37">
        <f t="shared" si="16"/>
        <v>0.73668682239732575</v>
      </c>
      <c r="AN46" s="37">
        <f t="shared" si="16"/>
        <v>0.1014179690881214</v>
      </c>
      <c r="AO46" s="37">
        <f t="shared" si="16"/>
        <v>3.3668774822408515E-2</v>
      </c>
      <c r="AP46" s="37">
        <f t="shared" si="16"/>
        <v>50.687845103735533</v>
      </c>
      <c r="AQ46" s="37">
        <f t="shared" si="16"/>
        <v>25.717747172090156</v>
      </c>
      <c r="AR46" s="37">
        <f t="shared" si="16"/>
        <v>24.97009793164537</v>
      </c>
      <c r="AS46" s="37">
        <f t="shared" ref="AS46:AV46" si="17">AVERAGE(AS15:AS18)</f>
        <v>0.81647935210571654</v>
      </c>
      <c r="AT46" s="37">
        <f t="shared" si="17"/>
        <v>9.2985906513161215E-2</v>
      </c>
      <c r="AU46" s="37">
        <f t="shared" si="17"/>
        <v>24.90126781998444</v>
      </c>
      <c r="AV46" s="37">
        <f t="shared" si="17"/>
        <v>24.877112025132206</v>
      </c>
      <c r="AW46" s="37">
        <f>_xlfn.STDEV.P(AP15:AP18)</f>
        <v>21.572520705513451</v>
      </c>
      <c r="AX46" s="37">
        <f>_xlfn.STDEV.P(AQ15:AQ18)</f>
        <v>9.6932056701813689</v>
      </c>
      <c r="AY46" s="37">
        <f>_xlfn.STDEV.P(AR15:AR18)</f>
        <v>11.919456660230276</v>
      </c>
      <c r="AZ46" s="37">
        <f t="shared" ref="AZ46:BC46" si="18">_xlfn.STDEV.P(AS15:AS18)</f>
        <v>8.8270113122027968E-2</v>
      </c>
      <c r="BA46" s="37">
        <f t="shared" si="18"/>
        <v>3.4394041804707745E-2</v>
      </c>
      <c r="BB46" s="37">
        <f t="shared" si="18"/>
        <v>9.7533782804662756</v>
      </c>
      <c r="BC46" s="37">
        <f t="shared" si="18"/>
        <v>11.885149355934777</v>
      </c>
    </row>
    <row r="47" spans="1:55" s="35" customFormat="1" x14ac:dyDescent="0.25">
      <c r="C47" s="35">
        <v>54</v>
      </c>
      <c r="D47" s="37">
        <f>AVERAGE(D19:D22)</f>
        <v>0.93878124748748693</v>
      </c>
      <c r="E47" s="37">
        <f t="shared" ref="E47:AR47" si="19">AVERAGE(E19:E22)</f>
        <v>1.9572606556625478E-2</v>
      </c>
      <c r="F47" s="37">
        <f t="shared" si="19"/>
        <v>0</v>
      </c>
      <c r="G47" s="37">
        <f t="shared" si="19"/>
        <v>0</v>
      </c>
      <c r="H47" s="37">
        <f t="shared" si="19"/>
        <v>3.641465374733014E-2</v>
      </c>
      <c r="I47" s="37">
        <f t="shared" si="19"/>
        <v>2.8477948201427973E-3</v>
      </c>
      <c r="J47" s="37">
        <f t="shared" si="19"/>
        <v>6.9340278462715399E-2</v>
      </c>
      <c r="K47" s="37">
        <f t="shared" si="19"/>
        <v>3.2621673697004923E-2</v>
      </c>
      <c r="L47" s="37">
        <f t="shared" si="19"/>
        <v>2.4411039298320149E-2</v>
      </c>
      <c r="M47" s="37">
        <f t="shared" si="19"/>
        <v>6.7601928425284645E-3</v>
      </c>
      <c r="N47" s="37">
        <f t="shared" si="19"/>
        <v>3.1638680952942376E-3</v>
      </c>
      <c r="O47" s="37">
        <f t="shared" si="19"/>
        <v>0</v>
      </c>
      <c r="P47" s="37">
        <f t="shared" si="19"/>
        <v>0</v>
      </c>
      <c r="Q47" s="37">
        <f t="shared" si="19"/>
        <v>1.2951559184429225E-2</v>
      </c>
      <c r="R47" s="37">
        <f t="shared" si="19"/>
        <v>1.533833398812855E-2</v>
      </c>
      <c r="S47" s="37">
        <f t="shared" si="19"/>
        <v>12.114684260748042</v>
      </c>
      <c r="T47" s="37">
        <f t="shared" si="19"/>
        <v>7.8088782781780939</v>
      </c>
      <c r="U47" s="37">
        <f t="shared" si="19"/>
        <v>5.1831890988993026</v>
      </c>
      <c r="V47" s="37">
        <f t="shared" si="19"/>
        <v>0.26429538497007299</v>
      </c>
      <c r="W47" s="37">
        <f t="shared" si="19"/>
        <v>0.123179478032613</v>
      </c>
      <c r="X47" s="37">
        <f t="shared" si="19"/>
        <v>1.6188053596271425E-2</v>
      </c>
      <c r="Y47" s="37">
        <f t="shared" si="19"/>
        <v>0</v>
      </c>
      <c r="Z47" s="37">
        <f t="shared" si="19"/>
        <v>0</v>
      </c>
      <c r="AA47" s="37">
        <f t="shared" si="19"/>
        <v>4.4242580664495736E-3</v>
      </c>
      <c r="AB47" s="37">
        <f t="shared" si="19"/>
        <v>6.7760773280484135E-5</v>
      </c>
      <c r="AC47" s="37">
        <f t="shared" si="19"/>
        <v>8.4950384452249386E-4</v>
      </c>
      <c r="AD47" s="37">
        <f t="shared" si="19"/>
        <v>1.4890973369154729E-2</v>
      </c>
      <c r="AE47" s="37">
        <f t="shared" si="19"/>
        <v>3.891122778689754E-2</v>
      </c>
      <c r="AF47" s="37">
        <f t="shared" si="19"/>
        <v>1.2913500800577613E-2</v>
      </c>
      <c r="AG47" s="37">
        <f t="shared" si="19"/>
        <v>4.8088299198440635E-3</v>
      </c>
      <c r="AH47" s="37">
        <f t="shared" si="19"/>
        <v>0</v>
      </c>
      <c r="AI47" s="37">
        <f t="shared" si="19"/>
        <v>0</v>
      </c>
      <c r="AJ47" s="37">
        <f t="shared" si="19"/>
        <v>2.3834637520754574</v>
      </c>
      <c r="AK47" s="37">
        <f t="shared" si="19"/>
        <v>19.288553936407038</v>
      </c>
      <c r="AL47" s="37">
        <f t="shared" si="19"/>
        <v>3.0188717339607516</v>
      </c>
      <c r="AM47" s="37">
        <f t="shared" si="19"/>
        <v>0.7454181149147433</v>
      </c>
      <c r="AN47" s="37">
        <f t="shared" si="19"/>
        <v>0.15013892063543224</v>
      </c>
      <c r="AO47" s="37">
        <f t="shared" si="19"/>
        <v>6.3004407723677242E-2</v>
      </c>
      <c r="AP47" s="37">
        <f t="shared" si="19"/>
        <v>52.398934722882217</v>
      </c>
      <c r="AQ47" s="37">
        <f t="shared" si="19"/>
        <v>26.6726178026044</v>
      </c>
      <c r="AR47" s="37">
        <f t="shared" si="19"/>
        <v>25.726316920277828</v>
      </c>
      <c r="AS47" s="37">
        <f t="shared" ref="AS47:AV47" si="20">AVERAGE(AS19:AS22)</f>
        <v>1.1339133550074487</v>
      </c>
      <c r="AT47" s="37">
        <f t="shared" si="20"/>
        <v>7.6866054560726496E-2</v>
      </c>
      <c r="AU47" s="37">
        <f t="shared" si="20"/>
        <v>25.538704447596956</v>
      </c>
      <c r="AV47" s="37">
        <f t="shared" si="20"/>
        <v>25.6494508657171</v>
      </c>
      <c r="AW47" s="37">
        <f>_xlfn.STDEV.P(AP19:AP22)</f>
        <v>4.1354076412082472</v>
      </c>
      <c r="AX47" s="37">
        <f>_xlfn.STDEV.P(AQ19:AQ22)</f>
        <v>3.8329091347645869</v>
      </c>
      <c r="AY47" s="37">
        <f>_xlfn.STDEV.P(AR19:AR22)</f>
        <v>4.2743809710554546</v>
      </c>
      <c r="AZ47" s="37">
        <f t="shared" ref="AZ47:BC47" si="21">_xlfn.STDEV.P(AS19:AS22)</f>
        <v>0.1927459706767275</v>
      </c>
      <c r="BA47" s="37">
        <f t="shared" si="21"/>
        <v>1.1770957841105961E-2</v>
      </c>
      <c r="BB47" s="37">
        <f t="shared" si="21"/>
        <v>3.8120307401643294</v>
      </c>
      <c r="BC47" s="37">
        <f t="shared" si="21"/>
        <v>4.2628424915208916</v>
      </c>
    </row>
    <row r="48" spans="1:55" s="35" customFormat="1" x14ac:dyDescent="0.25">
      <c r="C48" s="35">
        <v>57</v>
      </c>
      <c r="D48" s="37">
        <f>AVERAGE(D23:D26)</f>
        <v>0.40822934085581897</v>
      </c>
      <c r="E48" s="37">
        <f t="shared" ref="E48:AR48" si="22">AVERAGE(E23:E26)</f>
        <v>8.6545184158462306E-3</v>
      </c>
      <c r="F48" s="37">
        <f t="shared" si="22"/>
        <v>0</v>
      </c>
      <c r="G48" s="37">
        <f t="shared" si="22"/>
        <v>0</v>
      </c>
      <c r="H48" s="37">
        <f t="shared" si="22"/>
        <v>1.5278870960463086E-2</v>
      </c>
      <c r="I48" s="37">
        <f t="shared" si="22"/>
        <v>3.0239708036575519E-3</v>
      </c>
      <c r="J48" s="37">
        <f t="shared" si="22"/>
        <v>8.4880293294181008E-2</v>
      </c>
      <c r="K48" s="37">
        <f t="shared" si="22"/>
        <v>4.058967984185665E-2</v>
      </c>
      <c r="L48" s="37">
        <f t="shared" si="22"/>
        <v>2.979014133004175E-2</v>
      </c>
      <c r="M48" s="37">
        <f t="shared" si="22"/>
        <v>9.9662282371779948E-3</v>
      </c>
      <c r="N48" s="37">
        <f t="shared" si="22"/>
        <v>2.5899188419415452E-3</v>
      </c>
      <c r="O48" s="37">
        <f t="shared" si="22"/>
        <v>0</v>
      </c>
      <c r="P48" s="37">
        <f t="shared" si="22"/>
        <v>0</v>
      </c>
      <c r="Q48" s="37">
        <f t="shared" si="22"/>
        <v>1.2746547846229405E-2</v>
      </c>
      <c r="R48" s="37">
        <f t="shared" si="22"/>
        <v>1.5669051325312426E-2</v>
      </c>
      <c r="S48" s="37">
        <f t="shared" si="22"/>
        <v>14.076704224348823</v>
      </c>
      <c r="T48" s="37">
        <f t="shared" si="22"/>
        <v>10.780668198294162</v>
      </c>
      <c r="U48" s="37">
        <f t="shared" si="22"/>
        <v>4.0865793591024495</v>
      </c>
      <c r="V48" s="37">
        <f t="shared" si="22"/>
        <v>0.34071257998891524</v>
      </c>
      <c r="W48" s="37">
        <f t="shared" si="22"/>
        <v>0.16384706643913874</v>
      </c>
      <c r="X48" s="37">
        <f t="shared" si="22"/>
        <v>2.6691177867022724E-2</v>
      </c>
      <c r="Y48" s="37">
        <f t="shared" si="22"/>
        <v>0</v>
      </c>
      <c r="Z48" s="37">
        <f t="shared" si="22"/>
        <v>0</v>
      </c>
      <c r="AA48" s="37">
        <f t="shared" si="22"/>
        <v>1.1115165815001008E-3</v>
      </c>
      <c r="AB48" s="37">
        <f t="shared" si="22"/>
        <v>2.7385540593418113E-5</v>
      </c>
      <c r="AC48" s="37">
        <f t="shared" si="22"/>
        <v>9.1641143603447622E-4</v>
      </c>
      <c r="AD48" s="37">
        <f t="shared" si="22"/>
        <v>1.6622288173280701E-2</v>
      </c>
      <c r="AE48" s="37">
        <f t="shared" si="22"/>
        <v>4.6756776342572602E-2</v>
      </c>
      <c r="AF48" s="37">
        <f t="shared" si="22"/>
        <v>1.5065663346580231E-2</v>
      </c>
      <c r="AG48" s="37">
        <f t="shared" si="22"/>
        <v>5.9025164979644466E-3</v>
      </c>
      <c r="AH48" s="37">
        <f t="shared" si="22"/>
        <v>0</v>
      </c>
      <c r="AI48" s="37">
        <f t="shared" si="22"/>
        <v>0</v>
      </c>
      <c r="AJ48" s="37">
        <f t="shared" si="22"/>
        <v>2.4059463786285447</v>
      </c>
      <c r="AK48" s="37">
        <f t="shared" si="22"/>
        <v>23.175070493982599</v>
      </c>
      <c r="AL48" s="37">
        <f t="shared" si="22"/>
        <v>2.8364254659032624</v>
      </c>
      <c r="AM48" s="37">
        <f t="shared" si="22"/>
        <v>0.81545233186239652</v>
      </c>
      <c r="AN48" s="37">
        <f t="shared" si="22"/>
        <v>0.14310612453179825</v>
      </c>
      <c r="AO48" s="37">
        <f t="shared" si="22"/>
        <v>4.7832423123505712E-2</v>
      </c>
      <c r="AP48" s="37">
        <f t="shared" si="22"/>
        <v>59.61685694374367</v>
      </c>
      <c r="AQ48" s="37">
        <f t="shared" si="22"/>
        <v>30.10662116779304</v>
      </c>
      <c r="AR48" s="37">
        <f t="shared" si="22"/>
        <v>29.51023577595063</v>
      </c>
      <c r="AS48" s="37">
        <f t="shared" ref="AS48:AV48" si="23">AVERAGE(AS23:AS26)</f>
        <v>0.60300296258098474</v>
      </c>
      <c r="AT48" s="37">
        <f t="shared" si="23"/>
        <v>8.6402557918525968E-2</v>
      </c>
      <c r="AU48" s="37">
        <f t="shared" si="23"/>
        <v>29.503618205212053</v>
      </c>
      <c r="AV48" s="37">
        <f t="shared" si="23"/>
        <v>29.423833218032108</v>
      </c>
      <c r="AW48" s="37">
        <f>_xlfn.STDEV.P(AP23:AP26)</f>
        <v>12.611270133621115</v>
      </c>
      <c r="AX48" s="37">
        <f>_xlfn.STDEV.P(AQ23:AQ26)</f>
        <v>5.9830711736876871</v>
      </c>
      <c r="AY48" s="37">
        <f>_xlfn.STDEV.P(AR23:AR26)</f>
        <v>6.6324222475905517</v>
      </c>
      <c r="AZ48" s="37">
        <f t="shared" ref="AZ48:BC48" si="24">_xlfn.STDEV.P(AS23:AS26)</f>
        <v>0.21997773679469632</v>
      </c>
      <c r="BA48" s="37">
        <f t="shared" si="24"/>
        <v>2.7575411464292651E-2</v>
      </c>
      <c r="BB48" s="37">
        <f t="shared" si="24"/>
        <v>5.8646010249585414</v>
      </c>
      <c r="BC48" s="37">
        <f t="shared" si="24"/>
        <v>6.6051556319261522</v>
      </c>
    </row>
    <row r="49" spans="1:55" s="35" customFormat="1" x14ac:dyDescent="0.25">
      <c r="C49" s="35">
        <v>61</v>
      </c>
      <c r="D49" s="37">
        <f>AVERAGE(D27:D30)</f>
        <v>7.3325058500185898E-3</v>
      </c>
      <c r="E49" s="37">
        <f t="shared" ref="E49:AR49" si="25">AVERAGE(E27:E30)</f>
        <v>0</v>
      </c>
      <c r="F49" s="37">
        <f t="shared" si="25"/>
        <v>0</v>
      </c>
      <c r="G49" s="37">
        <f t="shared" si="25"/>
        <v>0</v>
      </c>
      <c r="H49" s="37">
        <f t="shared" si="25"/>
        <v>1.5661228155799275E-3</v>
      </c>
      <c r="I49" s="37">
        <f t="shared" si="25"/>
        <v>1.962361435948265E-3</v>
      </c>
      <c r="J49" s="37">
        <f t="shared" si="25"/>
        <v>6.3439920700409339E-2</v>
      </c>
      <c r="K49" s="37">
        <f t="shared" si="25"/>
        <v>3.054371713531593E-2</v>
      </c>
      <c r="L49" s="37">
        <f t="shared" si="25"/>
        <v>2.1161698122101426E-2</v>
      </c>
      <c r="M49" s="37">
        <f t="shared" si="25"/>
        <v>5.7717847948439401E-3</v>
      </c>
      <c r="N49" s="37">
        <f t="shared" si="25"/>
        <v>8.236536660502225E-4</v>
      </c>
      <c r="O49" s="37">
        <f t="shared" si="25"/>
        <v>0</v>
      </c>
      <c r="P49" s="37">
        <f t="shared" si="25"/>
        <v>0</v>
      </c>
      <c r="Q49" s="37">
        <f t="shared" si="25"/>
        <v>6.5082837532847099E-3</v>
      </c>
      <c r="R49" s="37">
        <f t="shared" si="25"/>
        <v>1.071599614779597E-2</v>
      </c>
      <c r="S49" s="37">
        <f t="shared" si="25"/>
        <v>10.044136137578262</v>
      </c>
      <c r="T49" s="37">
        <f t="shared" si="25"/>
        <v>7.1658652879994094</v>
      </c>
      <c r="U49" s="37">
        <f t="shared" si="25"/>
        <v>2.3999744360749475</v>
      </c>
      <c r="V49" s="37">
        <f t="shared" si="25"/>
        <v>0.18284579112865801</v>
      </c>
      <c r="W49" s="37">
        <f t="shared" si="25"/>
        <v>9.2933531679118456E-2</v>
      </c>
      <c r="X49" s="37">
        <f t="shared" si="25"/>
        <v>1.589937472433375E-2</v>
      </c>
      <c r="Y49" s="37">
        <f t="shared" si="25"/>
        <v>0</v>
      </c>
      <c r="Z49" s="37">
        <f t="shared" si="25"/>
        <v>0</v>
      </c>
      <c r="AA49" s="37">
        <f t="shared" si="25"/>
        <v>3.1928429689304621E-5</v>
      </c>
      <c r="AB49" s="37">
        <f t="shared" si="25"/>
        <v>0</v>
      </c>
      <c r="AC49" s="37">
        <f t="shared" si="25"/>
        <v>6.1888828582567883E-4</v>
      </c>
      <c r="AD49" s="37">
        <f t="shared" si="25"/>
        <v>1.2666054158735484E-2</v>
      </c>
      <c r="AE49" s="37">
        <f t="shared" si="25"/>
        <v>3.4086192039754264E-2</v>
      </c>
      <c r="AF49" s="37">
        <f t="shared" si="25"/>
        <v>7.2384018726777879E-3</v>
      </c>
      <c r="AG49" s="37">
        <f t="shared" si="25"/>
        <v>6.2150509336594503E-4</v>
      </c>
      <c r="AH49" s="37">
        <f t="shared" si="25"/>
        <v>0</v>
      </c>
      <c r="AI49" s="37">
        <f t="shared" si="25"/>
        <v>0</v>
      </c>
      <c r="AJ49" s="37">
        <f t="shared" si="25"/>
        <v>1.4996158559246471</v>
      </c>
      <c r="AK49" s="37">
        <f t="shared" si="25"/>
        <v>13.345218149352268</v>
      </c>
      <c r="AL49" s="37">
        <f t="shared" si="25"/>
        <v>1.3922926922367131</v>
      </c>
      <c r="AM49" s="37">
        <f t="shared" si="25"/>
        <v>0.28691628090800103</v>
      </c>
      <c r="AN49" s="37">
        <f t="shared" si="25"/>
        <v>3.4190712570129053E-2</v>
      </c>
      <c r="AO49" s="37">
        <f t="shared" si="25"/>
        <v>5.1645926733535075E-3</v>
      </c>
      <c r="AP49" s="37">
        <f t="shared" si="25"/>
        <v>36.670141857151236</v>
      </c>
      <c r="AQ49" s="37">
        <f t="shared" si="25"/>
        <v>20.05148060360608</v>
      </c>
      <c r="AR49" s="37">
        <f t="shared" si="25"/>
        <v>16.618661253545159</v>
      </c>
      <c r="AS49" s="37">
        <f t="shared" ref="AS49:AV49" si="26">AVERAGE(AS27:AS30)</f>
        <v>0.13260176452026765</v>
      </c>
      <c r="AT49" s="37">
        <f t="shared" si="26"/>
        <v>5.526296988004846E-2</v>
      </c>
      <c r="AU49" s="37">
        <f t="shared" si="26"/>
        <v>19.91887883908581</v>
      </c>
      <c r="AV49" s="37">
        <f t="shared" si="26"/>
        <v>16.563398283665112</v>
      </c>
      <c r="AW49" s="37">
        <f>_xlfn.STDEV.P(AP27:AP30)</f>
        <v>10.69402750562489</v>
      </c>
      <c r="AX49" s="37">
        <f>_xlfn.STDEV.P(AQ27:AQ30)</f>
        <v>5.5622325839925972</v>
      </c>
      <c r="AY49" s="37">
        <f>_xlfn.STDEV.P(AR27:AR30)</f>
        <v>5.2162326693302585</v>
      </c>
      <c r="AZ49" s="37">
        <f t="shared" ref="AZ49:BC49" si="27">_xlfn.STDEV.P(AS27:AS30)</f>
        <v>3.9079475940230611E-2</v>
      </c>
      <c r="BA49" s="37">
        <f t="shared" si="27"/>
        <v>1.2530429767873177E-2</v>
      </c>
      <c r="BB49" s="37">
        <f t="shared" si="27"/>
        <v>5.5239581260292248</v>
      </c>
      <c r="BC49" s="37">
        <f t="shared" si="27"/>
        <v>5.2043749486045074</v>
      </c>
    </row>
    <row r="50" spans="1:55" s="35" customFormat="1" x14ac:dyDescent="0.25">
      <c r="C50" s="35">
        <v>73</v>
      </c>
      <c r="D50" s="37">
        <f>AVERAGE(D31:D34)</f>
        <v>6.1730808417599196E-3</v>
      </c>
      <c r="E50" s="37">
        <f t="shared" ref="E50:AR50" si="28">AVERAGE(E31:E34)</f>
        <v>0</v>
      </c>
      <c r="F50" s="37">
        <f t="shared" si="28"/>
        <v>0</v>
      </c>
      <c r="G50" s="37">
        <f t="shared" si="28"/>
        <v>0</v>
      </c>
      <c r="H50" s="37">
        <f t="shared" si="28"/>
        <v>1.55329173132934E-3</v>
      </c>
      <c r="I50" s="37">
        <f t="shared" si="28"/>
        <v>1.2529159968816248E-3</v>
      </c>
      <c r="J50" s="37">
        <f t="shared" si="28"/>
        <v>7.5488264432546637E-2</v>
      </c>
      <c r="K50" s="37">
        <f t="shared" si="28"/>
        <v>3.1717888853727096E-2</v>
      </c>
      <c r="L50" s="37">
        <f t="shared" si="28"/>
        <v>1.6928699171639375E-2</v>
      </c>
      <c r="M50" s="37">
        <f t="shared" si="28"/>
        <v>4.064834119247851E-3</v>
      </c>
      <c r="N50" s="37">
        <f t="shared" si="28"/>
        <v>0</v>
      </c>
      <c r="O50" s="37">
        <f t="shared" si="28"/>
        <v>0</v>
      </c>
      <c r="P50" s="37">
        <f t="shared" si="28"/>
        <v>0</v>
      </c>
      <c r="Q50" s="37">
        <f t="shared" si="28"/>
        <v>0</v>
      </c>
      <c r="R50" s="37">
        <f t="shared" si="28"/>
        <v>1.0571896179888364E-2</v>
      </c>
      <c r="S50" s="37">
        <f t="shared" si="28"/>
        <v>11.184738733030041</v>
      </c>
      <c r="T50" s="37">
        <f t="shared" si="28"/>
        <v>7.5917563297611821</v>
      </c>
      <c r="U50" s="37">
        <f t="shared" si="28"/>
        <v>1.8726619176715349</v>
      </c>
      <c r="V50" s="37">
        <f t="shared" si="28"/>
        <v>0.10104042566593087</v>
      </c>
      <c r="W50" s="37">
        <f t="shared" si="28"/>
        <v>3.7776014463438895E-2</v>
      </c>
      <c r="X50" s="37">
        <f t="shared" si="28"/>
        <v>6.7874211799915842E-3</v>
      </c>
      <c r="Y50" s="37">
        <f t="shared" si="28"/>
        <v>0</v>
      </c>
      <c r="Z50" s="37">
        <f t="shared" si="28"/>
        <v>0</v>
      </c>
      <c r="AA50" s="37">
        <f t="shared" si="28"/>
        <v>1.0079106685117994E-5</v>
      </c>
      <c r="AB50" s="37">
        <f t="shared" si="28"/>
        <v>0</v>
      </c>
      <c r="AC50" s="37">
        <f t="shared" si="28"/>
        <v>5.0517857492787756E-4</v>
      </c>
      <c r="AD50" s="37">
        <f t="shared" si="28"/>
        <v>1.5560484120744669E-2</v>
      </c>
      <c r="AE50" s="37">
        <f t="shared" si="28"/>
        <v>2.6381674552878129E-2</v>
      </c>
      <c r="AF50" s="37">
        <f t="shared" si="28"/>
        <v>2.5396506640408185E-3</v>
      </c>
      <c r="AG50" s="37">
        <f t="shared" si="28"/>
        <v>6.8681134312208994E-5</v>
      </c>
      <c r="AH50" s="37">
        <f t="shared" si="28"/>
        <v>0</v>
      </c>
      <c r="AI50" s="37">
        <f t="shared" si="28"/>
        <v>0</v>
      </c>
      <c r="AJ50" s="37">
        <f t="shared" si="28"/>
        <v>1.7641916354149023</v>
      </c>
      <c r="AK50" s="37">
        <f t="shared" si="28"/>
        <v>15.207864218962332</v>
      </c>
      <c r="AL50" s="37">
        <f t="shared" si="28"/>
        <v>0.90250363309860937</v>
      </c>
      <c r="AM50" s="37">
        <f t="shared" si="28"/>
        <v>3.943240579007358E-2</v>
      </c>
      <c r="AN50" s="37">
        <f t="shared" si="28"/>
        <v>7.06158355288255E-4</v>
      </c>
      <c r="AO50" s="37">
        <f t="shared" si="28"/>
        <v>5.2049790325361879E-4</v>
      </c>
      <c r="AP50" s="37">
        <f t="shared" si="28"/>
        <v>38.90279601077718</v>
      </c>
      <c r="AQ50" s="37">
        <f t="shared" si="28"/>
        <v>20.942511713099137</v>
      </c>
      <c r="AR50" s="37">
        <f t="shared" si="28"/>
        <v>17.960284297678047</v>
      </c>
      <c r="AS50" s="37">
        <f t="shared" ref="AS50:AV50" si="29">AVERAGE(AS31:AS34)</f>
        <v>0.13717897514713184</v>
      </c>
      <c r="AT50" s="37">
        <f t="shared" si="29"/>
        <v>4.5065748153588825E-2</v>
      </c>
      <c r="AU50" s="37">
        <f t="shared" si="29"/>
        <v>20.805332737952007</v>
      </c>
      <c r="AV50" s="37">
        <f t="shared" si="29"/>
        <v>17.915218549524457</v>
      </c>
      <c r="AW50" s="37">
        <f>_xlfn.STDEV.P(AP31:AP34)</f>
        <v>7.5697084797139791</v>
      </c>
      <c r="AX50" s="37">
        <f>_xlfn.STDEV.P(AQ31:AQ34)</f>
        <v>3.6517812954473472</v>
      </c>
      <c r="AY50" s="37">
        <f>_xlfn.STDEV.P(AR31:AR34)</f>
        <v>3.9992574152058364</v>
      </c>
      <c r="AZ50" s="37">
        <f t="shared" ref="AZ50:BC50" si="30">_xlfn.STDEV.P(AS31:AS34)</f>
        <v>3.4251693415629079E-2</v>
      </c>
      <c r="BA50" s="37">
        <f t="shared" si="30"/>
        <v>8.9240976239579727E-3</v>
      </c>
      <c r="BB50" s="37">
        <f t="shared" si="30"/>
        <v>3.6192717924839193</v>
      </c>
      <c r="BC50" s="37">
        <f t="shared" si="30"/>
        <v>3.9904198914708431</v>
      </c>
    </row>
    <row r="51" spans="1:55" s="35" customFormat="1" x14ac:dyDescent="0.25">
      <c r="C51" s="35">
        <v>101</v>
      </c>
      <c r="D51" s="37">
        <f>AVERAGE(D35:D38)</f>
        <v>8.7786808739833133E-3</v>
      </c>
      <c r="E51" s="37">
        <f t="shared" ref="E51:AR51" si="31">AVERAGE(E35:E38)</f>
        <v>0</v>
      </c>
      <c r="F51" s="37">
        <f t="shared" si="31"/>
        <v>0</v>
      </c>
      <c r="G51" s="37">
        <f t="shared" si="31"/>
        <v>0</v>
      </c>
      <c r="H51" s="37">
        <f t="shared" si="31"/>
        <v>6.1192362091205257E-4</v>
      </c>
      <c r="I51" s="37">
        <f t="shared" si="31"/>
        <v>5.2078715969948756E-4</v>
      </c>
      <c r="J51" s="37">
        <f t="shared" si="31"/>
        <v>4.2460387938881967E-2</v>
      </c>
      <c r="K51" s="37">
        <f t="shared" si="31"/>
        <v>1.4943290385150076E-2</v>
      </c>
      <c r="L51" s="37">
        <f t="shared" si="31"/>
        <v>5.0868400515241977E-3</v>
      </c>
      <c r="M51" s="37">
        <f t="shared" si="31"/>
        <v>0</v>
      </c>
      <c r="N51" s="37">
        <f t="shared" si="31"/>
        <v>0</v>
      </c>
      <c r="O51" s="37">
        <f t="shared" si="31"/>
        <v>0</v>
      </c>
      <c r="P51" s="37">
        <f t="shared" si="31"/>
        <v>0</v>
      </c>
      <c r="Q51" s="37">
        <f t="shared" si="31"/>
        <v>0</v>
      </c>
      <c r="R51" s="37">
        <f t="shared" si="31"/>
        <v>3.2426175690903826E-3</v>
      </c>
      <c r="S51" s="37">
        <f t="shared" si="31"/>
        <v>6.5502433168814678</v>
      </c>
      <c r="T51" s="37">
        <f t="shared" si="31"/>
        <v>2.7015214236813452</v>
      </c>
      <c r="U51" s="37">
        <f t="shared" si="31"/>
        <v>0.50733103924064149</v>
      </c>
      <c r="V51" s="37">
        <f t="shared" si="31"/>
        <v>1.5974933137708775E-2</v>
      </c>
      <c r="W51" s="37">
        <f t="shared" si="31"/>
        <v>5.5243730922837023E-3</v>
      </c>
      <c r="X51" s="37">
        <f t="shared" si="31"/>
        <v>5.0783188236733006E-4</v>
      </c>
      <c r="Y51" s="37">
        <f t="shared" si="31"/>
        <v>0</v>
      </c>
      <c r="Z51" s="37">
        <f t="shared" si="31"/>
        <v>0</v>
      </c>
      <c r="AA51" s="37">
        <f t="shared" si="31"/>
        <v>2.6630698897605497E-5</v>
      </c>
      <c r="AB51" s="37">
        <f t="shared" si="31"/>
        <v>0</v>
      </c>
      <c r="AC51" s="37">
        <f t="shared" si="31"/>
        <v>2.2022419137443299E-4</v>
      </c>
      <c r="AD51" s="37">
        <f t="shared" si="31"/>
        <v>1.0172282507818688E-2</v>
      </c>
      <c r="AE51" s="37">
        <f t="shared" si="31"/>
        <v>1.1049445916705753E-2</v>
      </c>
      <c r="AF51" s="37">
        <f t="shared" si="31"/>
        <v>8.4295018724994515E-5</v>
      </c>
      <c r="AG51" s="37">
        <f t="shared" si="31"/>
        <v>0</v>
      </c>
      <c r="AH51" s="37">
        <f t="shared" si="31"/>
        <v>0</v>
      </c>
      <c r="AI51" s="37">
        <f t="shared" si="31"/>
        <v>0</v>
      </c>
      <c r="AJ51" s="37">
        <f t="shared" si="31"/>
        <v>0.91542596545072874</v>
      </c>
      <c r="AK51" s="37">
        <f t="shared" si="31"/>
        <v>6.4602050004256322</v>
      </c>
      <c r="AL51" s="37">
        <f t="shared" si="31"/>
        <v>0.20082621346622848</v>
      </c>
      <c r="AM51" s="37">
        <f t="shared" si="31"/>
        <v>1.5277022996786024E-3</v>
      </c>
      <c r="AN51" s="37">
        <f t="shared" si="31"/>
        <v>0</v>
      </c>
      <c r="AO51" s="37">
        <f t="shared" si="31"/>
        <v>0</v>
      </c>
      <c r="AP51" s="37">
        <f t="shared" si="31"/>
        <v>17.456285205490843</v>
      </c>
      <c r="AQ51" s="37">
        <f t="shared" si="31"/>
        <v>9.8567474455150546</v>
      </c>
      <c r="AR51" s="37">
        <f t="shared" si="31"/>
        <v>7.5995377599757896</v>
      </c>
      <c r="AS51" s="37">
        <f t="shared" ref="AS51:AV51" si="32">AVERAGE(AS35:AS38)</f>
        <v>7.240191003015109E-2</v>
      </c>
      <c r="AT51" s="37">
        <f t="shared" si="32"/>
        <v>2.1552878333521475E-2</v>
      </c>
      <c r="AU51" s="37">
        <f t="shared" si="32"/>
        <v>9.7843455354849045</v>
      </c>
      <c r="AV51" s="37">
        <f t="shared" si="32"/>
        <v>7.5779848816422675</v>
      </c>
      <c r="AW51" s="37">
        <f>_xlfn.STDEV.P(AP35:AP38)</f>
        <v>3.7945842349411461</v>
      </c>
      <c r="AX51" s="37">
        <f>_xlfn.STDEV.P(AQ35:AQ38)</f>
        <v>2.1440204049455893</v>
      </c>
      <c r="AY51" s="37">
        <f>_xlfn.STDEV.P(AR35:AR38)</f>
        <v>1.656298269781511</v>
      </c>
      <c r="AZ51" s="37">
        <f t="shared" ref="AZ51:BC51" si="33">_xlfn.STDEV.P(AS35:AS38)</f>
        <v>2.1342380380947271E-2</v>
      </c>
      <c r="BA51" s="37">
        <f t="shared" si="33"/>
        <v>4.8787556969136598E-3</v>
      </c>
      <c r="BB51" s="37">
        <f t="shared" si="33"/>
        <v>2.1242155434919954</v>
      </c>
      <c r="BC51" s="37">
        <f t="shared" si="33"/>
        <v>1.6520505869727959</v>
      </c>
    </row>
    <row r="52" spans="1:55" s="35" customFormat="1" x14ac:dyDescent="0.25">
      <c r="C52" s="35">
        <v>136</v>
      </c>
      <c r="D52" s="37">
        <f>AVERAGE(D39:D42)</f>
        <v>6.9320652725452132E-3</v>
      </c>
      <c r="E52" s="37">
        <f t="shared" ref="E52:AR52" si="34">AVERAGE(E39:E42)</f>
        <v>0</v>
      </c>
      <c r="F52" s="37">
        <f t="shared" si="34"/>
        <v>0</v>
      </c>
      <c r="G52" s="37">
        <f t="shared" si="34"/>
        <v>0</v>
      </c>
      <c r="H52" s="37">
        <f t="shared" si="34"/>
        <v>0</v>
      </c>
      <c r="I52" s="37">
        <f t="shared" si="34"/>
        <v>0</v>
      </c>
      <c r="J52" s="37">
        <f t="shared" si="34"/>
        <v>9.0009340121872637E-3</v>
      </c>
      <c r="K52" s="37">
        <f t="shared" si="34"/>
        <v>1.6614920594478775E-3</v>
      </c>
      <c r="L52" s="37">
        <f t="shared" si="34"/>
        <v>0</v>
      </c>
      <c r="M52" s="37">
        <f t="shared" si="34"/>
        <v>0</v>
      </c>
      <c r="N52" s="37">
        <f t="shared" si="34"/>
        <v>0</v>
      </c>
      <c r="O52" s="37">
        <f t="shared" si="34"/>
        <v>0</v>
      </c>
      <c r="P52" s="37">
        <f t="shared" si="34"/>
        <v>0</v>
      </c>
      <c r="Q52" s="37">
        <f t="shared" si="34"/>
        <v>0</v>
      </c>
      <c r="R52" s="37">
        <f t="shared" si="34"/>
        <v>0</v>
      </c>
      <c r="S52" s="37">
        <f t="shared" si="34"/>
        <v>1.8733297201410348</v>
      </c>
      <c r="T52" s="37">
        <f t="shared" si="34"/>
        <v>0.33927030273870173</v>
      </c>
      <c r="U52" s="37">
        <f t="shared" si="34"/>
        <v>4.3991815676489028E-2</v>
      </c>
      <c r="V52" s="37">
        <f t="shared" si="34"/>
        <v>0</v>
      </c>
      <c r="W52" s="37">
        <f t="shared" si="34"/>
        <v>0</v>
      </c>
      <c r="X52" s="37">
        <f t="shared" si="34"/>
        <v>0</v>
      </c>
      <c r="Y52" s="37">
        <f t="shared" si="34"/>
        <v>0</v>
      </c>
      <c r="Z52" s="37">
        <f t="shared" si="34"/>
        <v>0</v>
      </c>
      <c r="AA52" s="37">
        <f t="shared" si="34"/>
        <v>1.964802978307012E-5</v>
      </c>
      <c r="AB52" s="37">
        <f t="shared" si="34"/>
        <v>0</v>
      </c>
      <c r="AC52" s="37">
        <f t="shared" si="34"/>
        <v>7.3654394017892759E-5</v>
      </c>
      <c r="AD52" s="37">
        <f t="shared" si="34"/>
        <v>1.3171140879265964E-3</v>
      </c>
      <c r="AE52" s="37">
        <f t="shared" si="34"/>
        <v>9.7861468610703321E-4</v>
      </c>
      <c r="AF52" s="37">
        <f t="shared" si="34"/>
        <v>0</v>
      </c>
      <c r="AG52" s="37">
        <f t="shared" si="34"/>
        <v>0</v>
      </c>
      <c r="AH52" s="37">
        <f t="shared" si="34"/>
        <v>0</v>
      </c>
      <c r="AI52" s="37">
        <f t="shared" si="34"/>
        <v>0</v>
      </c>
      <c r="AJ52" s="37">
        <f t="shared" si="34"/>
        <v>0.307309575185157</v>
      </c>
      <c r="AK52" s="37">
        <f t="shared" si="34"/>
        <v>1.2941348516501363</v>
      </c>
      <c r="AL52" s="37">
        <f t="shared" si="34"/>
        <v>3.8199928301204944E-2</v>
      </c>
      <c r="AM52" s="37">
        <f t="shared" si="34"/>
        <v>0</v>
      </c>
      <c r="AN52" s="37">
        <f t="shared" si="34"/>
        <v>0</v>
      </c>
      <c r="AO52" s="37">
        <f t="shared" si="34"/>
        <v>0</v>
      </c>
      <c r="AP52" s="37">
        <f t="shared" si="34"/>
        <v>3.916219716234739</v>
      </c>
      <c r="AQ52" s="37">
        <f t="shared" si="34"/>
        <v>2.2741863299004059</v>
      </c>
      <c r="AR52" s="37">
        <f t="shared" si="34"/>
        <v>1.642033386334333</v>
      </c>
      <c r="AS52" s="37">
        <f t="shared" ref="AS52:AV52" si="35">AVERAGE(AS39:AS42)</f>
        <v>1.7594491344180355E-2</v>
      </c>
      <c r="AT52" s="37">
        <f t="shared" si="35"/>
        <v>2.3890311978345923E-3</v>
      </c>
      <c r="AU52" s="37">
        <f t="shared" si="35"/>
        <v>2.2565918385562256</v>
      </c>
      <c r="AV52" s="37">
        <f t="shared" si="35"/>
        <v>1.6396443551364983</v>
      </c>
      <c r="AW52" s="37">
        <f>_xlfn.STDEV.P(AP39:AP42)</f>
        <v>1.1196871489615341</v>
      </c>
      <c r="AX52" s="37">
        <f>_xlfn.STDEV.P(AQ39:AQ42)</f>
        <v>0.541168432237636</v>
      </c>
      <c r="AY52" s="37">
        <f>_xlfn.STDEV.P(AR39:AR42)</f>
        <v>0.58521978491379167</v>
      </c>
      <c r="AZ52" s="37">
        <f t="shared" ref="AZ52:BC52" si="36">_xlfn.STDEV.P(AS39:AS42)</f>
        <v>8.1950315739682412E-3</v>
      </c>
      <c r="BA52" s="37">
        <f t="shared" si="36"/>
        <v>4.1379234155166479E-3</v>
      </c>
      <c r="BB52" s="37">
        <f t="shared" si="36"/>
        <v>0.53671713853202263</v>
      </c>
      <c r="BC52" s="37">
        <f t="shared" si="36"/>
        <v>0.58153109990650076</v>
      </c>
    </row>
    <row r="53" spans="1:55" x14ac:dyDescent="0.25">
      <c r="A53" s="2">
        <v>45068</v>
      </c>
      <c r="B53">
        <v>1</v>
      </c>
      <c r="C53" t="s">
        <v>39</v>
      </c>
      <c r="D53" s="11"/>
      <c r="E53" s="11"/>
      <c r="F53" s="11"/>
      <c r="G53" s="11"/>
      <c r="H53" s="11"/>
      <c r="I53" s="11"/>
      <c r="J53" s="11"/>
      <c r="K53" s="11"/>
      <c r="L53" s="11"/>
      <c r="M53" s="11"/>
      <c r="N53" s="11"/>
      <c r="O53" s="10"/>
      <c r="P53" s="11"/>
      <c r="Q53" s="11"/>
      <c r="R53" s="11"/>
      <c r="S53" s="11"/>
      <c r="T53" s="11"/>
      <c r="U53" s="11"/>
      <c r="V53" s="11"/>
      <c r="W53" s="11"/>
      <c r="X53" s="11"/>
      <c r="Y53" s="11"/>
      <c r="Z53" s="11"/>
      <c r="AA53" s="11"/>
      <c r="AB53" s="11"/>
      <c r="AC53" s="11"/>
      <c r="AD53" s="4"/>
      <c r="AE53" s="4"/>
      <c r="AF53" s="4"/>
      <c r="AG53" s="4"/>
      <c r="AH53" s="11"/>
      <c r="AI53" s="11"/>
      <c r="AJ53" s="11"/>
      <c r="AK53" s="11"/>
      <c r="AL53" s="11"/>
      <c r="AM53" s="11"/>
      <c r="AN53" s="11"/>
      <c r="AO53" s="11"/>
      <c r="AP53" s="4">
        <f t="shared" ref="AP53" si="37">SUM(D53:AO53)</f>
        <v>0</v>
      </c>
      <c r="AQ53" s="4">
        <f t="shared" ref="AQ53" si="38">SUM(D53:X53)</f>
        <v>0</v>
      </c>
      <c r="AR53" s="4">
        <f t="shared" ref="AR53" si="39">SUM(Y53:AO53)</f>
        <v>0</v>
      </c>
      <c r="AS53" s="4">
        <f t="shared" si="3"/>
        <v>0</v>
      </c>
      <c r="AT53" s="4">
        <f t="shared" si="4"/>
        <v>0</v>
      </c>
      <c r="AU53" s="4">
        <f t="shared" si="5"/>
        <v>0</v>
      </c>
      <c r="AV53" s="4">
        <f t="shared" si="6"/>
        <v>0</v>
      </c>
      <c r="AW53" s="4"/>
      <c r="AX53" s="4"/>
      <c r="AY53" s="4"/>
      <c r="AZ53" s="4"/>
      <c r="BA53" s="4"/>
      <c r="BB53" s="4"/>
      <c r="BC53" s="4"/>
    </row>
    <row r="54" spans="1:55" x14ac:dyDescent="0.25">
      <c r="A54" s="2"/>
      <c r="C54" t="s">
        <v>40</v>
      </c>
      <c r="D54" s="11"/>
      <c r="E54" s="11"/>
      <c r="F54" s="11"/>
      <c r="G54" s="11"/>
      <c r="H54" s="11"/>
      <c r="I54" s="11"/>
      <c r="J54" s="11"/>
      <c r="K54" s="11"/>
      <c r="L54" s="11"/>
      <c r="M54" s="11"/>
      <c r="N54" s="11"/>
      <c r="O54" s="10"/>
      <c r="P54" s="11"/>
      <c r="Q54" s="11"/>
      <c r="R54" s="11"/>
      <c r="S54" s="11"/>
      <c r="T54" s="11"/>
      <c r="U54" s="11"/>
      <c r="V54" s="11"/>
      <c r="W54" s="11"/>
      <c r="X54" s="11"/>
      <c r="Y54" s="11"/>
      <c r="Z54" s="11"/>
      <c r="AA54" s="11"/>
      <c r="AB54" s="11"/>
      <c r="AC54" s="11"/>
      <c r="AD54" s="4"/>
      <c r="AE54" s="4"/>
      <c r="AF54" s="4"/>
      <c r="AG54" s="4"/>
      <c r="AH54" s="11"/>
      <c r="AI54" s="11"/>
      <c r="AJ54" s="11"/>
      <c r="AK54" s="11"/>
      <c r="AL54" s="11"/>
      <c r="AM54" s="11"/>
      <c r="AN54" s="11"/>
      <c r="AO54" s="11"/>
      <c r="AP54" s="4">
        <f t="shared" ref="AP54:AP79" si="40">SUM(D54:AO54)</f>
        <v>0</v>
      </c>
      <c r="AQ54" s="4">
        <f t="shared" ref="AQ54:AQ79" si="41">SUM(D54:X54)</f>
        <v>0</v>
      </c>
      <c r="AR54" s="4">
        <f t="shared" ref="AR54:AR79" si="42">SUM(Y54:AO54)</f>
        <v>0</v>
      </c>
      <c r="AS54" s="4">
        <f t="shared" si="3"/>
        <v>0</v>
      </c>
      <c r="AT54" s="4">
        <f t="shared" si="4"/>
        <v>0</v>
      </c>
      <c r="AU54" s="4">
        <f t="shared" si="5"/>
        <v>0</v>
      </c>
      <c r="AV54" s="4">
        <f t="shared" si="6"/>
        <v>0</v>
      </c>
      <c r="AW54" s="4"/>
      <c r="AX54" s="4"/>
      <c r="AY54" s="4"/>
      <c r="AZ54" s="4"/>
      <c r="BA54" s="4"/>
      <c r="BB54" s="4"/>
      <c r="BC54" s="4"/>
    </row>
    <row r="55" spans="1:55" x14ac:dyDescent="0.25">
      <c r="A55" s="2"/>
      <c r="C55" t="s">
        <v>41</v>
      </c>
      <c r="D55" s="11"/>
      <c r="E55" s="11"/>
      <c r="F55" s="11"/>
      <c r="G55" s="11"/>
      <c r="H55" s="11"/>
      <c r="I55" s="11"/>
      <c r="J55" s="11"/>
      <c r="K55" s="11"/>
      <c r="L55" s="11"/>
      <c r="M55" s="11"/>
      <c r="N55" s="11"/>
      <c r="O55" s="10"/>
      <c r="P55" s="11"/>
      <c r="Q55" s="11"/>
      <c r="R55" s="11"/>
      <c r="S55" s="11"/>
      <c r="T55" s="11"/>
      <c r="U55" s="11"/>
      <c r="V55" s="11"/>
      <c r="W55" s="11"/>
      <c r="X55" s="11"/>
      <c r="Y55" s="11"/>
      <c r="Z55" s="11"/>
      <c r="AA55" s="11"/>
      <c r="AB55" s="11"/>
      <c r="AC55" s="11"/>
      <c r="AD55" s="4"/>
      <c r="AE55" s="4"/>
      <c r="AF55" s="4"/>
      <c r="AG55" s="4"/>
      <c r="AH55" s="11"/>
      <c r="AI55" s="11"/>
      <c r="AJ55" s="11"/>
      <c r="AK55" s="11"/>
      <c r="AL55" s="11"/>
      <c r="AM55" s="11"/>
      <c r="AN55" s="11"/>
      <c r="AO55" s="11"/>
      <c r="AP55" s="4">
        <f t="shared" si="40"/>
        <v>0</v>
      </c>
      <c r="AQ55" s="4">
        <f t="shared" si="41"/>
        <v>0</v>
      </c>
      <c r="AR55" s="4">
        <f t="shared" si="42"/>
        <v>0</v>
      </c>
      <c r="AS55" s="4">
        <f t="shared" si="3"/>
        <v>0</v>
      </c>
      <c r="AT55" s="4">
        <f t="shared" si="4"/>
        <v>0</v>
      </c>
      <c r="AU55" s="4">
        <f t="shared" si="5"/>
        <v>0</v>
      </c>
      <c r="AV55" s="4">
        <f t="shared" si="6"/>
        <v>0</v>
      </c>
      <c r="AW55" s="4"/>
      <c r="AX55" s="4"/>
      <c r="AY55" s="4"/>
      <c r="AZ55" s="4"/>
      <c r="BA55" s="4"/>
      <c r="BB55" s="4"/>
      <c r="BC55" s="4"/>
    </row>
    <row r="56" spans="1:55" x14ac:dyDescent="0.25">
      <c r="A56" s="2">
        <v>45072</v>
      </c>
      <c r="B56">
        <v>5</v>
      </c>
      <c r="C56" t="s">
        <v>39</v>
      </c>
      <c r="D56" s="11">
        <v>4.13</v>
      </c>
      <c r="E56" s="11"/>
      <c r="F56" s="11"/>
      <c r="G56" s="11"/>
      <c r="H56" s="11">
        <v>5.56</v>
      </c>
      <c r="I56" s="11"/>
      <c r="J56" s="11"/>
      <c r="K56" s="11"/>
      <c r="L56" s="11"/>
      <c r="M56" s="11"/>
      <c r="N56" s="11"/>
      <c r="O56" s="10"/>
      <c r="P56" s="11"/>
      <c r="Q56" s="11">
        <v>0.54200000000000004</v>
      </c>
      <c r="R56" s="11"/>
      <c r="S56" s="11">
        <v>7.6</v>
      </c>
      <c r="T56" s="11">
        <v>2.44</v>
      </c>
      <c r="U56" s="11">
        <v>2.36</v>
      </c>
      <c r="V56" s="11"/>
      <c r="W56" s="11"/>
      <c r="X56" s="11"/>
      <c r="Y56" s="11"/>
      <c r="Z56" s="11"/>
      <c r="AA56" s="11"/>
      <c r="AB56" s="11"/>
      <c r="AC56" s="11"/>
      <c r="AD56" s="4"/>
      <c r="AE56" s="4"/>
      <c r="AF56" s="4"/>
      <c r="AG56" s="4"/>
      <c r="AH56" s="11"/>
      <c r="AI56" s="11"/>
      <c r="AJ56" s="11">
        <v>2.9</v>
      </c>
      <c r="AK56" s="11">
        <v>1</v>
      </c>
      <c r="AL56" s="11">
        <v>7.2</v>
      </c>
      <c r="AM56" s="11">
        <v>3.51</v>
      </c>
      <c r="AN56" s="11">
        <v>2.21</v>
      </c>
      <c r="AO56" s="11"/>
      <c r="AP56" s="4">
        <f t="shared" si="40"/>
        <v>39.451999999999998</v>
      </c>
      <c r="AQ56" s="4">
        <f t="shared" si="41"/>
        <v>22.632000000000001</v>
      </c>
      <c r="AR56" s="4">
        <f t="shared" si="42"/>
        <v>16.82</v>
      </c>
      <c r="AS56" s="4">
        <f t="shared" si="3"/>
        <v>9.69</v>
      </c>
      <c r="AT56" s="4">
        <f t="shared" si="4"/>
        <v>0</v>
      </c>
      <c r="AU56" s="4">
        <f t="shared" si="5"/>
        <v>12.941999999999998</v>
      </c>
      <c r="AV56" s="4">
        <f t="shared" si="6"/>
        <v>16.82</v>
      </c>
      <c r="AW56" s="4"/>
      <c r="AX56" s="4"/>
      <c r="AY56" s="4"/>
      <c r="AZ56" s="4"/>
      <c r="BA56" s="4"/>
      <c r="BB56" s="4"/>
      <c r="BC56" s="4"/>
    </row>
    <row r="57" spans="1:55" x14ac:dyDescent="0.25">
      <c r="C57" t="s">
        <v>40</v>
      </c>
      <c r="D57" s="11">
        <v>3.36</v>
      </c>
      <c r="E57" s="11"/>
      <c r="F57" s="11"/>
      <c r="G57" s="11"/>
      <c r="H57" s="11">
        <v>2.14</v>
      </c>
      <c r="I57" s="11"/>
      <c r="J57" s="11"/>
      <c r="K57" s="11"/>
      <c r="L57" s="11"/>
      <c r="M57" s="11"/>
      <c r="N57" s="11"/>
      <c r="O57" s="10"/>
      <c r="P57" s="11"/>
      <c r="Q57" s="11"/>
      <c r="R57" s="11"/>
      <c r="S57" s="11">
        <v>5.17</v>
      </c>
      <c r="T57" s="11">
        <v>2.29</v>
      </c>
      <c r="U57" s="11">
        <v>2.4300000000000002</v>
      </c>
      <c r="V57" s="11"/>
      <c r="W57" s="11"/>
      <c r="X57" s="11"/>
      <c r="Y57" s="11"/>
      <c r="Z57" s="11"/>
      <c r="AA57" s="11"/>
      <c r="AB57" s="11"/>
      <c r="AC57" s="11"/>
      <c r="AD57" s="4"/>
      <c r="AE57" s="4"/>
      <c r="AF57" s="4"/>
      <c r="AG57" s="4"/>
      <c r="AH57" s="11"/>
      <c r="AI57" s="11"/>
      <c r="AJ57" s="11">
        <v>1.23</v>
      </c>
      <c r="AK57" s="11">
        <v>7.61</v>
      </c>
      <c r="AL57" s="11">
        <v>6.34</v>
      </c>
      <c r="AM57" s="11">
        <v>3.46</v>
      </c>
      <c r="AN57" s="11">
        <v>2.39</v>
      </c>
      <c r="AO57" s="11">
        <v>1.1399999999999999</v>
      </c>
      <c r="AP57" s="4">
        <f t="shared" si="40"/>
        <v>37.56</v>
      </c>
      <c r="AQ57" s="4">
        <f t="shared" si="41"/>
        <v>15.39</v>
      </c>
      <c r="AR57" s="4">
        <f t="shared" si="42"/>
        <v>22.17</v>
      </c>
      <c r="AS57" s="4">
        <f t="shared" si="3"/>
        <v>5.5</v>
      </c>
      <c r="AT57" s="4">
        <f t="shared" si="4"/>
        <v>0</v>
      </c>
      <c r="AU57" s="4">
        <f t="shared" si="5"/>
        <v>9.89</v>
      </c>
      <c r="AV57" s="4">
        <f t="shared" si="6"/>
        <v>22.17</v>
      </c>
      <c r="AW57" s="4"/>
      <c r="AX57" s="4"/>
      <c r="AY57" s="4"/>
      <c r="AZ57" s="4"/>
      <c r="BA57" s="4"/>
      <c r="BB57" s="4"/>
      <c r="BC57" s="4"/>
    </row>
    <row r="58" spans="1:55" x14ac:dyDescent="0.25">
      <c r="C58" t="s">
        <v>41</v>
      </c>
      <c r="D58" s="11">
        <v>1.31</v>
      </c>
      <c r="E58" s="11"/>
      <c r="F58" s="11"/>
      <c r="G58" s="11"/>
      <c r="H58" s="11">
        <v>0.76</v>
      </c>
      <c r="I58" s="11"/>
      <c r="J58" s="11"/>
      <c r="K58" s="11"/>
      <c r="L58" s="11"/>
      <c r="M58" s="11"/>
      <c r="N58" s="11"/>
      <c r="O58" s="10"/>
      <c r="P58" s="11"/>
      <c r="Q58" s="11"/>
      <c r="R58" s="11"/>
      <c r="S58" s="11">
        <v>3.83</v>
      </c>
      <c r="T58" s="11">
        <v>1.78</v>
      </c>
      <c r="U58" s="11">
        <v>1.58</v>
      </c>
      <c r="V58" s="11"/>
      <c r="W58" s="11"/>
      <c r="X58" s="11"/>
      <c r="Y58" s="11"/>
      <c r="Z58" s="11"/>
      <c r="AA58" s="11"/>
      <c r="AB58" s="11"/>
      <c r="AC58" s="11"/>
      <c r="AD58" s="4"/>
      <c r="AE58" s="4"/>
      <c r="AF58" s="4"/>
      <c r="AG58" s="4"/>
      <c r="AH58" s="11"/>
      <c r="AI58" s="11"/>
      <c r="AJ58" s="11">
        <v>1.1000000000000001</v>
      </c>
      <c r="AK58" s="11">
        <v>6.48</v>
      </c>
      <c r="AL58" s="11">
        <v>4.5999999999999996</v>
      </c>
      <c r="AM58" s="11">
        <v>2.1800000000000002</v>
      </c>
      <c r="AN58" s="11">
        <v>1.43</v>
      </c>
      <c r="AO58" s="11">
        <v>0.66100000000000003</v>
      </c>
      <c r="AP58" s="4">
        <f t="shared" si="40"/>
        <v>25.711000000000006</v>
      </c>
      <c r="AQ58" s="4">
        <f t="shared" si="41"/>
        <v>9.2600000000000016</v>
      </c>
      <c r="AR58" s="4">
        <f t="shared" si="42"/>
        <v>16.451000000000001</v>
      </c>
      <c r="AS58" s="4">
        <f t="shared" si="3"/>
        <v>2.0700000000000003</v>
      </c>
      <c r="AT58" s="4">
        <f t="shared" si="4"/>
        <v>0</v>
      </c>
      <c r="AU58" s="4">
        <f t="shared" si="5"/>
        <v>7.19</v>
      </c>
      <c r="AV58" s="4">
        <f t="shared" si="6"/>
        <v>16.451000000000001</v>
      </c>
      <c r="AW58" s="4"/>
      <c r="AX58" s="4"/>
      <c r="AY58" s="4"/>
      <c r="AZ58" s="4"/>
      <c r="BA58" s="4"/>
      <c r="BB58" s="4"/>
      <c r="BC58" s="4"/>
    </row>
    <row r="59" spans="1:55" x14ac:dyDescent="0.25">
      <c r="A59" s="2">
        <v>45084</v>
      </c>
      <c r="B59">
        <v>17</v>
      </c>
      <c r="C59" t="s">
        <v>39</v>
      </c>
      <c r="D59" s="11">
        <v>11.1</v>
      </c>
      <c r="E59" s="11"/>
      <c r="F59" s="11"/>
      <c r="G59" s="11"/>
      <c r="H59" s="11">
        <v>12.6</v>
      </c>
      <c r="I59" s="11"/>
      <c r="J59" s="11">
        <v>1.19</v>
      </c>
      <c r="K59" s="11">
        <v>0.76</v>
      </c>
      <c r="L59" s="11">
        <v>1.27</v>
      </c>
      <c r="M59" s="11">
        <v>1.48</v>
      </c>
      <c r="N59" s="11">
        <v>0.998</v>
      </c>
      <c r="O59" s="10"/>
      <c r="P59" s="11"/>
      <c r="Q59" s="11">
        <v>3.32</v>
      </c>
      <c r="R59" s="11">
        <v>1.48</v>
      </c>
      <c r="S59" s="11">
        <v>124</v>
      </c>
      <c r="T59" s="11">
        <v>54</v>
      </c>
      <c r="U59" s="11">
        <v>42.1</v>
      </c>
      <c r="V59" s="11">
        <v>2.2400000000000002</v>
      </c>
      <c r="W59" s="11">
        <v>1.19</v>
      </c>
      <c r="X59" s="11"/>
      <c r="Y59" s="11"/>
      <c r="Z59" s="11"/>
      <c r="AA59" s="11">
        <v>0.753</v>
      </c>
      <c r="AB59" s="11"/>
      <c r="AC59" s="11"/>
      <c r="AD59" s="4"/>
      <c r="AE59" s="4"/>
      <c r="AF59" s="4"/>
      <c r="AG59" s="4"/>
      <c r="AH59" s="11"/>
      <c r="AI59" s="11"/>
      <c r="AJ59" s="11">
        <v>4.8</v>
      </c>
      <c r="AK59" s="11">
        <v>181</v>
      </c>
      <c r="AL59" s="11">
        <v>158</v>
      </c>
      <c r="AM59" s="11">
        <v>43.9</v>
      </c>
      <c r="AN59" s="11">
        <v>22.9</v>
      </c>
      <c r="AO59" s="11">
        <v>8.6300000000000008</v>
      </c>
      <c r="AP59" s="4">
        <f t="shared" si="40"/>
        <v>677.7109999999999</v>
      </c>
      <c r="AQ59" s="4">
        <f t="shared" si="41"/>
        <v>257.72800000000001</v>
      </c>
      <c r="AR59" s="4">
        <f t="shared" si="42"/>
        <v>419.98299999999995</v>
      </c>
      <c r="AS59" s="4">
        <f t="shared" si="3"/>
        <v>29.398000000000003</v>
      </c>
      <c r="AT59" s="4">
        <f t="shared" si="4"/>
        <v>0.753</v>
      </c>
      <c r="AU59" s="4">
        <f t="shared" si="5"/>
        <v>228.33</v>
      </c>
      <c r="AV59" s="4">
        <f t="shared" si="6"/>
        <v>419.22999999999996</v>
      </c>
      <c r="AW59" s="4"/>
      <c r="AX59" s="4"/>
      <c r="AY59" s="4"/>
      <c r="AZ59" s="4"/>
      <c r="BA59" s="4"/>
      <c r="BB59" s="4"/>
      <c r="BC59" s="4"/>
    </row>
    <row r="60" spans="1:55" x14ac:dyDescent="0.25">
      <c r="C60" t="s">
        <v>40</v>
      </c>
      <c r="D60" s="11">
        <v>12.9</v>
      </c>
      <c r="E60" s="11"/>
      <c r="F60" s="11"/>
      <c r="G60" s="11"/>
      <c r="H60" s="11">
        <v>12.1</v>
      </c>
      <c r="I60" s="11"/>
      <c r="J60" s="11">
        <v>0.76900000000000002</v>
      </c>
      <c r="K60" s="11"/>
      <c r="L60" s="11">
        <v>0.65</v>
      </c>
      <c r="M60" s="11">
        <v>0.67800000000000005</v>
      </c>
      <c r="N60" s="11"/>
      <c r="O60" s="10"/>
      <c r="P60" s="11"/>
      <c r="Q60" s="11">
        <v>1.71</v>
      </c>
      <c r="R60" s="11">
        <v>0.65300000000000002</v>
      </c>
      <c r="S60" s="11">
        <v>63.3</v>
      </c>
      <c r="T60" s="11">
        <v>22.7</v>
      </c>
      <c r="U60" s="11">
        <v>22.7</v>
      </c>
      <c r="V60" s="11">
        <v>1.9</v>
      </c>
      <c r="W60" s="11">
        <v>0.54700000000000004</v>
      </c>
      <c r="X60" s="11"/>
      <c r="Y60" s="11"/>
      <c r="Z60" s="11"/>
      <c r="AA60" s="11">
        <v>0.94799999999999995</v>
      </c>
      <c r="AB60" s="11"/>
      <c r="AC60" s="11"/>
      <c r="AD60" s="4"/>
      <c r="AE60" s="4"/>
      <c r="AF60" s="4"/>
      <c r="AG60" s="4"/>
      <c r="AH60" s="11"/>
      <c r="AI60" s="11"/>
      <c r="AJ60" s="11">
        <v>16.7</v>
      </c>
      <c r="AK60" s="11">
        <v>88.5</v>
      </c>
      <c r="AL60" s="11">
        <v>69.400000000000006</v>
      </c>
      <c r="AM60" s="11">
        <v>2.2000000000000002</v>
      </c>
      <c r="AN60" s="11">
        <v>9.32</v>
      </c>
      <c r="AO60" s="11">
        <v>3.75</v>
      </c>
      <c r="AP60" s="4">
        <f t="shared" si="40"/>
        <v>331.42499999999995</v>
      </c>
      <c r="AQ60" s="4">
        <f t="shared" si="41"/>
        <v>140.607</v>
      </c>
      <c r="AR60" s="4">
        <f t="shared" si="42"/>
        <v>190.81799999999998</v>
      </c>
      <c r="AS60" s="4">
        <f t="shared" si="3"/>
        <v>27.096999999999998</v>
      </c>
      <c r="AT60" s="4">
        <f t="shared" si="4"/>
        <v>0.94799999999999995</v>
      </c>
      <c r="AU60" s="4">
        <f t="shared" si="5"/>
        <v>113.51</v>
      </c>
      <c r="AV60" s="4">
        <f t="shared" si="6"/>
        <v>189.87</v>
      </c>
      <c r="AW60" s="4"/>
      <c r="AX60" s="4"/>
      <c r="AY60" s="4"/>
      <c r="AZ60" s="4"/>
      <c r="BA60" s="4"/>
      <c r="BB60" s="4"/>
      <c r="BC60" s="4"/>
    </row>
    <row r="61" spans="1:55" x14ac:dyDescent="0.25">
      <c r="C61" t="s">
        <v>41</v>
      </c>
      <c r="D61" s="11">
        <v>1.1000000000000001</v>
      </c>
      <c r="E61" s="11"/>
      <c r="F61" s="11"/>
      <c r="G61" s="11"/>
      <c r="H61" s="11">
        <v>7.6</v>
      </c>
      <c r="I61" s="11"/>
      <c r="J61" s="11">
        <v>1.1299999999999999</v>
      </c>
      <c r="K61" s="11">
        <v>0.69299999999999995</v>
      </c>
      <c r="L61" s="11">
        <v>1.27</v>
      </c>
      <c r="M61" s="11">
        <v>1.49</v>
      </c>
      <c r="N61" s="11">
        <v>0.92100000000000004</v>
      </c>
      <c r="O61" s="10"/>
      <c r="P61" s="11"/>
      <c r="Q61" s="11">
        <v>2.4500000000000002</v>
      </c>
      <c r="R61" s="11">
        <v>1.1599999999999999</v>
      </c>
      <c r="S61" s="11">
        <v>117</v>
      </c>
      <c r="T61" s="11">
        <v>46.4</v>
      </c>
      <c r="U61" s="11">
        <v>36.9</v>
      </c>
      <c r="V61" s="11">
        <v>1.89</v>
      </c>
      <c r="W61" s="11">
        <v>0.98699999999999999</v>
      </c>
      <c r="X61" s="11"/>
      <c r="Y61" s="11"/>
      <c r="Z61" s="11"/>
      <c r="AA61" s="11">
        <v>0.59</v>
      </c>
      <c r="AB61" s="11"/>
      <c r="AC61" s="11"/>
      <c r="AD61" s="4"/>
      <c r="AE61" s="4"/>
      <c r="AF61" s="4"/>
      <c r="AG61" s="4"/>
      <c r="AH61" s="11"/>
      <c r="AI61" s="11"/>
      <c r="AJ61" s="11">
        <v>33.5</v>
      </c>
      <c r="AK61" s="11">
        <v>171</v>
      </c>
      <c r="AL61" s="11">
        <v>137</v>
      </c>
      <c r="AM61" s="11">
        <v>37.5</v>
      </c>
      <c r="AN61" s="11">
        <v>2.2999999999999998</v>
      </c>
      <c r="AO61" s="11">
        <v>7.82</v>
      </c>
      <c r="AP61" s="4">
        <f t="shared" si="40"/>
        <v>610.70100000000002</v>
      </c>
      <c r="AQ61" s="4">
        <f t="shared" si="41"/>
        <v>220.99099999999999</v>
      </c>
      <c r="AR61" s="4">
        <f t="shared" si="42"/>
        <v>389.71000000000004</v>
      </c>
      <c r="AS61" s="4">
        <f t="shared" si="3"/>
        <v>14.203999999999997</v>
      </c>
      <c r="AT61" s="4">
        <f t="shared" si="4"/>
        <v>0.59</v>
      </c>
      <c r="AU61" s="4">
        <f t="shared" si="5"/>
        <v>206.78699999999998</v>
      </c>
      <c r="AV61" s="4">
        <f t="shared" si="6"/>
        <v>389.12</v>
      </c>
      <c r="AW61" s="4"/>
      <c r="AX61" s="4"/>
      <c r="AY61" s="4"/>
      <c r="AZ61" s="4"/>
      <c r="BA61" s="4"/>
      <c r="BB61" s="4"/>
      <c r="BC61" s="4"/>
    </row>
    <row r="62" spans="1:55" x14ac:dyDescent="0.25">
      <c r="A62" s="2">
        <v>45105</v>
      </c>
      <c r="B62">
        <v>38</v>
      </c>
      <c r="C62" t="s">
        <v>39</v>
      </c>
      <c r="D62" s="11">
        <v>1.65</v>
      </c>
      <c r="E62" s="11"/>
      <c r="F62" s="11"/>
      <c r="G62" s="11"/>
      <c r="H62" s="11">
        <v>1.32</v>
      </c>
      <c r="I62" s="11"/>
      <c r="J62" s="11">
        <v>2.44</v>
      </c>
      <c r="K62" s="11">
        <v>1.66</v>
      </c>
      <c r="L62" s="11">
        <v>2.27</v>
      </c>
      <c r="M62" s="11">
        <v>1.74</v>
      </c>
      <c r="N62" s="11">
        <v>0.67</v>
      </c>
      <c r="O62" s="10"/>
      <c r="P62" s="11"/>
      <c r="Q62" s="11">
        <v>5.88</v>
      </c>
      <c r="R62" s="11">
        <v>5.4</v>
      </c>
      <c r="S62" s="11">
        <v>285</v>
      </c>
      <c r="T62" s="11">
        <v>135</v>
      </c>
      <c r="U62" s="11">
        <v>93.3</v>
      </c>
      <c r="V62" s="11">
        <v>2.96</v>
      </c>
      <c r="W62" s="11">
        <v>1.61</v>
      </c>
      <c r="X62" s="11"/>
      <c r="Y62" s="11"/>
      <c r="Z62" s="11"/>
      <c r="AA62" s="11"/>
      <c r="AB62" s="11"/>
      <c r="AC62" s="11"/>
      <c r="AD62" s="4"/>
      <c r="AE62" s="4"/>
      <c r="AF62" s="4"/>
      <c r="AG62" s="4"/>
      <c r="AH62" s="11"/>
      <c r="AI62" s="11">
        <v>0.64100000000000001</v>
      </c>
      <c r="AJ62" s="11">
        <v>93</v>
      </c>
      <c r="AK62" s="11">
        <v>45</v>
      </c>
      <c r="AL62" s="11">
        <v>32</v>
      </c>
      <c r="AM62" s="11">
        <v>37.299999999999997</v>
      </c>
      <c r="AN62" s="11">
        <v>12.3</v>
      </c>
      <c r="AO62" s="11">
        <v>3.4</v>
      </c>
      <c r="AP62" s="4">
        <f t="shared" si="40"/>
        <v>764.54099999999983</v>
      </c>
      <c r="AQ62" s="4">
        <f t="shared" si="41"/>
        <v>540.9</v>
      </c>
      <c r="AR62" s="4">
        <f t="shared" si="42"/>
        <v>223.64100000000005</v>
      </c>
      <c r="AS62" s="4">
        <f t="shared" si="3"/>
        <v>11.75</v>
      </c>
      <c r="AT62" s="4">
        <f t="shared" si="4"/>
        <v>0</v>
      </c>
      <c r="AU62" s="4">
        <f t="shared" si="5"/>
        <v>529.15</v>
      </c>
      <c r="AV62" s="4">
        <f t="shared" si="6"/>
        <v>223.64100000000005</v>
      </c>
      <c r="AW62" s="4"/>
      <c r="AX62" s="4"/>
      <c r="AY62" s="4"/>
      <c r="AZ62" s="4"/>
      <c r="BA62" s="4"/>
      <c r="BB62" s="4"/>
      <c r="BC62" s="4"/>
    </row>
    <row r="63" spans="1:55" x14ac:dyDescent="0.25">
      <c r="C63" t="s">
        <v>40</v>
      </c>
      <c r="D63" s="11">
        <v>6.15</v>
      </c>
      <c r="E63" s="11"/>
      <c r="F63" s="11"/>
      <c r="G63" s="11"/>
      <c r="H63" s="11">
        <v>3.41</v>
      </c>
      <c r="I63" s="11"/>
      <c r="J63" s="11">
        <v>2.2999999999999998</v>
      </c>
      <c r="K63" s="11">
        <v>1.21</v>
      </c>
      <c r="L63" s="11">
        <v>1.81</v>
      </c>
      <c r="M63" s="11">
        <v>1.31</v>
      </c>
      <c r="N63" s="11"/>
      <c r="O63" s="10"/>
      <c r="P63" s="11"/>
      <c r="Q63" s="11">
        <v>5</v>
      </c>
      <c r="R63" s="11">
        <v>4.13</v>
      </c>
      <c r="S63" s="11">
        <v>248</v>
      </c>
      <c r="T63" s="11">
        <v>15</v>
      </c>
      <c r="U63" s="11">
        <v>89.1</v>
      </c>
      <c r="V63" s="11">
        <v>2.39</v>
      </c>
      <c r="W63" s="11">
        <v>0.89700000000000002</v>
      </c>
      <c r="X63" s="11"/>
      <c r="Y63" s="11"/>
      <c r="Z63" s="11"/>
      <c r="AA63" s="11"/>
      <c r="AB63" s="11"/>
      <c r="AC63" s="11"/>
      <c r="AD63" s="4"/>
      <c r="AE63" s="4"/>
      <c r="AF63" s="4"/>
      <c r="AG63" s="4"/>
      <c r="AH63" s="11"/>
      <c r="AI63" s="11">
        <v>0.52</v>
      </c>
      <c r="AJ63" s="11">
        <v>82.9</v>
      </c>
      <c r="AK63" s="11">
        <v>378</v>
      </c>
      <c r="AL63" s="11">
        <v>267</v>
      </c>
      <c r="AM63" s="11">
        <v>29.6</v>
      </c>
      <c r="AN63" s="11">
        <v>9.2100000000000009</v>
      </c>
      <c r="AO63" s="11">
        <v>2.52</v>
      </c>
      <c r="AP63" s="4">
        <f t="shared" si="40"/>
        <v>1150.4569999999999</v>
      </c>
      <c r="AQ63" s="4">
        <f t="shared" si="41"/>
        <v>380.70699999999994</v>
      </c>
      <c r="AR63" s="4">
        <f t="shared" si="42"/>
        <v>769.75000000000011</v>
      </c>
      <c r="AS63" s="4">
        <f t="shared" si="3"/>
        <v>16.190000000000001</v>
      </c>
      <c r="AT63" s="4">
        <f t="shared" si="4"/>
        <v>0</v>
      </c>
      <c r="AU63" s="4">
        <f t="shared" si="5"/>
        <v>364.517</v>
      </c>
      <c r="AV63" s="4">
        <f t="shared" si="6"/>
        <v>769.75000000000011</v>
      </c>
      <c r="AW63" s="4"/>
      <c r="AX63" s="4"/>
      <c r="AY63" s="4"/>
      <c r="AZ63" s="4"/>
      <c r="BA63" s="4"/>
      <c r="BB63" s="4"/>
      <c r="BC63" s="4"/>
    </row>
    <row r="64" spans="1:55" x14ac:dyDescent="0.25">
      <c r="C64" t="s">
        <v>41</v>
      </c>
      <c r="D64" s="11">
        <v>2.79</v>
      </c>
      <c r="E64" s="11"/>
      <c r="F64" s="11"/>
      <c r="G64" s="11"/>
      <c r="H64" s="11">
        <v>1.54</v>
      </c>
      <c r="I64" s="11"/>
      <c r="J64" s="11">
        <v>2.34</v>
      </c>
      <c r="K64" s="11">
        <v>1.5</v>
      </c>
      <c r="L64" s="11">
        <v>2.1</v>
      </c>
      <c r="M64" s="11">
        <v>1.39</v>
      </c>
      <c r="N64" s="11"/>
      <c r="O64" s="10"/>
      <c r="P64" s="11"/>
      <c r="Q64" s="11">
        <v>4.88</v>
      </c>
      <c r="R64" s="11">
        <v>4.58</v>
      </c>
      <c r="S64" s="11">
        <v>287</v>
      </c>
      <c r="T64" s="11">
        <v>139</v>
      </c>
      <c r="U64" s="11">
        <v>88.1</v>
      </c>
      <c r="V64" s="11">
        <v>2.69</v>
      </c>
      <c r="W64" s="11">
        <v>1.1000000000000001</v>
      </c>
      <c r="X64" s="11"/>
      <c r="Y64" s="11"/>
      <c r="Z64" s="11"/>
      <c r="AA64" s="11"/>
      <c r="AB64" s="11"/>
      <c r="AC64" s="11"/>
      <c r="AD64" s="4"/>
      <c r="AE64" s="4"/>
      <c r="AF64" s="4"/>
      <c r="AG64" s="4"/>
      <c r="AH64" s="11"/>
      <c r="AI64" s="11">
        <v>0.62</v>
      </c>
      <c r="AJ64" s="11">
        <v>12</v>
      </c>
      <c r="AK64" s="11">
        <v>455</v>
      </c>
      <c r="AL64" s="11">
        <v>318</v>
      </c>
      <c r="AM64" s="11">
        <v>29.5</v>
      </c>
      <c r="AN64" s="11">
        <v>1.7</v>
      </c>
      <c r="AO64" s="11">
        <v>2.8</v>
      </c>
      <c r="AP64" s="4">
        <f t="shared" si="40"/>
        <v>1358.63</v>
      </c>
      <c r="AQ64" s="4">
        <f t="shared" si="41"/>
        <v>539.0100000000001</v>
      </c>
      <c r="AR64" s="4">
        <f t="shared" si="42"/>
        <v>819.62</v>
      </c>
      <c r="AS64" s="4">
        <f t="shared" si="3"/>
        <v>11.66</v>
      </c>
      <c r="AT64" s="4">
        <f t="shared" si="4"/>
        <v>0</v>
      </c>
      <c r="AU64" s="4">
        <f t="shared" si="5"/>
        <v>527.35</v>
      </c>
      <c r="AV64" s="4">
        <f t="shared" si="6"/>
        <v>819.62</v>
      </c>
      <c r="AW64" s="4"/>
      <c r="AX64" s="4"/>
      <c r="AY64" s="4"/>
      <c r="AZ64" s="4"/>
      <c r="BA64" s="4"/>
      <c r="BB64" s="4"/>
      <c r="BC64" s="4"/>
    </row>
    <row r="65" spans="1:55" x14ac:dyDescent="0.25">
      <c r="A65" s="2">
        <v>45124</v>
      </c>
      <c r="B65">
        <v>57</v>
      </c>
      <c r="C65" t="s">
        <v>39</v>
      </c>
      <c r="D65" s="11">
        <v>3.17</v>
      </c>
      <c r="E65" s="11"/>
      <c r="F65" s="11"/>
      <c r="G65" s="11"/>
      <c r="H65" s="11">
        <v>2.36</v>
      </c>
      <c r="I65" s="11"/>
      <c r="J65" s="11">
        <v>3.32</v>
      </c>
      <c r="K65" s="11">
        <v>2.6</v>
      </c>
      <c r="L65" s="11">
        <v>2.62</v>
      </c>
      <c r="M65" s="11">
        <v>2.2000000000000002</v>
      </c>
      <c r="N65" s="11">
        <v>0.82299999999999995</v>
      </c>
      <c r="O65" s="10"/>
      <c r="P65" s="11"/>
      <c r="Q65" s="11">
        <v>5.3</v>
      </c>
      <c r="R65" s="11">
        <v>6.65</v>
      </c>
      <c r="S65" s="11">
        <v>415</v>
      </c>
      <c r="T65" s="11">
        <v>22</v>
      </c>
      <c r="U65" s="11">
        <v>15</v>
      </c>
      <c r="V65" s="11">
        <v>4.3099999999999996</v>
      </c>
      <c r="W65" s="11">
        <v>1.94</v>
      </c>
      <c r="X65" s="11"/>
      <c r="Y65" s="11"/>
      <c r="Z65" s="11"/>
      <c r="AA65" s="11"/>
      <c r="AB65" s="11"/>
      <c r="AC65" s="11"/>
      <c r="AD65" s="4"/>
      <c r="AE65" s="4"/>
      <c r="AF65" s="4"/>
      <c r="AG65" s="4"/>
      <c r="AH65" s="11"/>
      <c r="AI65" s="11">
        <v>0.753</v>
      </c>
      <c r="AJ65" s="11">
        <v>129</v>
      </c>
      <c r="AK65" s="11">
        <v>614</v>
      </c>
      <c r="AL65" s="11">
        <v>428</v>
      </c>
      <c r="AM65" s="11">
        <v>4.4000000000000004</v>
      </c>
      <c r="AN65" s="11">
        <v>16.600000000000001</v>
      </c>
      <c r="AO65" s="11">
        <v>4.54</v>
      </c>
      <c r="AP65" s="4">
        <f t="shared" si="40"/>
        <v>1684.586</v>
      </c>
      <c r="AQ65" s="4">
        <f t="shared" si="41"/>
        <v>487.29300000000001</v>
      </c>
      <c r="AR65" s="4">
        <f t="shared" si="42"/>
        <v>1197.2929999999999</v>
      </c>
      <c r="AS65" s="4">
        <f t="shared" si="3"/>
        <v>17.093</v>
      </c>
      <c r="AT65" s="4">
        <f t="shared" si="4"/>
        <v>0</v>
      </c>
      <c r="AU65" s="4">
        <f t="shared" si="5"/>
        <v>470.2</v>
      </c>
      <c r="AV65" s="4">
        <f t="shared" si="6"/>
        <v>1197.2929999999999</v>
      </c>
      <c r="AW65" s="4"/>
      <c r="AX65" s="4"/>
      <c r="AY65" s="4"/>
      <c r="AZ65" s="4"/>
      <c r="BA65" s="4"/>
      <c r="BB65" s="4"/>
      <c r="BC65" s="4"/>
    </row>
    <row r="66" spans="1:55" x14ac:dyDescent="0.25">
      <c r="C66" t="s">
        <v>40</v>
      </c>
      <c r="D66" s="11">
        <v>1.84</v>
      </c>
      <c r="E66" s="11"/>
      <c r="F66" s="11"/>
      <c r="G66" s="11"/>
      <c r="H66" s="11">
        <v>1</v>
      </c>
      <c r="I66" s="11"/>
      <c r="J66" s="11">
        <v>2.59</v>
      </c>
      <c r="K66" s="11">
        <v>1.55</v>
      </c>
      <c r="L66" s="11">
        <v>1.82</v>
      </c>
      <c r="M66" s="11">
        <v>1.27</v>
      </c>
      <c r="N66" s="11">
        <v>0.51700000000000002</v>
      </c>
      <c r="O66" s="10"/>
      <c r="P66" s="11"/>
      <c r="Q66" s="11">
        <v>3.22</v>
      </c>
      <c r="R66" s="11">
        <v>4.6500000000000004</v>
      </c>
      <c r="S66" s="11">
        <v>323</v>
      </c>
      <c r="T66" s="11">
        <v>15</v>
      </c>
      <c r="U66" s="11">
        <v>17</v>
      </c>
      <c r="V66" s="11">
        <v>2.41</v>
      </c>
      <c r="W66" s="11">
        <v>1.1599999999999999</v>
      </c>
      <c r="X66" s="11"/>
      <c r="Y66" s="11"/>
      <c r="Z66" s="11"/>
      <c r="AA66" s="11"/>
      <c r="AB66" s="11"/>
      <c r="AC66" s="11"/>
      <c r="AD66" s="4"/>
      <c r="AE66" s="4"/>
      <c r="AF66" s="4"/>
      <c r="AG66" s="4"/>
      <c r="AH66" s="11"/>
      <c r="AI66" s="11"/>
      <c r="AJ66" s="11">
        <v>1</v>
      </c>
      <c r="AK66" s="11">
        <v>463</v>
      </c>
      <c r="AL66" s="11">
        <v>293</v>
      </c>
      <c r="AM66" s="11">
        <v>26.5</v>
      </c>
      <c r="AN66" s="11">
        <v>9.9</v>
      </c>
      <c r="AO66" s="11">
        <v>3</v>
      </c>
      <c r="AP66" s="4">
        <f t="shared" si="40"/>
        <v>1173.4270000000001</v>
      </c>
      <c r="AQ66" s="4">
        <f t="shared" si="41"/>
        <v>377.02700000000004</v>
      </c>
      <c r="AR66" s="4">
        <f t="shared" si="42"/>
        <v>796.4</v>
      </c>
      <c r="AS66" s="4">
        <f t="shared" si="3"/>
        <v>10.586999999999998</v>
      </c>
      <c r="AT66" s="4">
        <f t="shared" si="4"/>
        <v>0</v>
      </c>
      <c r="AU66" s="4">
        <f t="shared" si="5"/>
        <v>366.44000000000005</v>
      </c>
      <c r="AV66" s="4">
        <f t="shared" si="6"/>
        <v>796.4</v>
      </c>
      <c r="AW66" s="4"/>
      <c r="AX66" s="4"/>
      <c r="AY66" s="4"/>
      <c r="AZ66" s="4"/>
      <c r="BA66" s="4"/>
      <c r="BB66" s="4"/>
      <c r="BC66" s="4"/>
    </row>
    <row r="67" spans="1:55" x14ac:dyDescent="0.25">
      <c r="C67" t="s">
        <v>41</v>
      </c>
      <c r="D67" s="11">
        <v>1.56</v>
      </c>
      <c r="E67" s="11"/>
      <c r="F67" s="11"/>
      <c r="G67" s="11"/>
      <c r="H67" s="11"/>
      <c r="I67" s="11"/>
      <c r="J67" s="11">
        <v>3</v>
      </c>
      <c r="K67" s="11">
        <v>1.86</v>
      </c>
      <c r="L67" s="11">
        <v>2.7</v>
      </c>
      <c r="M67" s="11">
        <v>1.21</v>
      </c>
      <c r="N67" s="11"/>
      <c r="O67" s="10"/>
      <c r="P67" s="11"/>
      <c r="Q67" s="11">
        <v>3.13</v>
      </c>
      <c r="R67" s="11">
        <v>5.76</v>
      </c>
      <c r="S67" s="11">
        <v>398</v>
      </c>
      <c r="T67" s="11">
        <v>174</v>
      </c>
      <c r="U67" s="11">
        <v>98.7</v>
      </c>
      <c r="V67" s="11">
        <v>2.4</v>
      </c>
      <c r="W67" s="11">
        <v>1.2</v>
      </c>
      <c r="X67" s="11"/>
      <c r="Y67" s="11"/>
      <c r="Z67" s="11"/>
      <c r="AA67" s="11"/>
      <c r="AB67" s="11"/>
      <c r="AC67" s="11"/>
      <c r="AD67" s="4"/>
      <c r="AE67" s="4"/>
      <c r="AF67" s="4"/>
      <c r="AG67" s="4"/>
      <c r="AH67" s="11"/>
      <c r="AI67" s="11">
        <v>0.55600000000000005</v>
      </c>
      <c r="AJ67" s="11">
        <v>126</v>
      </c>
      <c r="AK67" s="11">
        <v>549</v>
      </c>
      <c r="AL67" s="11">
        <v>333</v>
      </c>
      <c r="AM67" s="11">
        <v>24.4</v>
      </c>
      <c r="AN67" s="11">
        <v>9.9</v>
      </c>
      <c r="AO67" s="11">
        <v>2.59</v>
      </c>
      <c r="AP67" s="4">
        <f t="shared" si="40"/>
        <v>1738.9660000000001</v>
      </c>
      <c r="AQ67" s="4">
        <f t="shared" si="41"/>
        <v>693.5200000000001</v>
      </c>
      <c r="AR67" s="4">
        <f t="shared" si="42"/>
        <v>1045.4460000000001</v>
      </c>
      <c r="AS67" s="4">
        <f t="shared" si="3"/>
        <v>10.330000000000002</v>
      </c>
      <c r="AT67" s="4">
        <f t="shared" si="4"/>
        <v>0</v>
      </c>
      <c r="AU67" s="4">
        <f t="shared" si="5"/>
        <v>683.19</v>
      </c>
      <c r="AV67" s="4">
        <f t="shared" si="6"/>
        <v>1045.4460000000001</v>
      </c>
      <c r="AW67" s="4"/>
      <c r="AX67" s="4"/>
      <c r="AY67" s="4"/>
      <c r="AZ67" s="4"/>
      <c r="BA67" s="4"/>
      <c r="BB67" s="4"/>
      <c r="BC67" s="4"/>
    </row>
    <row r="68" spans="1:55" x14ac:dyDescent="0.25">
      <c r="A68" s="2">
        <v>45128</v>
      </c>
      <c r="B68">
        <v>61</v>
      </c>
      <c r="C68" t="s">
        <v>39</v>
      </c>
      <c r="D68" s="11"/>
      <c r="E68" s="11"/>
      <c r="F68" s="11"/>
      <c r="G68" s="11"/>
      <c r="H68" s="11"/>
      <c r="I68" s="11"/>
      <c r="J68" s="11">
        <v>2.88</v>
      </c>
      <c r="K68" s="11">
        <v>1.78</v>
      </c>
      <c r="L68" s="11">
        <v>2.2000000000000002</v>
      </c>
      <c r="M68" s="11">
        <v>1.27</v>
      </c>
      <c r="N68" s="11"/>
      <c r="O68" s="10"/>
      <c r="P68" s="11"/>
      <c r="Q68" s="11">
        <v>3.69</v>
      </c>
      <c r="R68" s="11">
        <v>5.71</v>
      </c>
      <c r="S68" s="11">
        <v>365</v>
      </c>
      <c r="T68" s="11">
        <v>184</v>
      </c>
      <c r="U68" s="11">
        <v>12</v>
      </c>
      <c r="V68" s="11">
        <v>2.69</v>
      </c>
      <c r="W68" s="11">
        <v>1.35</v>
      </c>
      <c r="X68" s="11"/>
      <c r="Y68" s="11"/>
      <c r="Z68" s="11"/>
      <c r="AA68" s="11"/>
      <c r="AB68" s="11"/>
      <c r="AC68" s="11"/>
      <c r="AD68" s="4"/>
      <c r="AE68" s="4"/>
      <c r="AF68" s="4"/>
      <c r="AG68" s="4"/>
      <c r="AH68" s="11"/>
      <c r="AI68" s="11">
        <v>0.58899999999999997</v>
      </c>
      <c r="AJ68" s="11">
        <v>117</v>
      </c>
      <c r="AK68" s="11">
        <v>526</v>
      </c>
      <c r="AL68" s="11">
        <v>357</v>
      </c>
      <c r="AM68" s="11">
        <v>25.7</v>
      </c>
      <c r="AN68" s="11">
        <v>6.76</v>
      </c>
      <c r="AO68" s="11">
        <v>1.26</v>
      </c>
      <c r="AP68" s="4">
        <f t="shared" si="40"/>
        <v>1616.8790000000001</v>
      </c>
      <c r="AQ68" s="4">
        <f t="shared" si="41"/>
        <v>582.57000000000005</v>
      </c>
      <c r="AR68" s="4">
        <f t="shared" si="42"/>
        <v>1034.309</v>
      </c>
      <c r="AS68" s="4">
        <f t="shared" ref="AS68:AS131" si="43">SUM(D68:N68)</f>
        <v>8.1300000000000008</v>
      </c>
      <c r="AT68" s="4">
        <f t="shared" ref="AT68:AT131" si="44">SUM(Y68:AG68)</f>
        <v>0</v>
      </c>
      <c r="AU68" s="4">
        <f t="shared" ref="AU68:AU131" si="45">SUM(O68:X68)</f>
        <v>574.44000000000005</v>
      </c>
      <c r="AV68" s="4">
        <f t="shared" ref="AV68:AV131" si="46">SUM(AH68:AO68)</f>
        <v>1034.309</v>
      </c>
      <c r="AW68" s="4"/>
      <c r="AX68" s="4"/>
      <c r="AY68" s="4"/>
      <c r="AZ68" s="4"/>
      <c r="BA68" s="4"/>
      <c r="BB68" s="4"/>
      <c r="BC68" s="4"/>
    </row>
    <row r="69" spans="1:55" x14ac:dyDescent="0.25">
      <c r="C69" t="s">
        <v>40</v>
      </c>
      <c r="D69" s="11"/>
      <c r="E69" s="11"/>
      <c r="F69" s="11"/>
      <c r="G69" s="11"/>
      <c r="H69" s="11"/>
      <c r="I69" s="11"/>
      <c r="J69" s="11">
        <v>2.2000000000000002</v>
      </c>
      <c r="K69" s="11">
        <v>1.23</v>
      </c>
      <c r="L69" s="11">
        <v>1.52</v>
      </c>
      <c r="M69" s="11">
        <v>0.75</v>
      </c>
      <c r="N69" s="11"/>
      <c r="O69" s="10"/>
      <c r="P69" s="11"/>
      <c r="Q69" s="11">
        <v>2.2400000000000002</v>
      </c>
      <c r="R69" s="11">
        <v>3.6</v>
      </c>
      <c r="S69" s="11">
        <v>29</v>
      </c>
      <c r="T69" s="11">
        <v>118</v>
      </c>
      <c r="U69" s="11">
        <v>85.7</v>
      </c>
      <c r="V69" s="11">
        <v>1.52</v>
      </c>
      <c r="W69" s="11">
        <v>0.58199999999999996</v>
      </c>
      <c r="X69" s="11"/>
      <c r="Y69" s="11"/>
      <c r="Z69" s="11"/>
      <c r="AA69" s="11"/>
      <c r="AB69" s="11"/>
      <c r="AC69" s="11"/>
      <c r="AD69" s="4"/>
      <c r="AE69" s="4"/>
      <c r="AF69" s="4"/>
      <c r="AG69" s="4"/>
      <c r="AH69" s="11"/>
      <c r="AI69" s="11"/>
      <c r="AJ69" s="11">
        <v>81.7</v>
      </c>
      <c r="AK69" s="11">
        <v>372</v>
      </c>
      <c r="AL69" s="11">
        <v>218</v>
      </c>
      <c r="AM69" s="11">
        <v>14.1</v>
      </c>
      <c r="AN69" s="11">
        <v>3.8</v>
      </c>
      <c r="AO69" s="11">
        <v>0.55400000000000005</v>
      </c>
      <c r="AP69" s="4">
        <f t="shared" si="40"/>
        <v>936.49599999999998</v>
      </c>
      <c r="AQ69" s="4">
        <f t="shared" si="41"/>
        <v>246.34200000000001</v>
      </c>
      <c r="AR69" s="4">
        <f t="shared" si="42"/>
        <v>690.154</v>
      </c>
      <c r="AS69" s="4">
        <f t="shared" si="43"/>
        <v>5.7</v>
      </c>
      <c r="AT69" s="4">
        <f t="shared" si="44"/>
        <v>0</v>
      </c>
      <c r="AU69" s="4">
        <f t="shared" si="45"/>
        <v>240.64200000000002</v>
      </c>
      <c r="AV69" s="4">
        <f t="shared" si="46"/>
        <v>690.154</v>
      </c>
      <c r="AW69" s="4"/>
      <c r="AX69" s="4"/>
      <c r="AY69" s="4"/>
      <c r="AZ69" s="4"/>
      <c r="BA69" s="4"/>
      <c r="BB69" s="4"/>
      <c r="BC69" s="4"/>
    </row>
    <row r="70" spans="1:55" x14ac:dyDescent="0.25">
      <c r="C70" t="s">
        <v>41</v>
      </c>
      <c r="D70" s="11"/>
      <c r="E70" s="11"/>
      <c r="F70" s="11"/>
      <c r="G70" s="11"/>
      <c r="H70" s="11"/>
      <c r="I70" s="11"/>
      <c r="J70" s="11">
        <v>2.35</v>
      </c>
      <c r="K70" s="11">
        <v>1.42</v>
      </c>
      <c r="L70" s="11">
        <v>1.55</v>
      </c>
      <c r="M70" s="11">
        <v>0.65900000000000003</v>
      </c>
      <c r="N70" s="11"/>
      <c r="O70" s="10"/>
      <c r="P70" s="11"/>
      <c r="Q70" s="11">
        <v>1.58</v>
      </c>
      <c r="R70" s="11">
        <v>4.21</v>
      </c>
      <c r="S70" s="11">
        <v>324</v>
      </c>
      <c r="T70" s="11">
        <v>142</v>
      </c>
      <c r="U70" s="11">
        <v>76.2</v>
      </c>
      <c r="V70" s="11">
        <v>1.42</v>
      </c>
      <c r="W70" s="11">
        <v>0.68200000000000005</v>
      </c>
      <c r="X70" s="11"/>
      <c r="Y70" s="11"/>
      <c r="Z70" s="11"/>
      <c r="AA70" s="11"/>
      <c r="AB70" s="11"/>
      <c r="AC70" s="11"/>
      <c r="AD70" s="4"/>
      <c r="AE70" s="4"/>
      <c r="AF70" s="4"/>
      <c r="AG70" s="4"/>
      <c r="AH70" s="11"/>
      <c r="AI70" s="11"/>
      <c r="AJ70" s="11">
        <v>18</v>
      </c>
      <c r="AK70" s="11">
        <v>472</v>
      </c>
      <c r="AL70" s="11">
        <v>256</v>
      </c>
      <c r="AM70" s="11">
        <v>12.7</v>
      </c>
      <c r="AN70" s="11">
        <v>2.78</v>
      </c>
      <c r="AO70" s="11">
        <v>0.51900000000000002</v>
      </c>
      <c r="AP70" s="4">
        <f t="shared" si="40"/>
        <v>1318.07</v>
      </c>
      <c r="AQ70" s="4">
        <f t="shared" si="41"/>
        <v>556.07100000000003</v>
      </c>
      <c r="AR70" s="4">
        <f t="shared" si="42"/>
        <v>761.99900000000002</v>
      </c>
      <c r="AS70" s="4">
        <f t="shared" si="43"/>
        <v>5.9790000000000001</v>
      </c>
      <c r="AT70" s="4">
        <f t="shared" si="44"/>
        <v>0</v>
      </c>
      <c r="AU70" s="4">
        <f t="shared" si="45"/>
        <v>550.09199999999998</v>
      </c>
      <c r="AV70" s="4">
        <f t="shared" si="46"/>
        <v>761.99900000000002</v>
      </c>
      <c r="AW70" s="4"/>
      <c r="AX70" s="4"/>
      <c r="AY70" s="4"/>
      <c r="AZ70" s="4"/>
      <c r="BA70" s="4"/>
      <c r="BB70" s="4"/>
      <c r="BC70" s="4"/>
    </row>
    <row r="71" spans="1:55" x14ac:dyDescent="0.25">
      <c r="A71" s="2">
        <v>45140</v>
      </c>
      <c r="B71">
        <v>73</v>
      </c>
      <c r="C71" t="s">
        <v>39</v>
      </c>
      <c r="D71" s="11"/>
      <c r="E71" s="11"/>
      <c r="F71" s="11"/>
      <c r="G71" s="11"/>
      <c r="H71" s="11"/>
      <c r="I71" s="11"/>
      <c r="J71" s="11">
        <v>1.86</v>
      </c>
      <c r="K71" s="11">
        <v>1.17</v>
      </c>
      <c r="L71" s="11">
        <v>1.2</v>
      </c>
      <c r="M71" s="11"/>
      <c r="N71" s="11"/>
      <c r="O71" s="10"/>
      <c r="P71" s="11"/>
      <c r="Q71" s="11">
        <v>0.995</v>
      </c>
      <c r="R71" s="11">
        <v>3.8</v>
      </c>
      <c r="S71" s="11">
        <v>245</v>
      </c>
      <c r="T71" s="11">
        <v>97.9</v>
      </c>
      <c r="U71" s="11">
        <v>68.8</v>
      </c>
      <c r="V71" s="11">
        <v>1.9</v>
      </c>
      <c r="W71" s="11">
        <v>0.51</v>
      </c>
      <c r="X71" s="11"/>
      <c r="Y71" s="11"/>
      <c r="Z71" s="11"/>
      <c r="AA71" s="11"/>
      <c r="AB71" s="11"/>
      <c r="AC71" s="11"/>
      <c r="AD71" s="4"/>
      <c r="AE71" s="4"/>
      <c r="AF71" s="4"/>
      <c r="AG71" s="4"/>
      <c r="AH71" s="11"/>
      <c r="AI71" s="11"/>
      <c r="AJ71" s="11">
        <v>75.7</v>
      </c>
      <c r="AK71" s="11">
        <v>348</v>
      </c>
      <c r="AL71" s="11">
        <v>176</v>
      </c>
      <c r="AM71" s="11">
        <v>6.9</v>
      </c>
      <c r="AN71" s="11">
        <v>1.1200000000000001</v>
      </c>
      <c r="AO71" s="11"/>
      <c r="AP71" s="4">
        <f t="shared" si="40"/>
        <v>1030.855</v>
      </c>
      <c r="AQ71" s="4">
        <f t="shared" si="41"/>
        <v>423.13499999999999</v>
      </c>
      <c r="AR71" s="4">
        <f t="shared" si="42"/>
        <v>607.72</v>
      </c>
      <c r="AS71" s="4">
        <f t="shared" si="43"/>
        <v>4.2300000000000004</v>
      </c>
      <c r="AT71" s="4">
        <f t="shared" si="44"/>
        <v>0</v>
      </c>
      <c r="AU71" s="4">
        <f t="shared" si="45"/>
        <v>418.90499999999997</v>
      </c>
      <c r="AV71" s="4">
        <f t="shared" si="46"/>
        <v>607.72</v>
      </c>
      <c r="AW71" s="4"/>
      <c r="AX71" s="4"/>
      <c r="AY71" s="4"/>
      <c r="AZ71" s="4"/>
      <c r="BA71" s="4"/>
      <c r="BB71" s="4"/>
      <c r="BC71" s="4"/>
    </row>
    <row r="72" spans="1:55" x14ac:dyDescent="0.25">
      <c r="C72" t="s">
        <v>40</v>
      </c>
      <c r="D72" s="11"/>
      <c r="E72" s="11"/>
      <c r="F72" s="11"/>
      <c r="G72" s="11"/>
      <c r="H72" s="11"/>
      <c r="I72" s="11"/>
      <c r="J72" s="11">
        <v>1.4</v>
      </c>
      <c r="K72" s="11">
        <v>0.74299999999999999</v>
      </c>
      <c r="L72" s="11">
        <v>0.8</v>
      </c>
      <c r="M72" s="11"/>
      <c r="N72" s="11"/>
      <c r="O72" s="10"/>
      <c r="P72" s="11"/>
      <c r="Q72" s="11"/>
      <c r="R72" s="11">
        <v>1.8</v>
      </c>
      <c r="S72" s="11">
        <v>181</v>
      </c>
      <c r="T72" s="11">
        <v>65.599999999999994</v>
      </c>
      <c r="U72" s="11">
        <v>33.5</v>
      </c>
      <c r="V72" s="11">
        <v>0.58699999999999997</v>
      </c>
      <c r="W72" s="11"/>
      <c r="X72" s="11"/>
      <c r="Y72" s="11"/>
      <c r="Z72" s="11"/>
      <c r="AA72" s="11"/>
      <c r="AB72" s="11"/>
      <c r="AC72" s="11"/>
      <c r="AD72" s="4"/>
      <c r="AE72" s="4"/>
      <c r="AF72" s="4"/>
      <c r="AG72" s="4"/>
      <c r="AH72" s="11"/>
      <c r="AI72" s="11"/>
      <c r="AJ72" s="11">
        <v>51.4</v>
      </c>
      <c r="AK72" s="11">
        <v>229</v>
      </c>
      <c r="AL72" s="11">
        <v>94.8</v>
      </c>
      <c r="AM72" s="11">
        <v>4.12</v>
      </c>
      <c r="AN72" s="11">
        <v>0.63700000000000001</v>
      </c>
      <c r="AO72" s="11"/>
      <c r="AP72" s="4">
        <f t="shared" si="40"/>
        <v>665.38699999999983</v>
      </c>
      <c r="AQ72" s="4">
        <f t="shared" si="41"/>
        <v>285.42999999999995</v>
      </c>
      <c r="AR72" s="4">
        <f t="shared" si="42"/>
        <v>379.95699999999999</v>
      </c>
      <c r="AS72" s="4">
        <f t="shared" si="43"/>
        <v>2.9429999999999996</v>
      </c>
      <c r="AT72" s="4">
        <f t="shared" si="44"/>
        <v>0</v>
      </c>
      <c r="AU72" s="4">
        <f t="shared" si="45"/>
        <v>282.48699999999997</v>
      </c>
      <c r="AV72" s="4">
        <f t="shared" si="46"/>
        <v>379.95699999999999</v>
      </c>
      <c r="AW72" s="4"/>
      <c r="AX72" s="4"/>
      <c r="AY72" s="4"/>
      <c r="AZ72" s="4"/>
      <c r="BA72" s="4"/>
      <c r="BB72" s="4"/>
      <c r="BC72" s="4"/>
    </row>
    <row r="73" spans="1:55" x14ac:dyDescent="0.25">
      <c r="C73" t="s">
        <v>41</v>
      </c>
      <c r="D73" s="11"/>
      <c r="E73" s="11"/>
      <c r="F73" s="11"/>
      <c r="G73" s="11"/>
      <c r="H73" s="11"/>
      <c r="I73" s="11"/>
      <c r="J73" s="11">
        <v>1.56</v>
      </c>
      <c r="K73" s="11">
        <v>0.95</v>
      </c>
      <c r="L73" s="11">
        <v>0.75900000000000001</v>
      </c>
      <c r="M73" s="11"/>
      <c r="N73" s="11"/>
      <c r="O73" s="10"/>
      <c r="P73" s="11"/>
      <c r="Q73" s="11"/>
      <c r="R73" s="11">
        <v>1.97</v>
      </c>
      <c r="S73" s="11">
        <v>216</v>
      </c>
      <c r="T73" s="11">
        <v>79.099999999999994</v>
      </c>
      <c r="U73" s="11">
        <v>33.299999999999997</v>
      </c>
      <c r="V73" s="11"/>
      <c r="W73" s="11"/>
      <c r="X73" s="11"/>
      <c r="Y73" s="11"/>
      <c r="Z73" s="11"/>
      <c r="AA73" s="11"/>
      <c r="AB73" s="11"/>
      <c r="AC73" s="11"/>
      <c r="AD73" s="4"/>
      <c r="AE73" s="4"/>
      <c r="AF73" s="4"/>
      <c r="AG73" s="4"/>
      <c r="AH73" s="11"/>
      <c r="AI73" s="11"/>
      <c r="AJ73" s="11">
        <v>66.7</v>
      </c>
      <c r="AK73" s="11">
        <v>29</v>
      </c>
      <c r="AL73" s="11">
        <v>118</v>
      </c>
      <c r="AM73" s="11">
        <v>3.6</v>
      </c>
      <c r="AN73" s="11">
        <v>0.58299999999999996</v>
      </c>
      <c r="AO73" s="11"/>
      <c r="AP73" s="4">
        <f t="shared" si="40"/>
        <v>551.52199999999993</v>
      </c>
      <c r="AQ73" s="4">
        <f t="shared" si="41"/>
        <v>333.63900000000001</v>
      </c>
      <c r="AR73" s="4">
        <f t="shared" si="42"/>
        <v>217.88299999999998</v>
      </c>
      <c r="AS73" s="4">
        <f t="shared" si="43"/>
        <v>3.2689999999999997</v>
      </c>
      <c r="AT73" s="4">
        <f t="shared" si="44"/>
        <v>0</v>
      </c>
      <c r="AU73" s="4">
        <f t="shared" si="45"/>
        <v>330.37</v>
      </c>
      <c r="AV73" s="4">
        <f t="shared" si="46"/>
        <v>217.88299999999998</v>
      </c>
      <c r="AW73" s="4"/>
      <c r="AX73" s="4"/>
      <c r="AY73" s="4"/>
      <c r="AZ73" s="4"/>
      <c r="BA73" s="4"/>
      <c r="BB73" s="4"/>
      <c r="BC73" s="4"/>
    </row>
    <row r="74" spans="1:55" x14ac:dyDescent="0.25">
      <c r="A74" s="2">
        <v>45168</v>
      </c>
      <c r="B74">
        <v>101</v>
      </c>
      <c r="C74" t="s">
        <v>39</v>
      </c>
      <c r="D74" s="11"/>
      <c r="E74" s="11"/>
      <c r="F74" s="11"/>
      <c r="G74" s="11"/>
      <c r="H74" s="11"/>
      <c r="I74" s="11"/>
      <c r="J74" s="11">
        <v>0.85099999999999998</v>
      </c>
      <c r="K74" s="11"/>
      <c r="L74" s="11"/>
      <c r="M74" s="11"/>
      <c r="N74" s="11"/>
      <c r="O74" s="10"/>
      <c r="P74" s="11"/>
      <c r="Q74" s="11"/>
      <c r="R74" s="11">
        <v>0.85499999999999998</v>
      </c>
      <c r="S74" s="11">
        <v>99.1</v>
      </c>
      <c r="T74" s="11">
        <v>27.6</v>
      </c>
      <c r="U74" s="11">
        <v>12.5</v>
      </c>
      <c r="V74" s="11"/>
      <c r="W74" s="11"/>
      <c r="X74" s="11"/>
      <c r="Y74" s="11"/>
      <c r="Z74" s="11"/>
      <c r="AA74" s="11"/>
      <c r="AB74" s="11"/>
      <c r="AC74" s="11"/>
      <c r="AD74" s="4"/>
      <c r="AE74" s="4"/>
      <c r="AF74" s="4"/>
      <c r="AG74" s="4"/>
      <c r="AH74" s="11"/>
      <c r="AI74" s="11"/>
      <c r="AJ74" s="11">
        <v>33.799999999999997</v>
      </c>
      <c r="AK74" s="11">
        <v>122</v>
      </c>
      <c r="AL74" s="11">
        <v>33.1</v>
      </c>
      <c r="AM74" s="11">
        <v>1.63</v>
      </c>
      <c r="AN74" s="11"/>
      <c r="AO74" s="11"/>
      <c r="AP74" s="4">
        <f t="shared" si="40"/>
        <v>331.43600000000004</v>
      </c>
      <c r="AQ74" s="4">
        <f t="shared" si="41"/>
        <v>140.90600000000001</v>
      </c>
      <c r="AR74" s="4">
        <f t="shared" si="42"/>
        <v>190.53</v>
      </c>
      <c r="AS74" s="4">
        <f t="shared" si="43"/>
        <v>0.85099999999999998</v>
      </c>
      <c r="AT74" s="4">
        <f t="shared" si="44"/>
        <v>0</v>
      </c>
      <c r="AU74" s="4">
        <f t="shared" si="45"/>
        <v>140.05500000000001</v>
      </c>
      <c r="AV74" s="4">
        <f t="shared" si="46"/>
        <v>190.53</v>
      </c>
      <c r="AW74" s="4"/>
      <c r="AX74" s="4"/>
      <c r="AY74" s="4"/>
      <c r="AZ74" s="4"/>
      <c r="BA74" s="4"/>
      <c r="BB74" s="4"/>
      <c r="BC74" s="4"/>
    </row>
    <row r="75" spans="1:55" x14ac:dyDescent="0.25">
      <c r="C75" t="s">
        <v>40</v>
      </c>
      <c r="D75" s="11"/>
      <c r="E75" s="11"/>
      <c r="F75" s="11"/>
      <c r="G75" s="11"/>
      <c r="H75" s="11"/>
      <c r="I75" s="11"/>
      <c r="J75" s="11">
        <v>0.66100000000000003</v>
      </c>
      <c r="K75" s="11"/>
      <c r="L75" s="11"/>
      <c r="M75" s="11"/>
      <c r="N75" s="11"/>
      <c r="O75" s="10"/>
      <c r="P75" s="11"/>
      <c r="Q75" s="11"/>
      <c r="R75" s="11"/>
      <c r="S75" s="11">
        <v>89.2</v>
      </c>
      <c r="T75" s="11">
        <v>23.3</v>
      </c>
      <c r="U75" s="11">
        <v>7.11</v>
      </c>
      <c r="V75" s="11"/>
      <c r="W75" s="11"/>
      <c r="X75" s="11"/>
      <c r="Y75" s="11"/>
      <c r="Z75" s="11"/>
      <c r="AA75" s="11"/>
      <c r="AB75" s="11"/>
      <c r="AC75" s="11"/>
      <c r="AD75" s="4"/>
      <c r="AE75" s="4"/>
      <c r="AF75" s="4"/>
      <c r="AG75" s="4"/>
      <c r="AH75" s="11"/>
      <c r="AI75" s="11"/>
      <c r="AJ75" s="11">
        <v>26.6</v>
      </c>
      <c r="AK75" s="11">
        <v>113</v>
      </c>
      <c r="AL75" s="11">
        <v>26.1</v>
      </c>
      <c r="AM75" s="11">
        <v>1.4</v>
      </c>
      <c r="AN75" s="11"/>
      <c r="AO75" s="11"/>
      <c r="AP75" s="4">
        <f t="shared" si="40"/>
        <v>287.37099999999998</v>
      </c>
      <c r="AQ75" s="4">
        <f t="shared" si="41"/>
        <v>120.271</v>
      </c>
      <c r="AR75" s="4">
        <f t="shared" si="42"/>
        <v>167.1</v>
      </c>
      <c r="AS75" s="4">
        <f t="shared" si="43"/>
        <v>0.66100000000000003</v>
      </c>
      <c r="AT75" s="4">
        <f t="shared" si="44"/>
        <v>0</v>
      </c>
      <c r="AU75" s="4">
        <f t="shared" si="45"/>
        <v>119.61</v>
      </c>
      <c r="AV75" s="4">
        <f t="shared" si="46"/>
        <v>167.1</v>
      </c>
      <c r="AW75" s="4"/>
      <c r="AX75" s="4"/>
      <c r="AY75" s="4"/>
      <c r="AZ75" s="4"/>
      <c r="BA75" s="4"/>
      <c r="BB75" s="4"/>
      <c r="BC75" s="4"/>
    </row>
    <row r="76" spans="1:55" x14ac:dyDescent="0.25">
      <c r="C76" t="s">
        <v>41</v>
      </c>
      <c r="D76" s="11"/>
      <c r="E76" s="11"/>
      <c r="F76" s="11"/>
      <c r="G76" s="11"/>
      <c r="H76" s="11"/>
      <c r="I76" s="11"/>
      <c r="J76" s="11">
        <v>0.64700000000000002</v>
      </c>
      <c r="K76" s="11"/>
      <c r="L76" s="11"/>
      <c r="M76" s="11"/>
      <c r="N76" s="11"/>
      <c r="O76" s="10"/>
      <c r="P76" s="11"/>
      <c r="Q76" s="11"/>
      <c r="R76" s="11"/>
      <c r="S76" s="11">
        <v>99.9</v>
      </c>
      <c r="T76" s="11">
        <v>22.2</v>
      </c>
      <c r="U76" s="11">
        <v>5.9</v>
      </c>
      <c r="V76" s="11"/>
      <c r="W76" s="11"/>
      <c r="X76" s="11"/>
      <c r="Y76" s="11"/>
      <c r="Z76" s="11"/>
      <c r="AA76" s="11"/>
      <c r="AB76" s="11"/>
      <c r="AC76" s="11"/>
      <c r="AD76" s="4"/>
      <c r="AE76" s="4"/>
      <c r="AF76" s="4"/>
      <c r="AG76" s="4"/>
      <c r="AH76" s="11"/>
      <c r="AI76" s="11"/>
      <c r="AJ76" s="11">
        <v>31.7</v>
      </c>
      <c r="AK76" s="11">
        <v>119</v>
      </c>
      <c r="AL76" s="11">
        <v>25.4</v>
      </c>
      <c r="AM76" s="11">
        <v>1.1399999999999999</v>
      </c>
      <c r="AN76" s="11"/>
      <c r="AO76" s="11"/>
      <c r="AP76" s="4">
        <f t="shared" si="40"/>
        <v>305.88699999999994</v>
      </c>
      <c r="AQ76" s="4">
        <f t="shared" si="41"/>
        <v>128.64700000000002</v>
      </c>
      <c r="AR76" s="4">
        <f t="shared" si="42"/>
        <v>177.23999999999998</v>
      </c>
      <c r="AS76" s="4">
        <f t="shared" si="43"/>
        <v>0.64700000000000002</v>
      </c>
      <c r="AT76" s="4">
        <f t="shared" si="44"/>
        <v>0</v>
      </c>
      <c r="AU76" s="4">
        <f t="shared" si="45"/>
        <v>128</v>
      </c>
      <c r="AV76" s="4">
        <f t="shared" si="46"/>
        <v>177.23999999999998</v>
      </c>
      <c r="AW76" s="4"/>
      <c r="AX76" s="4"/>
      <c r="AY76" s="4"/>
      <c r="AZ76" s="4"/>
      <c r="BA76" s="4"/>
      <c r="BB76" s="4"/>
      <c r="BC76" s="4"/>
    </row>
    <row r="77" spans="1:55" x14ac:dyDescent="0.25">
      <c r="A77" s="2">
        <v>45203</v>
      </c>
      <c r="B77">
        <v>136</v>
      </c>
      <c r="C77" t="s">
        <v>39</v>
      </c>
      <c r="D77" s="11"/>
      <c r="E77" s="11"/>
      <c r="F77" s="11"/>
      <c r="G77" s="11"/>
      <c r="H77" s="11"/>
      <c r="I77" s="11"/>
      <c r="J77" s="11"/>
      <c r="K77" s="11"/>
      <c r="L77" s="11"/>
      <c r="M77" s="11"/>
      <c r="N77" s="11"/>
      <c r="O77" s="10"/>
      <c r="P77" s="11"/>
      <c r="Q77" s="11"/>
      <c r="R77" s="11"/>
      <c r="S77" s="11">
        <v>45.6</v>
      </c>
      <c r="T77" s="11">
        <v>7.15</v>
      </c>
      <c r="U77" s="11">
        <v>1.5</v>
      </c>
      <c r="V77" s="11"/>
      <c r="W77" s="11"/>
      <c r="X77" s="11"/>
      <c r="Y77" s="11"/>
      <c r="Z77" s="11"/>
      <c r="AA77" s="11"/>
      <c r="AB77" s="11"/>
      <c r="AC77" s="11"/>
      <c r="AD77" s="4"/>
      <c r="AE77" s="4"/>
      <c r="AF77" s="4"/>
      <c r="AG77" s="4"/>
      <c r="AH77" s="11"/>
      <c r="AI77" s="11"/>
      <c r="AJ77" s="11">
        <v>16.7</v>
      </c>
      <c r="AK77" s="11">
        <v>54.5</v>
      </c>
      <c r="AL77" s="11">
        <v>8.68</v>
      </c>
      <c r="AM77" s="11">
        <v>0.81899999999999995</v>
      </c>
      <c r="AN77" s="11"/>
      <c r="AO77" s="11"/>
      <c r="AP77" s="4">
        <f t="shared" si="40"/>
        <v>134.94899999999998</v>
      </c>
      <c r="AQ77" s="4">
        <f t="shared" si="41"/>
        <v>54.25</v>
      </c>
      <c r="AR77" s="4">
        <f t="shared" si="42"/>
        <v>80.698999999999998</v>
      </c>
      <c r="AS77" s="4">
        <f t="shared" si="43"/>
        <v>0</v>
      </c>
      <c r="AT77" s="4">
        <f t="shared" si="44"/>
        <v>0</v>
      </c>
      <c r="AU77" s="4">
        <f t="shared" si="45"/>
        <v>54.25</v>
      </c>
      <c r="AV77" s="4">
        <f t="shared" si="46"/>
        <v>80.698999999999998</v>
      </c>
      <c r="AW77" s="4"/>
      <c r="AX77" s="4"/>
      <c r="AY77" s="4"/>
      <c r="AZ77" s="4"/>
      <c r="BA77" s="4"/>
      <c r="BB77" s="4"/>
      <c r="BC77" s="4"/>
    </row>
    <row r="78" spans="1:55" x14ac:dyDescent="0.25">
      <c r="C78" t="s">
        <v>40</v>
      </c>
      <c r="D78" s="11"/>
      <c r="E78" s="11"/>
      <c r="F78" s="11"/>
      <c r="G78" s="11"/>
      <c r="H78" s="11"/>
      <c r="I78" s="11"/>
      <c r="J78" s="11"/>
      <c r="K78" s="11"/>
      <c r="L78" s="11"/>
      <c r="M78" s="11"/>
      <c r="N78" s="11"/>
      <c r="O78" s="10"/>
      <c r="P78" s="11"/>
      <c r="Q78" s="11"/>
      <c r="R78" s="11"/>
      <c r="S78" s="11">
        <v>35.6</v>
      </c>
      <c r="T78" s="11">
        <v>4.28</v>
      </c>
      <c r="U78" s="11"/>
      <c r="V78" s="11"/>
      <c r="W78" s="11"/>
      <c r="X78" s="11"/>
      <c r="Y78" s="11"/>
      <c r="Z78" s="11"/>
      <c r="AA78" s="11"/>
      <c r="AB78" s="11"/>
      <c r="AC78" s="11"/>
      <c r="AD78" s="4"/>
      <c r="AE78" s="4"/>
      <c r="AF78" s="4"/>
      <c r="AG78" s="4"/>
      <c r="AH78" s="11"/>
      <c r="AI78" s="11"/>
      <c r="AJ78" s="11">
        <v>1.6</v>
      </c>
      <c r="AK78" s="11">
        <v>38.299999999999997</v>
      </c>
      <c r="AL78" s="11">
        <v>4.76</v>
      </c>
      <c r="AM78" s="11"/>
      <c r="AN78" s="11"/>
      <c r="AO78" s="11"/>
      <c r="AP78" s="4">
        <f t="shared" si="40"/>
        <v>84.54</v>
      </c>
      <c r="AQ78" s="4">
        <f t="shared" si="41"/>
        <v>39.880000000000003</v>
      </c>
      <c r="AR78" s="4">
        <f t="shared" si="42"/>
        <v>44.66</v>
      </c>
      <c r="AS78" s="4">
        <f t="shared" si="43"/>
        <v>0</v>
      </c>
      <c r="AT78" s="4">
        <f t="shared" si="44"/>
        <v>0</v>
      </c>
      <c r="AU78" s="4">
        <f t="shared" si="45"/>
        <v>39.880000000000003</v>
      </c>
      <c r="AV78" s="4">
        <f t="shared" si="46"/>
        <v>44.66</v>
      </c>
      <c r="AW78" s="4"/>
      <c r="AX78" s="4"/>
      <c r="AY78" s="4"/>
      <c r="AZ78" s="4"/>
      <c r="BA78" s="4"/>
      <c r="BB78" s="4"/>
      <c r="BC78" s="4"/>
    </row>
    <row r="79" spans="1:55" x14ac:dyDescent="0.25">
      <c r="C79" t="s">
        <v>41</v>
      </c>
      <c r="D79" s="11"/>
      <c r="E79" s="11"/>
      <c r="F79" s="11"/>
      <c r="G79" s="11"/>
      <c r="H79" s="11"/>
      <c r="I79" s="11"/>
      <c r="J79" s="11"/>
      <c r="K79" s="11"/>
      <c r="L79" s="11"/>
      <c r="M79" s="11"/>
      <c r="N79" s="11"/>
      <c r="O79" s="10"/>
      <c r="P79" s="11"/>
      <c r="Q79" s="11"/>
      <c r="R79" s="11"/>
      <c r="S79" s="11">
        <v>54.4</v>
      </c>
      <c r="T79" s="11">
        <v>5.21</v>
      </c>
      <c r="U79" s="11">
        <v>0.64900000000000002</v>
      </c>
      <c r="V79" s="11"/>
      <c r="W79" s="11"/>
      <c r="X79" s="11"/>
      <c r="Y79" s="11"/>
      <c r="Z79" s="11"/>
      <c r="AA79" s="11"/>
      <c r="AB79" s="11"/>
      <c r="AC79" s="11"/>
      <c r="AD79" s="4"/>
      <c r="AE79" s="4"/>
      <c r="AF79" s="4"/>
      <c r="AG79" s="4"/>
      <c r="AH79" s="11"/>
      <c r="AI79" s="11"/>
      <c r="AJ79" s="11">
        <v>15.9</v>
      </c>
      <c r="AK79" s="11">
        <v>66.099999999999994</v>
      </c>
      <c r="AL79" s="11">
        <v>7.78</v>
      </c>
      <c r="AM79" s="11"/>
      <c r="AN79" s="11"/>
      <c r="AO79" s="11"/>
      <c r="AP79" s="4">
        <f t="shared" si="40"/>
        <v>150.03900000000002</v>
      </c>
      <c r="AQ79" s="4">
        <f t="shared" si="41"/>
        <v>60.259</v>
      </c>
      <c r="AR79" s="4">
        <f t="shared" si="42"/>
        <v>89.78</v>
      </c>
      <c r="AS79" s="4">
        <f t="shared" si="43"/>
        <v>0</v>
      </c>
      <c r="AT79" s="4">
        <f t="shared" si="44"/>
        <v>0</v>
      </c>
      <c r="AU79" s="4">
        <f t="shared" si="45"/>
        <v>60.259</v>
      </c>
      <c r="AV79" s="4">
        <f t="shared" si="46"/>
        <v>89.78</v>
      </c>
      <c r="AW79" s="4"/>
      <c r="AX79" s="4"/>
      <c r="AY79" s="4"/>
      <c r="AZ79" s="4"/>
      <c r="BA79" s="4"/>
      <c r="BB79" s="4"/>
      <c r="BC79" s="4"/>
    </row>
    <row r="80" spans="1:55" s="35" customFormat="1" x14ac:dyDescent="0.25">
      <c r="B80" s="35" t="s">
        <v>75</v>
      </c>
      <c r="C80" s="35">
        <v>1</v>
      </c>
      <c r="D80" s="37" t="e">
        <f>AVERAGE(D53:D55)</f>
        <v>#DIV/0!</v>
      </c>
      <c r="E80" s="37" t="e">
        <f t="shared" ref="E80:AO80" si="47">AVERAGE(E53:E55)</f>
        <v>#DIV/0!</v>
      </c>
      <c r="F80" s="37" t="e">
        <f t="shared" si="47"/>
        <v>#DIV/0!</v>
      </c>
      <c r="G80" s="37" t="e">
        <f t="shared" si="47"/>
        <v>#DIV/0!</v>
      </c>
      <c r="H80" s="37" t="e">
        <f t="shared" si="47"/>
        <v>#DIV/0!</v>
      </c>
      <c r="I80" s="37" t="e">
        <f t="shared" si="47"/>
        <v>#DIV/0!</v>
      </c>
      <c r="J80" s="37" t="e">
        <f t="shared" si="47"/>
        <v>#DIV/0!</v>
      </c>
      <c r="K80" s="37" t="e">
        <f t="shared" si="47"/>
        <v>#DIV/0!</v>
      </c>
      <c r="L80" s="37" t="e">
        <f t="shared" si="47"/>
        <v>#DIV/0!</v>
      </c>
      <c r="M80" s="37" t="e">
        <f t="shared" si="47"/>
        <v>#DIV/0!</v>
      </c>
      <c r="N80" s="37" t="e">
        <f t="shared" si="47"/>
        <v>#DIV/0!</v>
      </c>
      <c r="O80" s="37" t="e">
        <f t="shared" si="47"/>
        <v>#DIV/0!</v>
      </c>
      <c r="P80" s="37" t="e">
        <f t="shared" si="47"/>
        <v>#DIV/0!</v>
      </c>
      <c r="Q80" s="37" t="e">
        <f t="shared" si="47"/>
        <v>#DIV/0!</v>
      </c>
      <c r="R80" s="37" t="e">
        <f t="shared" si="47"/>
        <v>#DIV/0!</v>
      </c>
      <c r="S80" s="37" t="e">
        <f t="shared" si="47"/>
        <v>#DIV/0!</v>
      </c>
      <c r="T80" s="37" t="e">
        <f t="shared" si="47"/>
        <v>#DIV/0!</v>
      </c>
      <c r="U80" s="37" t="e">
        <f t="shared" si="47"/>
        <v>#DIV/0!</v>
      </c>
      <c r="V80" s="37" t="e">
        <f t="shared" si="47"/>
        <v>#DIV/0!</v>
      </c>
      <c r="W80" s="37" t="e">
        <f t="shared" si="47"/>
        <v>#DIV/0!</v>
      </c>
      <c r="X80" s="37" t="e">
        <f t="shared" si="47"/>
        <v>#DIV/0!</v>
      </c>
      <c r="Y80" s="37" t="e">
        <f t="shared" si="47"/>
        <v>#DIV/0!</v>
      </c>
      <c r="Z80" s="37" t="e">
        <f t="shared" si="47"/>
        <v>#DIV/0!</v>
      </c>
      <c r="AA80" s="37" t="e">
        <f t="shared" si="47"/>
        <v>#DIV/0!</v>
      </c>
      <c r="AB80" s="37" t="e">
        <f t="shared" si="47"/>
        <v>#DIV/0!</v>
      </c>
      <c r="AC80" s="37" t="e">
        <f t="shared" si="47"/>
        <v>#DIV/0!</v>
      </c>
      <c r="AD80" s="37" t="e">
        <f t="shared" si="47"/>
        <v>#DIV/0!</v>
      </c>
      <c r="AE80" s="37" t="e">
        <f t="shared" si="47"/>
        <v>#DIV/0!</v>
      </c>
      <c r="AF80" s="37" t="e">
        <f t="shared" si="47"/>
        <v>#DIV/0!</v>
      </c>
      <c r="AG80" s="37" t="e">
        <f t="shared" si="47"/>
        <v>#DIV/0!</v>
      </c>
      <c r="AH80" s="37" t="e">
        <f t="shared" si="47"/>
        <v>#DIV/0!</v>
      </c>
      <c r="AI80" s="37" t="e">
        <f t="shared" si="47"/>
        <v>#DIV/0!</v>
      </c>
      <c r="AJ80" s="37" t="e">
        <f t="shared" si="47"/>
        <v>#DIV/0!</v>
      </c>
      <c r="AK80" s="37" t="e">
        <f t="shared" si="47"/>
        <v>#DIV/0!</v>
      </c>
      <c r="AL80" s="37" t="e">
        <f t="shared" si="47"/>
        <v>#DIV/0!</v>
      </c>
      <c r="AM80" s="37" t="e">
        <f t="shared" si="47"/>
        <v>#DIV/0!</v>
      </c>
      <c r="AN80" s="37" t="e">
        <f t="shared" si="47"/>
        <v>#DIV/0!</v>
      </c>
      <c r="AO80" s="37" t="e">
        <f t="shared" si="47"/>
        <v>#DIV/0!</v>
      </c>
      <c r="AP80" s="37">
        <f t="shared" ref="AP80:AR80" si="48">AVERAGE(AP53:AP55)</f>
        <v>0</v>
      </c>
      <c r="AQ80" s="37">
        <f t="shared" si="48"/>
        <v>0</v>
      </c>
      <c r="AR80" s="37">
        <f t="shared" si="48"/>
        <v>0</v>
      </c>
      <c r="AS80" s="37">
        <f t="shared" ref="AS80:AV80" si="49">AVERAGE(AS53:AS55)</f>
        <v>0</v>
      </c>
      <c r="AT80" s="37">
        <f t="shared" si="49"/>
        <v>0</v>
      </c>
      <c r="AU80" s="37">
        <f t="shared" si="49"/>
        <v>0</v>
      </c>
      <c r="AV80" s="37">
        <f t="shared" si="49"/>
        <v>0</v>
      </c>
      <c r="AW80" s="37">
        <f>_xlfn.STDEV.P(AP53:AP55)</f>
        <v>0</v>
      </c>
      <c r="AX80" s="37">
        <f>_xlfn.STDEV.P(AQ53:AQ55)</f>
        <v>0</v>
      </c>
      <c r="AY80" s="37">
        <f>_xlfn.STDEV.P(AR53:AR55)</f>
        <v>0</v>
      </c>
      <c r="AZ80" s="37">
        <f t="shared" ref="AZ80:BC80" si="50">_xlfn.STDEV.P(AS53:AS55)</f>
        <v>0</v>
      </c>
      <c r="BA80" s="37">
        <f t="shared" si="50"/>
        <v>0</v>
      </c>
      <c r="BB80" s="37">
        <f t="shared" si="50"/>
        <v>0</v>
      </c>
      <c r="BC80" s="37">
        <f t="shared" si="50"/>
        <v>0</v>
      </c>
    </row>
    <row r="81" spans="1:55" s="35" customFormat="1" x14ac:dyDescent="0.25">
      <c r="C81" s="35">
        <v>5</v>
      </c>
      <c r="D81" s="37">
        <f>AVERAGE(D56:D58)</f>
        <v>2.9333333333333336</v>
      </c>
      <c r="E81" s="37" t="e">
        <f t="shared" ref="E81:AO81" si="51">AVERAGE(E56:E58)</f>
        <v>#DIV/0!</v>
      </c>
      <c r="F81" s="37" t="e">
        <f t="shared" si="51"/>
        <v>#DIV/0!</v>
      </c>
      <c r="G81" s="37" t="e">
        <f t="shared" si="51"/>
        <v>#DIV/0!</v>
      </c>
      <c r="H81" s="37">
        <f t="shared" si="51"/>
        <v>2.82</v>
      </c>
      <c r="I81" s="37" t="e">
        <f t="shared" si="51"/>
        <v>#DIV/0!</v>
      </c>
      <c r="J81" s="37" t="e">
        <f t="shared" si="51"/>
        <v>#DIV/0!</v>
      </c>
      <c r="K81" s="37" t="e">
        <f t="shared" si="51"/>
        <v>#DIV/0!</v>
      </c>
      <c r="L81" s="37" t="e">
        <f t="shared" si="51"/>
        <v>#DIV/0!</v>
      </c>
      <c r="M81" s="37" t="e">
        <f t="shared" si="51"/>
        <v>#DIV/0!</v>
      </c>
      <c r="N81" s="37" t="e">
        <f t="shared" si="51"/>
        <v>#DIV/0!</v>
      </c>
      <c r="O81" s="37" t="e">
        <f t="shared" si="51"/>
        <v>#DIV/0!</v>
      </c>
      <c r="P81" s="37" t="e">
        <f t="shared" si="51"/>
        <v>#DIV/0!</v>
      </c>
      <c r="Q81" s="37">
        <f t="shared" si="51"/>
        <v>0.54200000000000004</v>
      </c>
      <c r="R81" s="37" t="e">
        <f t="shared" si="51"/>
        <v>#DIV/0!</v>
      </c>
      <c r="S81" s="37">
        <f t="shared" si="51"/>
        <v>5.5333333333333341</v>
      </c>
      <c r="T81" s="37">
        <f t="shared" si="51"/>
        <v>2.1700000000000004</v>
      </c>
      <c r="U81" s="37">
        <f t="shared" si="51"/>
        <v>2.1233333333333335</v>
      </c>
      <c r="V81" s="37" t="e">
        <f t="shared" si="51"/>
        <v>#DIV/0!</v>
      </c>
      <c r="W81" s="37" t="e">
        <f t="shared" si="51"/>
        <v>#DIV/0!</v>
      </c>
      <c r="X81" s="37" t="e">
        <f t="shared" si="51"/>
        <v>#DIV/0!</v>
      </c>
      <c r="Y81" s="37" t="e">
        <f t="shared" si="51"/>
        <v>#DIV/0!</v>
      </c>
      <c r="Z81" s="37" t="e">
        <f t="shared" si="51"/>
        <v>#DIV/0!</v>
      </c>
      <c r="AA81" s="37" t="e">
        <f t="shared" si="51"/>
        <v>#DIV/0!</v>
      </c>
      <c r="AB81" s="37" t="e">
        <f t="shared" si="51"/>
        <v>#DIV/0!</v>
      </c>
      <c r="AC81" s="37" t="e">
        <f t="shared" si="51"/>
        <v>#DIV/0!</v>
      </c>
      <c r="AD81" s="37" t="e">
        <f t="shared" si="51"/>
        <v>#DIV/0!</v>
      </c>
      <c r="AE81" s="37" t="e">
        <f t="shared" si="51"/>
        <v>#DIV/0!</v>
      </c>
      <c r="AF81" s="37" t="e">
        <f t="shared" si="51"/>
        <v>#DIV/0!</v>
      </c>
      <c r="AG81" s="37" t="e">
        <f t="shared" si="51"/>
        <v>#DIV/0!</v>
      </c>
      <c r="AH81" s="37" t="e">
        <f t="shared" si="51"/>
        <v>#DIV/0!</v>
      </c>
      <c r="AI81" s="37" t="e">
        <f t="shared" si="51"/>
        <v>#DIV/0!</v>
      </c>
      <c r="AJ81" s="37">
        <f t="shared" si="51"/>
        <v>1.7433333333333334</v>
      </c>
      <c r="AK81" s="37">
        <f t="shared" si="51"/>
        <v>5.03</v>
      </c>
      <c r="AL81" s="37">
        <f t="shared" si="51"/>
        <v>6.0466666666666669</v>
      </c>
      <c r="AM81" s="37">
        <f t="shared" si="51"/>
        <v>3.0500000000000003</v>
      </c>
      <c r="AN81" s="37">
        <f t="shared" si="51"/>
        <v>2.0099999999999998</v>
      </c>
      <c r="AO81" s="37">
        <f t="shared" si="51"/>
        <v>0.90049999999999997</v>
      </c>
      <c r="AP81" s="37">
        <f t="shared" ref="AP81:AR81" si="52">AVERAGE(AP56:AP58)</f>
        <v>34.241000000000007</v>
      </c>
      <c r="AQ81" s="37">
        <f t="shared" si="52"/>
        <v>15.760666666666671</v>
      </c>
      <c r="AR81" s="37">
        <f t="shared" si="52"/>
        <v>18.480333333333334</v>
      </c>
      <c r="AS81" s="37">
        <f t="shared" ref="AS81:AV81" si="53">AVERAGE(AS56:AS58)</f>
        <v>5.753333333333333</v>
      </c>
      <c r="AT81" s="37">
        <f t="shared" si="53"/>
        <v>0</v>
      </c>
      <c r="AU81" s="37">
        <f t="shared" si="53"/>
        <v>10.007333333333333</v>
      </c>
      <c r="AV81" s="37">
        <f t="shared" si="53"/>
        <v>18.480333333333334</v>
      </c>
      <c r="AW81" s="37">
        <f>_xlfn.STDEV.P(AP56:AP58)</f>
        <v>6.0808766363630955</v>
      </c>
      <c r="AX81" s="37">
        <f>_xlfn.STDEV.P(AQ56:AQ58)</f>
        <v>5.4653844837811256</v>
      </c>
      <c r="AY81" s="37">
        <f>_xlfn.STDEV.P(AR56:AR58)</f>
        <v>2.6133338010203602</v>
      </c>
      <c r="AZ81" s="37">
        <f>_xlfn.STDEV.P(AS56:AS58)</f>
        <v>3.1160052774167264</v>
      </c>
      <c r="BA81" s="37">
        <f t="shared" ref="BA81:BC81" si="54">_xlfn.STDEV.P(AT56:AT58)</f>
        <v>0</v>
      </c>
      <c r="BB81" s="37">
        <f t="shared" si="54"/>
        <v>2.349709391014601</v>
      </c>
      <c r="BC81" s="37">
        <f t="shared" si="54"/>
        <v>2.6133338010203602</v>
      </c>
    </row>
    <row r="82" spans="1:55" s="35" customFormat="1" x14ac:dyDescent="0.25">
      <c r="C82" s="35">
        <v>17</v>
      </c>
      <c r="D82" s="37">
        <f>AVERAGE(D59:D61)</f>
        <v>8.3666666666666671</v>
      </c>
      <c r="E82" s="37" t="e">
        <f t="shared" ref="E82:AO82" si="55">AVERAGE(E59:E61)</f>
        <v>#DIV/0!</v>
      </c>
      <c r="F82" s="37" t="e">
        <f t="shared" si="55"/>
        <v>#DIV/0!</v>
      </c>
      <c r="G82" s="37" t="e">
        <f t="shared" si="55"/>
        <v>#DIV/0!</v>
      </c>
      <c r="H82" s="37">
        <f t="shared" si="55"/>
        <v>10.766666666666666</v>
      </c>
      <c r="I82" s="37" t="e">
        <f t="shared" si="55"/>
        <v>#DIV/0!</v>
      </c>
      <c r="J82" s="37">
        <f t="shared" si="55"/>
        <v>1.0296666666666667</v>
      </c>
      <c r="K82" s="37">
        <f t="shared" si="55"/>
        <v>0.72649999999999992</v>
      </c>
      <c r="L82" s="37">
        <f t="shared" si="55"/>
        <v>1.0633333333333332</v>
      </c>
      <c r="M82" s="37">
        <f t="shared" si="55"/>
        <v>1.216</v>
      </c>
      <c r="N82" s="37">
        <f t="shared" si="55"/>
        <v>0.95950000000000002</v>
      </c>
      <c r="O82" s="37" t="e">
        <f t="shared" si="55"/>
        <v>#DIV/0!</v>
      </c>
      <c r="P82" s="37" t="e">
        <f t="shared" si="55"/>
        <v>#DIV/0!</v>
      </c>
      <c r="Q82" s="37">
        <f t="shared" si="55"/>
        <v>2.4933333333333332</v>
      </c>
      <c r="R82" s="37">
        <f t="shared" si="55"/>
        <v>1.0976666666666668</v>
      </c>
      <c r="S82" s="37">
        <f t="shared" si="55"/>
        <v>101.43333333333334</v>
      </c>
      <c r="T82" s="37">
        <f t="shared" si="55"/>
        <v>41.033333333333331</v>
      </c>
      <c r="U82" s="37">
        <f t="shared" si="55"/>
        <v>33.9</v>
      </c>
      <c r="V82" s="37">
        <f t="shared" si="55"/>
        <v>2.0100000000000002</v>
      </c>
      <c r="W82" s="37">
        <f t="shared" si="55"/>
        <v>0.90800000000000003</v>
      </c>
      <c r="X82" s="37" t="e">
        <f t="shared" si="55"/>
        <v>#DIV/0!</v>
      </c>
      <c r="Y82" s="37" t="e">
        <f t="shared" si="55"/>
        <v>#DIV/0!</v>
      </c>
      <c r="Z82" s="37" t="e">
        <f t="shared" si="55"/>
        <v>#DIV/0!</v>
      </c>
      <c r="AA82" s="37">
        <f t="shared" si="55"/>
        <v>0.7636666666666666</v>
      </c>
      <c r="AB82" s="37" t="e">
        <f t="shared" si="55"/>
        <v>#DIV/0!</v>
      </c>
      <c r="AC82" s="37" t="e">
        <f t="shared" si="55"/>
        <v>#DIV/0!</v>
      </c>
      <c r="AD82" s="37" t="e">
        <f t="shared" si="55"/>
        <v>#DIV/0!</v>
      </c>
      <c r="AE82" s="37" t="e">
        <f t="shared" si="55"/>
        <v>#DIV/0!</v>
      </c>
      <c r="AF82" s="37" t="e">
        <f t="shared" si="55"/>
        <v>#DIV/0!</v>
      </c>
      <c r="AG82" s="37" t="e">
        <f t="shared" si="55"/>
        <v>#DIV/0!</v>
      </c>
      <c r="AH82" s="37" t="e">
        <f t="shared" si="55"/>
        <v>#DIV/0!</v>
      </c>
      <c r="AI82" s="37" t="e">
        <f t="shared" si="55"/>
        <v>#DIV/0!</v>
      </c>
      <c r="AJ82" s="37">
        <f t="shared" si="55"/>
        <v>18.333333333333332</v>
      </c>
      <c r="AK82" s="37">
        <f t="shared" si="55"/>
        <v>146.83333333333334</v>
      </c>
      <c r="AL82" s="37">
        <f t="shared" si="55"/>
        <v>121.46666666666665</v>
      </c>
      <c r="AM82" s="37">
        <f t="shared" si="55"/>
        <v>27.866666666666664</v>
      </c>
      <c r="AN82" s="37">
        <f t="shared" si="55"/>
        <v>11.506666666666666</v>
      </c>
      <c r="AO82" s="37">
        <f t="shared" si="55"/>
        <v>6.7333333333333343</v>
      </c>
      <c r="AP82" s="37">
        <f t="shared" ref="AP82:AR82" si="56">AVERAGE(AP59:AP61)</f>
        <v>539.94566666666663</v>
      </c>
      <c r="AQ82" s="37">
        <f t="shared" si="56"/>
        <v>206.44200000000001</v>
      </c>
      <c r="AR82" s="37">
        <f t="shared" si="56"/>
        <v>333.50366666666667</v>
      </c>
      <c r="AS82" s="37">
        <f t="shared" ref="AS82:AV82" si="57">AVERAGE(AS59:AS61)</f>
        <v>23.566333333333333</v>
      </c>
      <c r="AT82" s="37">
        <f t="shared" si="57"/>
        <v>0.7636666666666666</v>
      </c>
      <c r="AU82" s="37">
        <f t="shared" si="57"/>
        <v>182.87566666666666</v>
      </c>
      <c r="AV82" s="37">
        <f t="shared" si="57"/>
        <v>332.73999999999995</v>
      </c>
      <c r="AW82" s="37">
        <f>_xlfn.STDEV.P(AP59:AP61)</f>
        <v>149.96274280707922</v>
      </c>
      <c r="AX82" s="37">
        <f>_xlfn.STDEV.P(AQ59:AQ61)</f>
        <v>48.908671426104632</v>
      </c>
      <c r="AY82" s="37">
        <f>_xlfn.STDEV.P(AR59:AR61)</f>
        <v>101.64812913947587</v>
      </c>
      <c r="AZ82" s="37">
        <f t="shared" ref="AZ82:BC82" si="58">_xlfn.STDEV.P(AS59:AS61)</f>
        <v>6.6864845937325166</v>
      </c>
      <c r="BA82" s="37">
        <f t="shared" si="58"/>
        <v>0.14634737973587264</v>
      </c>
      <c r="BB82" s="37">
        <f t="shared" si="58"/>
        <v>49.831195024357605</v>
      </c>
      <c r="BC82" s="37">
        <f t="shared" si="58"/>
        <v>101.76944760912613</v>
      </c>
    </row>
    <row r="83" spans="1:55" s="35" customFormat="1" x14ac:dyDescent="0.25">
      <c r="C83" s="35">
        <v>38</v>
      </c>
      <c r="D83" s="37">
        <f>AVERAGE(D62:D64)</f>
        <v>3.53</v>
      </c>
      <c r="E83" s="37" t="e">
        <f t="shared" ref="E83:AO83" si="59">AVERAGE(E62:E64)</f>
        <v>#DIV/0!</v>
      </c>
      <c r="F83" s="37" t="e">
        <f t="shared" si="59"/>
        <v>#DIV/0!</v>
      </c>
      <c r="G83" s="37" t="e">
        <f t="shared" si="59"/>
        <v>#DIV/0!</v>
      </c>
      <c r="H83" s="37">
        <f t="shared" si="59"/>
        <v>2.0900000000000003</v>
      </c>
      <c r="I83" s="37" t="e">
        <f t="shared" si="59"/>
        <v>#DIV/0!</v>
      </c>
      <c r="J83" s="37">
        <f t="shared" si="59"/>
        <v>2.36</v>
      </c>
      <c r="K83" s="37">
        <f t="shared" si="59"/>
        <v>1.4566666666666668</v>
      </c>
      <c r="L83" s="37">
        <f t="shared" si="59"/>
        <v>2.06</v>
      </c>
      <c r="M83" s="37">
        <f t="shared" si="59"/>
        <v>1.4799999999999998</v>
      </c>
      <c r="N83" s="37">
        <f t="shared" si="59"/>
        <v>0.67</v>
      </c>
      <c r="O83" s="37" t="e">
        <f t="shared" si="59"/>
        <v>#DIV/0!</v>
      </c>
      <c r="P83" s="37" t="e">
        <f t="shared" si="59"/>
        <v>#DIV/0!</v>
      </c>
      <c r="Q83" s="37">
        <f t="shared" si="59"/>
        <v>5.253333333333333</v>
      </c>
      <c r="R83" s="37">
        <f t="shared" si="59"/>
        <v>4.703333333333334</v>
      </c>
      <c r="S83" s="37">
        <f t="shared" si="59"/>
        <v>273.33333333333331</v>
      </c>
      <c r="T83" s="37">
        <f t="shared" si="59"/>
        <v>96.333333333333329</v>
      </c>
      <c r="U83" s="37">
        <f t="shared" si="59"/>
        <v>90.166666666666671</v>
      </c>
      <c r="V83" s="37">
        <f t="shared" si="59"/>
        <v>2.6799999999999997</v>
      </c>
      <c r="W83" s="37">
        <f t="shared" si="59"/>
        <v>1.2023333333333335</v>
      </c>
      <c r="X83" s="37" t="e">
        <f t="shared" si="59"/>
        <v>#DIV/0!</v>
      </c>
      <c r="Y83" s="37" t="e">
        <f t="shared" si="59"/>
        <v>#DIV/0!</v>
      </c>
      <c r="Z83" s="37" t="e">
        <f t="shared" si="59"/>
        <v>#DIV/0!</v>
      </c>
      <c r="AA83" s="37" t="e">
        <f t="shared" si="59"/>
        <v>#DIV/0!</v>
      </c>
      <c r="AB83" s="37" t="e">
        <f t="shared" si="59"/>
        <v>#DIV/0!</v>
      </c>
      <c r="AC83" s="37" t="e">
        <f t="shared" si="59"/>
        <v>#DIV/0!</v>
      </c>
      <c r="AD83" s="37" t="e">
        <f t="shared" si="59"/>
        <v>#DIV/0!</v>
      </c>
      <c r="AE83" s="37" t="e">
        <f t="shared" si="59"/>
        <v>#DIV/0!</v>
      </c>
      <c r="AF83" s="37" t="e">
        <f t="shared" si="59"/>
        <v>#DIV/0!</v>
      </c>
      <c r="AG83" s="37" t="e">
        <f t="shared" si="59"/>
        <v>#DIV/0!</v>
      </c>
      <c r="AH83" s="37" t="e">
        <f t="shared" si="59"/>
        <v>#DIV/0!</v>
      </c>
      <c r="AI83" s="37">
        <f t="shared" si="59"/>
        <v>0.59366666666666668</v>
      </c>
      <c r="AJ83" s="37">
        <f t="shared" si="59"/>
        <v>62.633333333333333</v>
      </c>
      <c r="AK83" s="37">
        <f t="shared" si="59"/>
        <v>292.66666666666669</v>
      </c>
      <c r="AL83" s="37">
        <f t="shared" si="59"/>
        <v>205.66666666666666</v>
      </c>
      <c r="AM83" s="37">
        <f t="shared" si="59"/>
        <v>32.133333333333333</v>
      </c>
      <c r="AN83" s="37">
        <f t="shared" si="59"/>
        <v>7.7366666666666672</v>
      </c>
      <c r="AO83" s="37">
        <f t="shared" si="59"/>
        <v>2.9066666666666663</v>
      </c>
      <c r="AP83" s="37">
        <f t="shared" ref="AP83:AR83" si="60">AVERAGE(AP62:AP64)</f>
        <v>1091.2093333333332</v>
      </c>
      <c r="AQ83" s="37">
        <f t="shared" si="60"/>
        <v>486.87233333333342</v>
      </c>
      <c r="AR83" s="37">
        <f t="shared" si="60"/>
        <v>604.3370000000001</v>
      </c>
      <c r="AS83" s="37">
        <f t="shared" ref="AS83:AV83" si="61">AVERAGE(AS62:AS64)</f>
        <v>13.200000000000001</v>
      </c>
      <c r="AT83" s="37">
        <f t="shared" si="61"/>
        <v>0</v>
      </c>
      <c r="AU83" s="37">
        <f t="shared" si="61"/>
        <v>473.67233333333326</v>
      </c>
      <c r="AV83" s="37">
        <f t="shared" si="61"/>
        <v>604.3370000000001</v>
      </c>
      <c r="AW83" s="37">
        <f>_xlfn.STDEV.P(AP62:AP64)</f>
        <v>246.12754076472029</v>
      </c>
      <c r="AX83" s="37">
        <f>_xlfn.STDEV.P(AQ62:AQ64)</f>
        <v>75.074192309267275</v>
      </c>
      <c r="AY83" s="37">
        <f>_xlfn.STDEV.P(AR62:AR64)</f>
        <v>269.96152508212487</v>
      </c>
      <c r="AZ83" s="37">
        <f t="shared" ref="AZ83:BC83" si="62">_xlfn.STDEV.P(AS62:AS64)</f>
        <v>2.1145685139053731</v>
      </c>
      <c r="BA83" s="37">
        <f t="shared" si="62"/>
        <v>0</v>
      </c>
      <c r="BB83" s="37">
        <f t="shared" si="62"/>
        <v>77.187974436148991</v>
      </c>
      <c r="BC83" s="37">
        <f t="shared" si="62"/>
        <v>269.96152508212487</v>
      </c>
    </row>
    <row r="84" spans="1:55" s="35" customFormat="1" x14ac:dyDescent="0.25">
      <c r="C84" s="35">
        <v>57</v>
      </c>
      <c r="D84" s="37">
        <f>AVERAGE(D65:D67)</f>
        <v>2.19</v>
      </c>
      <c r="E84" s="37" t="e">
        <f t="shared" ref="E84:AO84" si="63">AVERAGE(E65:E67)</f>
        <v>#DIV/0!</v>
      </c>
      <c r="F84" s="37" t="e">
        <f t="shared" si="63"/>
        <v>#DIV/0!</v>
      </c>
      <c r="G84" s="37" t="e">
        <f t="shared" si="63"/>
        <v>#DIV/0!</v>
      </c>
      <c r="H84" s="37">
        <f t="shared" si="63"/>
        <v>1.68</v>
      </c>
      <c r="I84" s="37" t="e">
        <f t="shared" si="63"/>
        <v>#DIV/0!</v>
      </c>
      <c r="J84" s="37">
        <f t="shared" si="63"/>
        <v>2.97</v>
      </c>
      <c r="K84" s="37">
        <f t="shared" si="63"/>
        <v>2.0033333333333334</v>
      </c>
      <c r="L84" s="37">
        <f t="shared" si="63"/>
        <v>2.3800000000000003</v>
      </c>
      <c r="M84" s="37">
        <f t="shared" si="63"/>
        <v>1.5599999999999998</v>
      </c>
      <c r="N84" s="37">
        <f t="shared" si="63"/>
        <v>0.66999999999999993</v>
      </c>
      <c r="O84" s="37" t="e">
        <f t="shared" si="63"/>
        <v>#DIV/0!</v>
      </c>
      <c r="P84" s="37" t="e">
        <f t="shared" si="63"/>
        <v>#DIV/0!</v>
      </c>
      <c r="Q84" s="37">
        <f t="shared" si="63"/>
        <v>3.8833333333333329</v>
      </c>
      <c r="R84" s="37">
        <f t="shared" si="63"/>
        <v>5.6866666666666674</v>
      </c>
      <c r="S84" s="37">
        <f t="shared" si="63"/>
        <v>378.66666666666669</v>
      </c>
      <c r="T84" s="37">
        <f t="shared" si="63"/>
        <v>70.333333333333329</v>
      </c>
      <c r="U84" s="37">
        <f t="shared" si="63"/>
        <v>43.566666666666663</v>
      </c>
      <c r="V84" s="37">
        <f t="shared" si="63"/>
        <v>3.0399999999999996</v>
      </c>
      <c r="W84" s="37">
        <f t="shared" si="63"/>
        <v>1.4333333333333333</v>
      </c>
      <c r="X84" s="37" t="e">
        <f t="shared" si="63"/>
        <v>#DIV/0!</v>
      </c>
      <c r="Y84" s="37" t="e">
        <f t="shared" si="63"/>
        <v>#DIV/0!</v>
      </c>
      <c r="Z84" s="37" t="e">
        <f t="shared" si="63"/>
        <v>#DIV/0!</v>
      </c>
      <c r="AA84" s="37" t="e">
        <f t="shared" si="63"/>
        <v>#DIV/0!</v>
      </c>
      <c r="AB84" s="37" t="e">
        <f t="shared" si="63"/>
        <v>#DIV/0!</v>
      </c>
      <c r="AC84" s="37" t="e">
        <f t="shared" si="63"/>
        <v>#DIV/0!</v>
      </c>
      <c r="AD84" s="37" t="e">
        <f t="shared" si="63"/>
        <v>#DIV/0!</v>
      </c>
      <c r="AE84" s="37" t="e">
        <f t="shared" si="63"/>
        <v>#DIV/0!</v>
      </c>
      <c r="AF84" s="37" t="e">
        <f t="shared" si="63"/>
        <v>#DIV/0!</v>
      </c>
      <c r="AG84" s="37" t="e">
        <f t="shared" si="63"/>
        <v>#DIV/0!</v>
      </c>
      <c r="AH84" s="37" t="e">
        <f t="shared" si="63"/>
        <v>#DIV/0!</v>
      </c>
      <c r="AI84" s="37">
        <f t="shared" si="63"/>
        <v>0.65450000000000008</v>
      </c>
      <c r="AJ84" s="37">
        <f t="shared" si="63"/>
        <v>85.333333333333329</v>
      </c>
      <c r="AK84" s="37">
        <f t="shared" si="63"/>
        <v>542</v>
      </c>
      <c r="AL84" s="37">
        <f t="shared" si="63"/>
        <v>351.33333333333331</v>
      </c>
      <c r="AM84" s="37">
        <f t="shared" si="63"/>
        <v>18.433333333333334</v>
      </c>
      <c r="AN84" s="37">
        <f t="shared" si="63"/>
        <v>12.133333333333333</v>
      </c>
      <c r="AO84" s="37">
        <f t="shared" si="63"/>
        <v>3.3766666666666665</v>
      </c>
      <c r="AP84" s="37">
        <f t="shared" ref="AP84:AR84" si="64">AVERAGE(AP65:AP67)</f>
        <v>1532.3263333333334</v>
      </c>
      <c r="AQ84" s="37">
        <f t="shared" si="64"/>
        <v>519.28000000000009</v>
      </c>
      <c r="AR84" s="37">
        <f t="shared" si="64"/>
        <v>1013.0463333333333</v>
      </c>
      <c r="AS84" s="37">
        <f t="shared" ref="AS84:AV84" si="65">AVERAGE(AS65:AS67)</f>
        <v>12.670000000000002</v>
      </c>
      <c r="AT84" s="37">
        <f t="shared" si="65"/>
        <v>0</v>
      </c>
      <c r="AU84" s="37">
        <f t="shared" si="65"/>
        <v>506.61000000000007</v>
      </c>
      <c r="AV84" s="37">
        <f t="shared" si="65"/>
        <v>1013.0463333333333</v>
      </c>
      <c r="AW84" s="37">
        <f>_xlfn.STDEV.P(AP65:AP67)</f>
        <v>254.74934700646878</v>
      </c>
      <c r="AX84" s="37">
        <f>_xlfn.STDEV.P(AQ65:AQ67)</f>
        <v>131.172484129358</v>
      </c>
      <c r="AY84" s="37">
        <f>_xlfn.STDEV.P(AR65:AR67)</f>
        <v>165.25960014944781</v>
      </c>
      <c r="AZ84" s="37">
        <f t="shared" ref="AZ84:BC84" si="66">_xlfn.STDEV.P(AS65:AS67)</f>
        <v>3.1292926783326975</v>
      </c>
      <c r="BA84" s="37">
        <f t="shared" si="66"/>
        <v>0</v>
      </c>
      <c r="BB84" s="37">
        <f t="shared" si="66"/>
        <v>131.85069005002069</v>
      </c>
      <c r="BC84" s="37">
        <f t="shared" si="66"/>
        <v>165.25960014944781</v>
      </c>
    </row>
    <row r="85" spans="1:55" s="35" customFormat="1" x14ac:dyDescent="0.25">
      <c r="C85" s="35">
        <v>61</v>
      </c>
      <c r="D85" s="37" t="e">
        <f>AVERAGE(D68:D70)</f>
        <v>#DIV/0!</v>
      </c>
      <c r="E85" s="37" t="e">
        <f t="shared" ref="E85:AO85" si="67">AVERAGE(E68:E70)</f>
        <v>#DIV/0!</v>
      </c>
      <c r="F85" s="37" t="e">
        <f t="shared" si="67"/>
        <v>#DIV/0!</v>
      </c>
      <c r="G85" s="37" t="e">
        <f t="shared" si="67"/>
        <v>#DIV/0!</v>
      </c>
      <c r="H85" s="37" t="e">
        <f t="shared" si="67"/>
        <v>#DIV/0!</v>
      </c>
      <c r="I85" s="37" t="e">
        <f t="shared" si="67"/>
        <v>#DIV/0!</v>
      </c>
      <c r="J85" s="37">
        <f t="shared" si="67"/>
        <v>2.4766666666666666</v>
      </c>
      <c r="K85" s="37">
        <f t="shared" si="67"/>
        <v>1.4766666666666666</v>
      </c>
      <c r="L85" s="37">
        <f t="shared" si="67"/>
        <v>1.7566666666666668</v>
      </c>
      <c r="M85" s="37">
        <f t="shared" si="67"/>
        <v>0.89300000000000013</v>
      </c>
      <c r="N85" s="37" t="e">
        <f t="shared" si="67"/>
        <v>#DIV/0!</v>
      </c>
      <c r="O85" s="37" t="e">
        <f t="shared" si="67"/>
        <v>#DIV/0!</v>
      </c>
      <c r="P85" s="37" t="e">
        <f t="shared" si="67"/>
        <v>#DIV/0!</v>
      </c>
      <c r="Q85" s="37">
        <f t="shared" si="67"/>
        <v>2.5033333333333334</v>
      </c>
      <c r="R85" s="37">
        <f t="shared" si="67"/>
        <v>4.5066666666666668</v>
      </c>
      <c r="S85" s="37">
        <f t="shared" si="67"/>
        <v>239.33333333333334</v>
      </c>
      <c r="T85" s="37">
        <f t="shared" si="67"/>
        <v>148</v>
      </c>
      <c r="U85" s="37">
        <f t="shared" si="67"/>
        <v>57.966666666666669</v>
      </c>
      <c r="V85" s="37">
        <f t="shared" si="67"/>
        <v>1.8766666666666667</v>
      </c>
      <c r="W85" s="37">
        <f t="shared" si="67"/>
        <v>0.87133333333333329</v>
      </c>
      <c r="X85" s="37" t="e">
        <f t="shared" si="67"/>
        <v>#DIV/0!</v>
      </c>
      <c r="Y85" s="37" t="e">
        <f t="shared" si="67"/>
        <v>#DIV/0!</v>
      </c>
      <c r="Z85" s="37" t="e">
        <f t="shared" si="67"/>
        <v>#DIV/0!</v>
      </c>
      <c r="AA85" s="37" t="e">
        <f t="shared" si="67"/>
        <v>#DIV/0!</v>
      </c>
      <c r="AB85" s="37" t="e">
        <f t="shared" si="67"/>
        <v>#DIV/0!</v>
      </c>
      <c r="AC85" s="37" t="e">
        <f t="shared" si="67"/>
        <v>#DIV/0!</v>
      </c>
      <c r="AD85" s="37" t="e">
        <f t="shared" si="67"/>
        <v>#DIV/0!</v>
      </c>
      <c r="AE85" s="37" t="e">
        <f t="shared" si="67"/>
        <v>#DIV/0!</v>
      </c>
      <c r="AF85" s="37" t="e">
        <f t="shared" si="67"/>
        <v>#DIV/0!</v>
      </c>
      <c r="AG85" s="37" t="e">
        <f t="shared" si="67"/>
        <v>#DIV/0!</v>
      </c>
      <c r="AH85" s="37" t="e">
        <f t="shared" si="67"/>
        <v>#DIV/0!</v>
      </c>
      <c r="AI85" s="37">
        <f t="shared" si="67"/>
        <v>0.58899999999999997</v>
      </c>
      <c r="AJ85" s="37">
        <f t="shared" si="67"/>
        <v>72.233333333333334</v>
      </c>
      <c r="AK85" s="37">
        <f t="shared" si="67"/>
        <v>456.66666666666669</v>
      </c>
      <c r="AL85" s="37">
        <f t="shared" si="67"/>
        <v>277</v>
      </c>
      <c r="AM85" s="37">
        <f t="shared" si="67"/>
        <v>17.5</v>
      </c>
      <c r="AN85" s="37">
        <f t="shared" si="67"/>
        <v>4.4466666666666663</v>
      </c>
      <c r="AO85" s="37">
        <f t="shared" si="67"/>
        <v>0.77766666666666673</v>
      </c>
      <c r="AP85" s="37">
        <f t="shared" ref="AP85:AR85" si="68">AVERAGE(AP68:AP70)</f>
        <v>1290.4816666666666</v>
      </c>
      <c r="AQ85" s="37">
        <f t="shared" si="68"/>
        <v>461.66100000000006</v>
      </c>
      <c r="AR85" s="37">
        <f t="shared" si="68"/>
        <v>828.82066666666663</v>
      </c>
      <c r="AS85" s="37">
        <f t="shared" ref="AS85:AV85" si="69">AVERAGE(AS68:AS70)</f>
        <v>6.6030000000000006</v>
      </c>
      <c r="AT85" s="37">
        <f t="shared" si="69"/>
        <v>0</v>
      </c>
      <c r="AU85" s="37">
        <f t="shared" si="69"/>
        <v>455.05799999999999</v>
      </c>
      <c r="AV85" s="37">
        <f t="shared" si="69"/>
        <v>828.82066666666663</v>
      </c>
      <c r="AW85" s="37">
        <f>_xlfn.STDEV.P(AP68:AP70)</f>
        <v>278.44938950592586</v>
      </c>
      <c r="AX85" s="37">
        <f>_xlfn.STDEV.P(AQ68:AQ70)</f>
        <v>152.63737653012774</v>
      </c>
      <c r="AY85" s="37">
        <f>_xlfn.STDEV.P(AR68:AR70)</f>
        <v>148.23296385157462</v>
      </c>
      <c r="AZ85" s="37">
        <f t="shared" ref="AZ85:BC85" si="70">_xlfn.STDEV.P(AS68:AS70)</f>
        <v>1.0857430635283853</v>
      </c>
      <c r="BA85" s="37">
        <f t="shared" si="70"/>
        <v>0</v>
      </c>
      <c r="BB85" s="37">
        <f t="shared" si="70"/>
        <v>151.94049727442652</v>
      </c>
      <c r="BC85" s="37">
        <f t="shared" si="70"/>
        <v>148.23296385157462</v>
      </c>
    </row>
    <row r="86" spans="1:55" s="35" customFormat="1" x14ac:dyDescent="0.25">
      <c r="C86" s="35">
        <v>73</v>
      </c>
      <c r="D86" s="37" t="e">
        <f>AVERAGE(D71:D73)</f>
        <v>#DIV/0!</v>
      </c>
      <c r="E86" s="37" t="e">
        <f t="shared" ref="E86:AO86" si="71">AVERAGE(E71:E73)</f>
        <v>#DIV/0!</v>
      </c>
      <c r="F86" s="37" t="e">
        <f t="shared" si="71"/>
        <v>#DIV/0!</v>
      </c>
      <c r="G86" s="37" t="e">
        <f t="shared" si="71"/>
        <v>#DIV/0!</v>
      </c>
      <c r="H86" s="37" t="e">
        <f t="shared" si="71"/>
        <v>#DIV/0!</v>
      </c>
      <c r="I86" s="37" t="e">
        <f t="shared" si="71"/>
        <v>#DIV/0!</v>
      </c>
      <c r="J86" s="37">
        <f t="shared" si="71"/>
        <v>1.6066666666666667</v>
      </c>
      <c r="K86" s="37">
        <f t="shared" si="71"/>
        <v>0.95433333333333314</v>
      </c>
      <c r="L86" s="37">
        <f t="shared" si="71"/>
        <v>0.91966666666666663</v>
      </c>
      <c r="M86" s="37" t="e">
        <f t="shared" si="71"/>
        <v>#DIV/0!</v>
      </c>
      <c r="N86" s="37" t="e">
        <f t="shared" si="71"/>
        <v>#DIV/0!</v>
      </c>
      <c r="O86" s="37" t="e">
        <f t="shared" si="71"/>
        <v>#DIV/0!</v>
      </c>
      <c r="P86" s="37" t="e">
        <f t="shared" si="71"/>
        <v>#DIV/0!</v>
      </c>
      <c r="Q86" s="37">
        <f t="shared" si="71"/>
        <v>0.995</v>
      </c>
      <c r="R86" s="37">
        <f t="shared" si="71"/>
        <v>2.523333333333333</v>
      </c>
      <c r="S86" s="37">
        <f t="shared" si="71"/>
        <v>214</v>
      </c>
      <c r="T86" s="37">
        <f t="shared" si="71"/>
        <v>80.86666666666666</v>
      </c>
      <c r="U86" s="37">
        <f t="shared" si="71"/>
        <v>45.199999999999996</v>
      </c>
      <c r="V86" s="37">
        <f t="shared" si="71"/>
        <v>1.2435</v>
      </c>
      <c r="W86" s="37">
        <f t="shared" si="71"/>
        <v>0.51</v>
      </c>
      <c r="X86" s="37" t="e">
        <f t="shared" si="71"/>
        <v>#DIV/0!</v>
      </c>
      <c r="Y86" s="37" t="e">
        <f t="shared" si="71"/>
        <v>#DIV/0!</v>
      </c>
      <c r="Z86" s="37" t="e">
        <f t="shared" si="71"/>
        <v>#DIV/0!</v>
      </c>
      <c r="AA86" s="37" t="e">
        <f t="shared" si="71"/>
        <v>#DIV/0!</v>
      </c>
      <c r="AB86" s="37" t="e">
        <f t="shared" si="71"/>
        <v>#DIV/0!</v>
      </c>
      <c r="AC86" s="37" t="e">
        <f t="shared" si="71"/>
        <v>#DIV/0!</v>
      </c>
      <c r="AD86" s="37" t="e">
        <f t="shared" si="71"/>
        <v>#DIV/0!</v>
      </c>
      <c r="AE86" s="37" t="e">
        <f t="shared" si="71"/>
        <v>#DIV/0!</v>
      </c>
      <c r="AF86" s="37" t="e">
        <f t="shared" si="71"/>
        <v>#DIV/0!</v>
      </c>
      <c r="AG86" s="37" t="e">
        <f t="shared" si="71"/>
        <v>#DIV/0!</v>
      </c>
      <c r="AH86" s="37" t="e">
        <f t="shared" si="71"/>
        <v>#DIV/0!</v>
      </c>
      <c r="AI86" s="37" t="e">
        <f t="shared" si="71"/>
        <v>#DIV/0!</v>
      </c>
      <c r="AJ86" s="37">
        <f t="shared" si="71"/>
        <v>64.600000000000009</v>
      </c>
      <c r="AK86" s="37">
        <f t="shared" si="71"/>
        <v>202</v>
      </c>
      <c r="AL86" s="37">
        <f t="shared" si="71"/>
        <v>129.6</v>
      </c>
      <c r="AM86" s="37">
        <f t="shared" si="71"/>
        <v>4.8733333333333331</v>
      </c>
      <c r="AN86" s="37">
        <f t="shared" si="71"/>
        <v>0.77999999999999992</v>
      </c>
      <c r="AO86" s="37" t="e">
        <f t="shared" si="71"/>
        <v>#DIV/0!</v>
      </c>
      <c r="AP86" s="37">
        <f t="shared" ref="AP86:AR86" si="72">AVERAGE(AP71:AP73)</f>
        <v>749.25466666666659</v>
      </c>
      <c r="AQ86" s="37">
        <f t="shared" si="72"/>
        <v>347.4013333333333</v>
      </c>
      <c r="AR86" s="37">
        <f t="shared" si="72"/>
        <v>401.8533333333333</v>
      </c>
      <c r="AS86" s="37">
        <f t="shared" ref="AS86:AV86" si="73">AVERAGE(AS71:AS73)</f>
        <v>3.4806666666666666</v>
      </c>
      <c r="AT86" s="37">
        <f t="shared" si="73"/>
        <v>0</v>
      </c>
      <c r="AU86" s="37">
        <f t="shared" si="73"/>
        <v>343.92066666666665</v>
      </c>
      <c r="AV86" s="37">
        <f t="shared" si="73"/>
        <v>401.8533333333333</v>
      </c>
      <c r="AW86" s="37">
        <f>_xlfn.STDEV.P(AP71:AP73)</f>
        <v>204.47554109042576</v>
      </c>
      <c r="AX86" s="37">
        <f>_xlfn.STDEV.P(AQ71:AQ73)</f>
        <v>57.053881669484518</v>
      </c>
      <c r="AY86" s="37">
        <f>_xlfn.STDEV.P(AR71:AR73)</f>
        <v>159.90165457208036</v>
      </c>
      <c r="AZ86" s="37">
        <f t="shared" ref="AZ86:BC86" si="74">_xlfn.STDEV.P(AS71:AS73)</f>
        <v>0.54631757146268767</v>
      </c>
      <c r="BA86" s="37">
        <f t="shared" si="74"/>
        <v>0</v>
      </c>
      <c r="BB86" s="37">
        <f t="shared" si="74"/>
        <v>56.510666287190581</v>
      </c>
      <c r="BC86" s="37">
        <f t="shared" si="74"/>
        <v>159.90165457208036</v>
      </c>
    </row>
    <row r="87" spans="1:55" s="35" customFormat="1" x14ac:dyDescent="0.25">
      <c r="C87" s="35">
        <v>101</v>
      </c>
      <c r="D87" s="37" t="e">
        <f>AVERAGE(D74:D76)</f>
        <v>#DIV/0!</v>
      </c>
      <c r="E87" s="37" t="e">
        <f t="shared" ref="E87:AO87" si="75">AVERAGE(E74:E76)</f>
        <v>#DIV/0!</v>
      </c>
      <c r="F87" s="37" t="e">
        <f t="shared" si="75"/>
        <v>#DIV/0!</v>
      </c>
      <c r="G87" s="37" t="e">
        <f t="shared" si="75"/>
        <v>#DIV/0!</v>
      </c>
      <c r="H87" s="37" t="e">
        <f t="shared" si="75"/>
        <v>#DIV/0!</v>
      </c>
      <c r="I87" s="37" t="e">
        <f t="shared" si="75"/>
        <v>#DIV/0!</v>
      </c>
      <c r="J87" s="37">
        <f t="shared" si="75"/>
        <v>0.71966666666666657</v>
      </c>
      <c r="K87" s="37" t="e">
        <f t="shared" si="75"/>
        <v>#DIV/0!</v>
      </c>
      <c r="L87" s="37" t="e">
        <f t="shared" si="75"/>
        <v>#DIV/0!</v>
      </c>
      <c r="M87" s="37" t="e">
        <f t="shared" si="75"/>
        <v>#DIV/0!</v>
      </c>
      <c r="N87" s="37" t="e">
        <f t="shared" si="75"/>
        <v>#DIV/0!</v>
      </c>
      <c r="O87" s="37" t="e">
        <f t="shared" si="75"/>
        <v>#DIV/0!</v>
      </c>
      <c r="P87" s="37" t="e">
        <f t="shared" si="75"/>
        <v>#DIV/0!</v>
      </c>
      <c r="Q87" s="37" t="e">
        <f t="shared" si="75"/>
        <v>#DIV/0!</v>
      </c>
      <c r="R87" s="37">
        <f t="shared" si="75"/>
        <v>0.85499999999999998</v>
      </c>
      <c r="S87" s="37">
        <f t="shared" si="75"/>
        <v>96.066666666666677</v>
      </c>
      <c r="T87" s="37">
        <f t="shared" si="75"/>
        <v>24.366666666666671</v>
      </c>
      <c r="U87" s="37">
        <f t="shared" si="75"/>
        <v>8.5033333333333321</v>
      </c>
      <c r="V87" s="37" t="e">
        <f t="shared" si="75"/>
        <v>#DIV/0!</v>
      </c>
      <c r="W87" s="37" t="e">
        <f t="shared" si="75"/>
        <v>#DIV/0!</v>
      </c>
      <c r="X87" s="37" t="e">
        <f t="shared" si="75"/>
        <v>#DIV/0!</v>
      </c>
      <c r="Y87" s="37" t="e">
        <f t="shared" si="75"/>
        <v>#DIV/0!</v>
      </c>
      <c r="Z87" s="37" t="e">
        <f t="shared" si="75"/>
        <v>#DIV/0!</v>
      </c>
      <c r="AA87" s="37" t="e">
        <f t="shared" si="75"/>
        <v>#DIV/0!</v>
      </c>
      <c r="AB87" s="37" t="e">
        <f t="shared" si="75"/>
        <v>#DIV/0!</v>
      </c>
      <c r="AC87" s="37" t="e">
        <f t="shared" si="75"/>
        <v>#DIV/0!</v>
      </c>
      <c r="AD87" s="37" t="e">
        <f t="shared" si="75"/>
        <v>#DIV/0!</v>
      </c>
      <c r="AE87" s="37" t="e">
        <f t="shared" si="75"/>
        <v>#DIV/0!</v>
      </c>
      <c r="AF87" s="37" t="e">
        <f t="shared" si="75"/>
        <v>#DIV/0!</v>
      </c>
      <c r="AG87" s="37" t="e">
        <f t="shared" si="75"/>
        <v>#DIV/0!</v>
      </c>
      <c r="AH87" s="37" t="e">
        <f t="shared" si="75"/>
        <v>#DIV/0!</v>
      </c>
      <c r="AI87" s="37" t="e">
        <f t="shared" si="75"/>
        <v>#DIV/0!</v>
      </c>
      <c r="AJ87" s="37">
        <f t="shared" si="75"/>
        <v>30.7</v>
      </c>
      <c r="AK87" s="37">
        <f t="shared" si="75"/>
        <v>118</v>
      </c>
      <c r="AL87" s="37">
        <f t="shared" si="75"/>
        <v>28.2</v>
      </c>
      <c r="AM87" s="37">
        <f t="shared" si="75"/>
        <v>1.39</v>
      </c>
      <c r="AN87" s="37" t="e">
        <f t="shared" si="75"/>
        <v>#DIV/0!</v>
      </c>
      <c r="AO87" s="37" t="e">
        <f t="shared" si="75"/>
        <v>#DIV/0!</v>
      </c>
      <c r="AP87" s="37">
        <f t="shared" ref="AP87:AR87" si="76">AVERAGE(AP74:AP76)</f>
        <v>308.23133333333334</v>
      </c>
      <c r="AQ87" s="37">
        <f t="shared" si="76"/>
        <v>129.94133333333335</v>
      </c>
      <c r="AR87" s="37">
        <f t="shared" si="76"/>
        <v>178.29</v>
      </c>
      <c r="AS87" s="37">
        <f t="shared" ref="AS87:AV87" si="77">AVERAGE(AS74:AS76)</f>
        <v>0.71966666666666657</v>
      </c>
      <c r="AT87" s="37">
        <f t="shared" si="77"/>
        <v>0</v>
      </c>
      <c r="AU87" s="37">
        <f t="shared" si="77"/>
        <v>129.22166666666666</v>
      </c>
      <c r="AV87" s="37">
        <f t="shared" si="77"/>
        <v>178.29</v>
      </c>
      <c r="AW87" s="37">
        <f>_xlfn.STDEV.P(AP74:AP76)</f>
        <v>18.065676116756784</v>
      </c>
      <c r="AX87" s="37">
        <f>_xlfn.STDEV.P(AQ74:AQ76)</f>
        <v>8.4737744574395872</v>
      </c>
      <c r="AY87" s="37">
        <f>_xlfn.STDEV.P(AR74:AR76)</f>
        <v>9.5940293933258349</v>
      </c>
      <c r="AZ87" s="37">
        <f t="shared" ref="AZ87:BC87" si="78">_xlfn.STDEV.P(AS74:AS76)</f>
        <v>9.3042403714054131E-2</v>
      </c>
      <c r="BA87" s="37">
        <f t="shared" si="78"/>
        <v>0</v>
      </c>
      <c r="BB87" s="37">
        <f t="shared" si="78"/>
        <v>8.3912199483878549</v>
      </c>
      <c r="BC87" s="37">
        <f t="shared" si="78"/>
        <v>9.5940293933258349</v>
      </c>
    </row>
    <row r="88" spans="1:55" s="35" customFormat="1" x14ac:dyDescent="0.25">
      <c r="C88" s="35">
        <v>136</v>
      </c>
      <c r="D88" s="37" t="e">
        <f>AVERAGE(D77:D79)</f>
        <v>#DIV/0!</v>
      </c>
      <c r="E88" s="37" t="e">
        <f t="shared" ref="E88:AO88" si="79">AVERAGE(E77:E79)</f>
        <v>#DIV/0!</v>
      </c>
      <c r="F88" s="37" t="e">
        <f t="shared" si="79"/>
        <v>#DIV/0!</v>
      </c>
      <c r="G88" s="37" t="e">
        <f t="shared" si="79"/>
        <v>#DIV/0!</v>
      </c>
      <c r="H88" s="37" t="e">
        <f t="shared" si="79"/>
        <v>#DIV/0!</v>
      </c>
      <c r="I88" s="37" t="e">
        <f t="shared" si="79"/>
        <v>#DIV/0!</v>
      </c>
      <c r="J88" s="37" t="e">
        <f t="shared" si="79"/>
        <v>#DIV/0!</v>
      </c>
      <c r="K88" s="37" t="e">
        <f t="shared" si="79"/>
        <v>#DIV/0!</v>
      </c>
      <c r="L88" s="37" t="e">
        <f t="shared" si="79"/>
        <v>#DIV/0!</v>
      </c>
      <c r="M88" s="37" t="e">
        <f t="shared" si="79"/>
        <v>#DIV/0!</v>
      </c>
      <c r="N88" s="37" t="e">
        <f t="shared" si="79"/>
        <v>#DIV/0!</v>
      </c>
      <c r="O88" s="37" t="e">
        <f t="shared" si="79"/>
        <v>#DIV/0!</v>
      </c>
      <c r="P88" s="37" t="e">
        <f t="shared" si="79"/>
        <v>#DIV/0!</v>
      </c>
      <c r="Q88" s="37" t="e">
        <f t="shared" si="79"/>
        <v>#DIV/0!</v>
      </c>
      <c r="R88" s="37" t="e">
        <f t="shared" si="79"/>
        <v>#DIV/0!</v>
      </c>
      <c r="S88" s="37">
        <f t="shared" si="79"/>
        <v>45.199999999999996</v>
      </c>
      <c r="T88" s="37">
        <f t="shared" si="79"/>
        <v>5.5466666666666669</v>
      </c>
      <c r="U88" s="37">
        <f t="shared" si="79"/>
        <v>1.0745</v>
      </c>
      <c r="V88" s="37" t="e">
        <f t="shared" si="79"/>
        <v>#DIV/0!</v>
      </c>
      <c r="W88" s="37" t="e">
        <f t="shared" si="79"/>
        <v>#DIV/0!</v>
      </c>
      <c r="X88" s="37" t="e">
        <f t="shared" si="79"/>
        <v>#DIV/0!</v>
      </c>
      <c r="Y88" s="37" t="e">
        <f t="shared" si="79"/>
        <v>#DIV/0!</v>
      </c>
      <c r="Z88" s="37" t="e">
        <f t="shared" si="79"/>
        <v>#DIV/0!</v>
      </c>
      <c r="AA88" s="37" t="e">
        <f t="shared" si="79"/>
        <v>#DIV/0!</v>
      </c>
      <c r="AB88" s="37" t="e">
        <f t="shared" si="79"/>
        <v>#DIV/0!</v>
      </c>
      <c r="AC88" s="37" t="e">
        <f t="shared" si="79"/>
        <v>#DIV/0!</v>
      </c>
      <c r="AD88" s="37" t="e">
        <f t="shared" si="79"/>
        <v>#DIV/0!</v>
      </c>
      <c r="AE88" s="37" t="e">
        <f t="shared" si="79"/>
        <v>#DIV/0!</v>
      </c>
      <c r="AF88" s="37" t="e">
        <f t="shared" si="79"/>
        <v>#DIV/0!</v>
      </c>
      <c r="AG88" s="37" t="e">
        <f t="shared" si="79"/>
        <v>#DIV/0!</v>
      </c>
      <c r="AH88" s="37" t="e">
        <f t="shared" si="79"/>
        <v>#DIV/0!</v>
      </c>
      <c r="AI88" s="37" t="e">
        <f t="shared" si="79"/>
        <v>#DIV/0!</v>
      </c>
      <c r="AJ88" s="37">
        <f t="shared" si="79"/>
        <v>11.4</v>
      </c>
      <c r="AK88" s="37">
        <f t="shared" si="79"/>
        <v>52.966666666666661</v>
      </c>
      <c r="AL88" s="37">
        <f t="shared" si="79"/>
        <v>7.0733333333333333</v>
      </c>
      <c r="AM88" s="37">
        <f t="shared" si="79"/>
        <v>0.81899999999999995</v>
      </c>
      <c r="AN88" s="37" t="e">
        <f t="shared" si="79"/>
        <v>#DIV/0!</v>
      </c>
      <c r="AO88" s="37" t="e">
        <f t="shared" si="79"/>
        <v>#DIV/0!</v>
      </c>
      <c r="AP88" s="37">
        <f t="shared" ref="AP88:AR88" si="80">AVERAGE(AP77:AP79)</f>
        <v>123.176</v>
      </c>
      <c r="AQ88" s="37">
        <f t="shared" si="80"/>
        <v>51.463000000000001</v>
      </c>
      <c r="AR88" s="37">
        <f t="shared" si="80"/>
        <v>71.713000000000008</v>
      </c>
      <c r="AS88" s="37">
        <f t="shared" ref="AS88:AV88" si="81">AVERAGE(AS77:AS79)</f>
        <v>0</v>
      </c>
      <c r="AT88" s="37">
        <f t="shared" si="81"/>
        <v>0</v>
      </c>
      <c r="AU88" s="37">
        <f t="shared" si="81"/>
        <v>51.463000000000001</v>
      </c>
      <c r="AV88" s="37">
        <f t="shared" si="81"/>
        <v>71.713000000000008</v>
      </c>
      <c r="AW88" s="37">
        <f>_xlfn.STDEV.P(AP77:AP79)</f>
        <v>28.005742232620793</v>
      </c>
      <c r="AX88" s="37">
        <f>_xlfn.STDEV.P(AQ77:AQ79)</f>
        <v>8.5499098240858356</v>
      </c>
      <c r="AY88" s="37">
        <f>_xlfn.STDEV.P(AR77:AR79)</f>
        <v>19.485289271653112</v>
      </c>
      <c r="AZ88" s="37">
        <f t="shared" ref="AZ88:BC88" si="82">_xlfn.STDEV.P(AS77:AS79)</f>
        <v>0</v>
      </c>
      <c r="BA88" s="37">
        <f t="shared" si="82"/>
        <v>0</v>
      </c>
      <c r="BB88" s="37">
        <f t="shared" si="82"/>
        <v>8.5499098240858356</v>
      </c>
      <c r="BC88" s="37">
        <f t="shared" si="82"/>
        <v>19.485289271653112</v>
      </c>
    </row>
    <row r="89" spans="1:55" x14ac:dyDescent="0.25">
      <c r="A89" s="2">
        <v>45068</v>
      </c>
      <c r="B89">
        <v>1</v>
      </c>
      <c r="C89" t="s">
        <v>36</v>
      </c>
      <c r="D89" s="19"/>
      <c r="E89" s="20"/>
      <c r="F89" s="20"/>
      <c r="G89" s="20"/>
      <c r="H89" s="20"/>
      <c r="I89" s="20"/>
      <c r="J89" s="20"/>
      <c r="K89" s="20"/>
      <c r="L89" s="20"/>
      <c r="M89" s="20"/>
      <c r="N89" s="20"/>
      <c r="O89" s="19"/>
      <c r="P89" s="20"/>
      <c r="Q89" s="20"/>
      <c r="R89" s="20"/>
      <c r="S89" s="20"/>
      <c r="T89" s="20"/>
      <c r="U89" s="20"/>
      <c r="V89" s="20"/>
      <c r="W89" s="20"/>
      <c r="X89" s="20"/>
      <c r="Y89" s="20"/>
      <c r="Z89" s="20"/>
      <c r="AA89" s="20"/>
      <c r="AB89" s="20"/>
      <c r="AC89" s="20"/>
      <c r="AD89" s="20"/>
      <c r="AE89" s="20"/>
      <c r="AF89" s="20"/>
      <c r="AG89" s="20"/>
      <c r="AH89" s="20"/>
      <c r="AI89" s="20"/>
      <c r="AJ89" s="20"/>
      <c r="AK89" s="20"/>
      <c r="AL89" s="20"/>
      <c r="AM89" s="20"/>
      <c r="AN89" s="20"/>
      <c r="AO89" s="20"/>
      <c r="AP89" s="4"/>
      <c r="AQ89" s="4"/>
      <c r="AR89" s="4"/>
      <c r="AS89" s="4">
        <f t="shared" si="43"/>
        <v>0</v>
      </c>
      <c r="AT89" s="4">
        <f t="shared" si="44"/>
        <v>0</v>
      </c>
      <c r="AU89" s="4">
        <f t="shared" si="45"/>
        <v>0</v>
      </c>
      <c r="AV89" s="4">
        <f t="shared" si="46"/>
        <v>0</v>
      </c>
      <c r="AW89" s="4"/>
      <c r="AX89" s="4"/>
      <c r="AY89" s="4"/>
      <c r="AZ89" s="4"/>
      <c r="BA89" s="4"/>
      <c r="BB89" s="4"/>
      <c r="BC89" s="4"/>
    </row>
    <row r="90" spans="1:55" x14ac:dyDescent="0.25">
      <c r="A90" s="2"/>
      <c r="C90" t="s">
        <v>39</v>
      </c>
      <c r="D90" s="10">
        <v>1.1599999999999999</v>
      </c>
      <c r="E90" s="11"/>
      <c r="F90" s="11"/>
      <c r="G90" s="11"/>
      <c r="H90" s="11"/>
      <c r="I90" s="11"/>
      <c r="J90" s="11"/>
      <c r="K90" s="11"/>
      <c r="L90" s="11"/>
      <c r="M90" s="11"/>
      <c r="N90" s="11"/>
      <c r="O90" s="10"/>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4">
        <f t="shared" ref="AP90:AP108" si="83">SUM(D90:AO90)</f>
        <v>1.1599999999999999</v>
      </c>
      <c r="AQ90" s="4">
        <f t="shared" ref="AQ90:AQ108" si="84">SUM(D90:X90)</f>
        <v>1.1599999999999999</v>
      </c>
      <c r="AR90" s="4">
        <f t="shared" ref="AR90:AR108" si="85">SUM(Y90:AO90)</f>
        <v>0</v>
      </c>
      <c r="AS90" s="4">
        <f t="shared" si="43"/>
        <v>1.1599999999999999</v>
      </c>
      <c r="AT90" s="4">
        <f t="shared" si="44"/>
        <v>0</v>
      </c>
      <c r="AU90" s="4">
        <f t="shared" si="45"/>
        <v>0</v>
      </c>
      <c r="AV90" s="4">
        <f t="shared" si="46"/>
        <v>0</v>
      </c>
      <c r="AW90" s="4"/>
      <c r="AX90" s="4"/>
      <c r="AY90" s="4"/>
      <c r="AZ90" s="4"/>
      <c r="BA90" s="4"/>
      <c r="BB90" s="4"/>
      <c r="BC90" s="4"/>
    </row>
    <row r="91" spans="1:55" x14ac:dyDescent="0.25">
      <c r="A91" s="2"/>
      <c r="C91" t="s">
        <v>40</v>
      </c>
      <c r="D91" s="10">
        <v>1.1499999999999999</v>
      </c>
      <c r="E91" s="11"/>
      <c r="F91" s="11"/>
      <c r="G91" s="11"/>
      <c r="H91" s="11"/>
      <c r="I91" s="11"/>
      <c r="J91" s="11"/>
      <c r="K91" s="11"/>
      <c r="L91" s="11"/>
      <c r="M91" s="11"/>
      <c r="N91" s="11"/>
      <c r="O91" s="10"/>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1"/>
      <c r="AO91" s="11"/>
      <c r="AP91" s="4">
        <f t="shared" si="83"/>
        <v>1.1499999999999999</v>
      </c>
      <c r="AQ91" s="4">
        <f t="shared" si="84"/>
        <v>1.1499999999999999</v>
      </c>
      <c r="AR91" s="4">
        <f t="shared" si="85"/>
        <v>0</v>
      </c>
      <c r="AS91" s="4">
        <f t="shared" si="43"/>
        <v>1.1499999999999999</v>
      </c>
      <c r="AT91" s="4">
        <f t="shared" si="44"/>
        <v>0</v>
      </c>
      <c r="AU91" s="4">
        <f t="shared" si="45"/>
        <v>0</v>
      </c>
      <c r="AV91" s="4">
        <f t="shared" si="46"/>
        <v>0</v>
      </c>
      <c r="AW91" s="4"/>
      <c r="AX91" s="4"/>
      <c r="AY91" s="4"/>
      <c r="AZ91" s="4"/>
      <c r="BA91" s="4"/>
      <c r="BB91" s="4"/>
      <c r="BC91" s="4"/>
    </row>
    <row r="92" spans="1:55" x14ac:dyDescent="0.25">
      <c r="A92" s="2"/>
      <c r="C92" t="s">
        <v>41</v>
      </c>
      <c r="D92" s="10">
        <v>3.24</v>
      </c>
      <c r="E92" s="11"/>
      <c r="F92" s="11"/>
      <c r="G92" s="11"/>
      <c r="H92" s="11"/>
      <c r="I92" s="11"/>
      <c r="J92" s="11"/>
      <c r="K92" s="11"/>
      <c r="L92" s="11"/>
      <c r="M92" s="11"/>
      <c r="N92" s="11"/>
      <c r="O92" s="10"/>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1"/>
      <c r="AO92" s="11"/>
      <c r="AP92" s="4">
        <f t="shared" si="83"/>
        <v>3.24</v>
      </c>
      <c r="AQ92" s="4">
        <f t="shared" si="84"/>
        <v>3.24</v>
      </c>
      <c r="AR92" s="4">
        <f t="shared" si="85"/>
        <v>0</v>
      </c>
      <c r="AS92" s="4">
        <f t="shared" si="43"/>
        <v>3.24</v>
      </c>
      <c r="AT92" s="4">
        <f t="shared" si="44"/>
        <v>0</v>
      </c>
      <c r="AU92" s="4">
        <f t="shared" si="45"/>
        <v>0</v>
      </c>
      <c r="AV92" s="4">
        <f t="shared" si="46"/>
        <v>0</v>
      </c>
      <c r="AW92" s="4"/>
      <c r="AX92" s="4"/>
      <c r="AY92" s="4"/>
      <c r="AZ92" s="4"/>
      <c r="BA92" s="4"/>
      <c r="BB92" s="4"/>
      <c r="BC92" s="4"/>
    </row>
    <row r="93" spans="1:55" x14ac:dyDescent="0.25">
      <c r="A93" s="2">
        <v>45072</v>
      </c>
      <c r="B93">
        <v>5</v>
      </c>
      <c r="C93" t="s">
        <v>36</v>
      </c>
      <c r="D93" s="19"/>
      <c r="E93" s="20"/>
      <c r="F93" s="20"/>
      <c r="G93" s="20"/>
      <c r="H93" s="20"/>
      <c r="I93" s="20"/>
      <c r="J93" s="20"/>
      <c r="K93" s="20"/>
      <c r="L93" s="20"/>
      <c r="M93" s="20"/>
      <c r="N93" s="20"/>
      <c r="O93" s="19"/>
      <c r="P93" s="20"/>
      <c r="Q93" s="20"/>
      <c r="R93" s="20"/>
      <c r="S93" s="20"/>
      <c r="T93" s="20"/>
      <c r="U93" s="20"/>
      <c r="V93" s="20"/>
      <c r="W93" s="20"/>
      <c r="X93" s="20"/>
      <c r="Y93" s="20"/>
      <c r="Z93" s="20"/>
      <c r="AA93" s="20"/>
      <c r="AB93" s="20"/>
      <c r="AC93" s="20"/>
      <c r="AD93" s="20"/>
      <c r="AE93" s="20"/>
      <c r="AF93" s="20"/>
      <c r="AG93" s="20"/>
      <c r="AH93" s="20"/>
      <c r="AI93" s="20"/>
      <c r="AJ93" s="20"/>
      <c r="AK93" s="20"/>
      <c r="AL93" s="20"/>
      <c r="AM93" s="20"/>
      <c r="AN93" s="20"/>
      <c r="AO93" s="20"/>
      <c r="AP93" s="4"/>
      <c r="AQ93" s="4"/>
      <c r="AR93" s="4"/>
      <c r="AS93" s="4">
        <f t="shared" si="43"/>
        <v>0</v>
      </c>
      <c r="AT93" s="4">
        <f t="shared" si="44"/>
        <v>0</v>
      </c>
      <c r="AU93" s="4">
        <f t="shared" si="45"/>
        <v>0</v>
      </c>
      <c r="AV93" s="4">
        <f t="shared" si="46"/>
        <v>0</v>
      </c>
      <c r="AW93" s="4"/>
      <c r="AX93" s="4"/>
      <c r="AY93" s="4"/>
      <c r="AZ93" s="4"/>
      <c r="BA93" s="4"/>
      <c r="BB93" s="4"/>
      <c r="BC93" s="4"/>
    </row>
    <row r="94" spans="1:55" x14ac:dyDescent="0.25">
      <c r="C94" t="s">
        <v>39</v>
      </c>
      <c r="D94" s="10">
        <v>28.45</v>
      </c>
      <c r="E94" s="11">
        <v>6.66</v>
      </c>
      <c r="F94" s="11">
        <v>1.9699999999999998</v>
      </c>
      <c r="G94" s="11">
        <v>0.627</v>
      </c>
      <c r="H94" s="11">
        <v>1.35</v>
      </c>
      <c r="I94" s="11"/>
      <c r="J94" s="11"/>
      <c r="K94" s="11"/>
      <c r="L94" s="11"/>
      <c r="M94" s="11"/>
      <c r="N94" s="11"/>
      <c r="O94" s="10"/>
      <c r="P94" s="11"/>
      <c r="Q94" s="11"/>
      <c r="R94" s="11"/>
      <c r="S94" s="11"/>
      <c r="T94" s="11"/>
      <c r="U94" s="11"/>
      <c r="V94" s="11"/>
      <c r="W94" s="11"/>
      <c r="X94" s="11"/>
      <c r="Y94" s="11"/>
      <c r="Z94" s="11"/>
      <c r="AA94" s="11">
        <v>2.585</v>
      </c>
      <c r="AB94" s="11"/>
      <c r="AC94" s="11"/>
      <c r="AD94" s="11"/>
      <c r="AE94" s="11"/>
      <c r="AF94" s="11"/>
      <c r="AG94" s="11"/>
      <c r="AH94" s="11"/>
      <c r="AI94" s="11"/>
      <c r="AJ94" s="11"/>
      <c r="AK94" s="11"/>
      <c r="AL94" s="11"/>
      <c r="AM94" s="11"/>
      <c r="AN94" s="11"/>
      <c r="AO94" s="11"/>
      <c r="AP94" s="4">
        <f t="shared" si="83"/>
        <v>41.642000000000003</v>
      </c>
      <c r="AQ94" s="4">
        <f t="shared" si="84"/>
        <v>39.057000000000002</v>
      </c>
      <c r="AR94" s="4">
        <f t="shared" si="85"/>
        <v>2.585</v>
      </c>
      <c r="AS94" s="4">
        <f t="shared" si="43"/>
        <v>39.057000000000002</v>
      </c>
      <c r="AT94" s="4">
        <f t="shared" si="44"/>
        <v>2.585</v>
      </c>
      <c r="AU94" s="4">
        <f t="shared" si="45"/>
        <v>0</v>
      </c>
      <c r="AV94" s="4">
        <f t="shared" si="46"/>
        <v>0</v>
      </c>
      <c r="AW94" s="4"/>
      <c r="AX94" s="4"/>
      <c r="AY94" s="4"/>
      <c r="AZ94" s="4"/>
      <c r="BA94" s="4"/>
      <c r="BB94" s="4"/>
      <c r="BC94" s="4"/>
    </row>
    <row r="95" spans="1:55" x14ac:dyDescent="0.25">
      <c r="C95" t="s">
        <v>40</v>
      </c>
      <c r="D95" s="10">
        <v>38.4</v>
      </c>
      <c r="E95" s="11">
        <v>8.1</v>
      </c>
      <c r="F95" s="11">
        <v>1.58</v>
      </c>
      <c r="G95" s="11">
        <v>0.54900000000000004</v>
      </c>
      <c r="H95" s="11">
        <v>9.65</v>
      </c>
      <c r="I95" s="11"/>
      <c r="J95" s="11"/>
      <c r="K95" s="11"/>
      <c r="L95" s="11"/>
      <c r="M95" s="11"/>
      <c r="N95" s="11"/>
      <c r="O95" s="10"/>
      <c r="P95" s="11"/>
      <c r="Q95" s="11"/>
      <c r="R95" s="11"/>
      <c r="S95" s="11"/>
      <c r="T95" s="11"/>
      <c r="U95" s="11"/>
      <c r="V95" s="11"/>
      <c r="W95" s="11"/>
      <c r="X95" s="11"/>
      <c r="Y95" s="11"/>
      <c r="Z95" s="11"/>
      <c r="AA95" s="11">
        <v>2.2999999999999998</v>
      </c>
      <c r="AB95" s="11"/>
      <c r="AC95" s="11"/>
      <c r="AD95" s="11"/>
      <c r="AE95" s="11"/>
      <c r="AF95" s="11"/>
      <c r="AG95" s="11"/>
      <c r="AH95" s="11"/>
      <c r="AI95" s="11"/>
      <c r="AJ95" s="11"/>
      <c r="AK95" s="11"/>
      <c r="AL95" s="11"/>
      <c r="AM95" s="11"/>
      <c r="AN95" s="11"/>
      <c r="AO95" s="11"/>
      <c r="AP95" s="4">
        <f t="shared" si="83"/>
        <v>60.578999999999994</v>
      </c>
      <c r="AQ95" s="4">
        <f t="shared" si="84"/>
        <v>58.278999999999996</v>
      </c>
      <c r="AR95" s="4">
        <f t="shared" si="85"/>
        <v>2.2999999999999998</v>
      </c>
      <c r="AS95" s="4">
        <f t="shared" si="43"/>
        <v>58.278999999999996</v>
      </c>
      <c r="AT95" s="4">
        <f t="shared" si="44"/>
        <v>2.2999999999999998</v>
      </c>
      <c r="AU95" s="4">
        <f t="shared" si="45"/>
        <v>0</v>
      </c>
      <c r="AV95" s="4">
        <f t="shared" si="46"/>
        <v>0</v>
      </c>
      <c r="AW95" s="4"/>
      <c r="AX95" s="4"/>
      <c r="AY95" s="4"/>
      <c r="AZ95" s="4"/>
      <c r="BA95" s="4"/>
      <c r="BB95" s="4"/>
      <c r="BC95" s="4"/>
    </row>
    <row r="96" spans="1:55" x14ac:dyDescent="0.25">
      <c r="C96" t="s">
        <v>41</v>
      </c>
      <c r="D96" s="10">
        <v>9.65</v>
      </c>
      <c r="E96" s="11">
        <v>2.25</v>
      </c>
      <c r="F96" s="11">
        <v>4.7650000000000006</v>
      </c>
      <c r="G96" s="11">
        <v>1.49</v>
      </c>
      <c r="H96" s="11">
        <v>28.4</v>
      </c>
      <c r="I96" s="11"/>
      <c r="J96" s="11"/>
      <c r="K96" s="11"/>
      <c r="L96" s="11"/>
      <c r="M96" s="11"/>
      <c r="N96" s="11"/>
      <c r="O96" s="10"/>
      <c r="P96" s="11"/>
      <c r="Q96" s="11"/>
      <c r="R96" s="11"/>
      <c r="S96" s="11"/>
      <c r="T96" s="11"/>
      <c r="U96" s="11"/>
      <c r="V96" s="11"/>
      <c r="W96" s="11"/>
      <c r="X96" s="11"/>
      <c r="Y96" s="11"/>
      <c r="Z96" s="11"/>
      <c r="AA96" s="11">
        <v>6.43</v>
      </c>
      <c r="AB96" s="11"/>
      <c r="AC96" s="11"/>
      <c r="AD96" s="11"/>
      <c r="AE96" s="11"/>
      <c r="AF96" s="11"/>
      <c r="AG96" s="11"/>
      <c r="AH96" s="11"/>
      <c r="AI96" s="11"/>
      <c r="AJ96" s="11"/>
      <c r="AK96" s="11"/>
      <c r="AL96" s="11"/>
      <c r="AM96" s="11"/>
      <c r="AN96" s="11"/>
      <c r="AO96" s="11"/>
      <c r="AP96" s="4">
        <f t="shared" si="83"/>
        <v>52.984999999999992</v>
      </c>
      <c r="AQ96" s="4">
        <f t="shared" si="84"/>
        <v>46.554999999999993</v>
      </c>
      <c r="AR96" s="4">
        <f t="shared" si="85"/>
        <v>6.43</v>
      </c>
      <c r="AS96" s="4">
        <f t="shared" si="43"/>
        <v>46.554999999999993</v>
      </c>
      <c r="AT96" s="4">
        <f t="shared" si="44"/>
        <v>6.43</v>
      </c>
      <c r="AU96" s="4">
        <f t="shared" si="45"/>
        <v>0</v>
      </c>
      <c r="AV96" s="4">
        <f t="shared" si="46"/>
        <v>0</v>
      </c>
      <c r="AW96" s="4"/>
      <c r="AX96" s="4"/>
      <c r="AY96" s="4"/>
      <c r="AZ96" s="4"/>
      <c r="BA96" s="4"/>
      <c r="BB96" s="4"/>
      <c r="BC96" s="4"/>
    </row>
    <row r="97" spans="1:55" x14ac:dyDescent="0.25">
      <c r="A97" s="2">
        <v>45105</v>
      </c>
      <c r="B97">
        <v>17</v>
      </c>
      <c r="C97" t="s">
        <v>36</v>
      </c>
      <c r="D97" s="19"/>
      <c r="E97" s="20"/>
      <c r="F97" s="20"/>
      <c r="G97" s="20"/>
      <c r="H97" s="20"/>
      <c r="I97" s="20"/>
      <c r="J97" s="20"/>
      <c r="K97" s="20"/>
      <c r="L97" s="20"/>
      <c r="M97" s="20"/>
      <c r="N97" s="20"/>
      <c r="O97" s="19"/>
      <c r="P97" s="20"/>
      <c r="Q97" s="20"/>
      <c r="R97" s="20"/>
      <c r="S97" s="20"/>
      <c r="T97" s="20"/>
      <c r="U97" s="20"/>
      <c r="V97" s="20"/>
      <c r="W97" s="20"/>
      <c r="X97" s="20"/>
      <c r="Y97" s="20"/>
      <c r="Z97" s="20"/>
      <c r="AA97" s="20"/>
      <c r="AB97" s="20"/>
      <c r="AC97" s="20"/>
      <c r="AD97" s="20"/>
      <c r="AE97" s="20"/>
      <c r="AF97" s="20"/>
      <c r="AG97" s="20"/>
      <c r="AH97" s="20"/>
      <c r="AI97" s="20"/>
      <c r="AJ97" s="20"/>
      <c r="AK97" s="20"/>
      <c r="AL97" s="20"/>
      <c r="AM97" s="20"/>
      <c r="AN97" s="20"/>
      <c r="AO97" s="20"/>
      <c r="AP97" s="4"/>
      <c r="AQ97" s="4"/>
      <c r="AR97" s="4"/>
      <c r="AS97" s="4">
        <f t="shared" si="43"/>
        <v>0</v>
      </c>
      <c r="AT97" s="4">
        <f t="shared" si="44"/>
        <v>0</v>
      </c>
      <c r="AU97" s="4">
        <f t="shared" si="45"/>
        <v>0</v>
      </c>
      <c r="AV97" s="4">
        <f t="shared" si="46"/>
        <v>0</v>
      </c>
      <c r="AW97" s="4"/>
      <c r="AX97" s="4"/>
      <c r="AY97" s="4"/>
      <c r="AZ97" s="4"/>
      <c r="BA97" s="4"/>
      <c r="BB97" s="4"/>
      <c r="BC97" s="4"/>
    </row>
    <row r="98" spans="1:55" x14ac:dyDescent="0.25">
      <c r="C98" t="s">
        <v>39</v>
      </c>
      <c r="D98" s="10">
        <v>95.7</v>
      </c>
      <c r="E98" s="11">
        <v>18.899999999999999</v>
      </c>
      <c r="F98" s="11">
        <v>3.7600000000000002</v>
      </c>
      <c r="G98" s="11">
        <v>1.125</v>
      </c>
      <c r="H98" s="11">
        <v>24.4</v>
      </c>
      <c r="I98" s="11"/>
      <c r="J98" s="11"/>
      <c r="K98" s="11"/>
      <c r="L98" s="11"/>
      <c r="M98" s="11"/>
      <c r="N98" s="11"/>
      <c r="O98" s="10"/>
      <c r="P98" s="11"/>
      <c r="Q98" s="11">
        <v>2.1849999999999996</v>
      </c>
      <c r="R98" s="11"/>
      <c r="S98" s="11">
        <v>3.3250000000000002</v>
      </c>
      <c r="T98" s="11">
        <v>0.59199999999999997</v>
      </c>
      <c r="U98" s="11"/>
      <c r="V98" s="11"/>
      <c r="W98" s="11"/>
      <c r="X98" s="11"/>
      <c r="Y98" s="11"/>
      <c r="Z98" s="11"/>
      <c r="AA98" s="11">
        <v>4.8550000000000004</v>
      </c>
      <c r="AB98" s="11"/>
      <c r="AC98" s="11"/>
      <c r="AD98" s="11"/>
      <c r="AE98" s="11"/>
      <c r="AF98" s="11"/>
      <c r="AG98" s="11"/>
      <c r="AH98" s="11"/>
      <c r="AI98" s="11"/>
      <c r="AJ98" s="11">
        <v>1.51</v>
      </c>
      <c r="AK98" s="11">
        <v>1.7849999999999999</v>
      </c>
      <c r="AL98" s="11"/>
      <c r="AM98" s="11"/>
      <c r="AN98" s="11"/>
      <c r="AO98" s="11"/>
      <c r="AP98" s="4">
        <f t="shared" si="83"/>
        <v>158.13699999999997</v>
      </c>
      <c r="AQ98" s="4">
        <f t="shared" si="84"/>
        <v>149.98699999999999</v>
      </c>
      <c r="AR98" s="4">
        <f t="shared" si="85"/>
        <v>8.15</v>
      </c>
      <c r="AS98" s="4">
        <f t="shared" si="43"/>
        <v>143.88499999999999</v>
      </c>
      <c r="AT98" s="4">
        <f t="shared" si="44"/>
        <v>4.8550000000000004</v>
      </c>
      <c r="AU98" s="4">
        <f t="shared" si="45"/>
        <v>6.1019999999999994</v>
      </c>
      <c r="AV98" s="4">
        <f t="shared" si="46"/>
        <v>3.2949999999999999</v>
      </c>
      <c r="AW98" s="4"/>
      <c r="AX98" s="4"/>
      <c r="AY98" s="4"/>
      <c r="AZ98" s="4"/>
      <c r="BA98" s="4"/>
      <c r="BB98" s="4"/>
      <c r="BC98" s="4"/>
    </row>
    <row r="99" spans="1:55" x14ac:dyDescent="0.25">
      <c r="C99" t="s">
        <v>40</v>
      </c>
      <c r="D99" s="10">
        <v>5.7</v>
      </c>
      <c r="E99" s="11">
        <v>26.2</v>
      </c>
      <c r="F99" s="11">
        <v>4.76</v>
      </c>
      <c r="G99" s="11">
        <v>1.1000000000000001</v>
      </c>
      <c r="H99" s="11">
        <v>16.399999999999999</v>
      </c>
      <c r="I99" s="11"/>
      <c r="J99" s="11"/>
      <c r="K99" s="11"/>
      <c r="L99" s="11"/>
      <c r="M99" s="11"/>
      <c r="N99" s="11"/>
      <c r="O99" s="10"/>
      <c r="P99" s="11"/>
      <c r="Q99" s="11">
        <v>0.82199999999999995</v>
      </c>
      <c r="R99" s="11"/>
      <c r="S99" s="11">
        <v>1.91</v>
      </c>
      <c r="T99" s="11"/>
      <c r="U99" s="11"/>
      <c r="V99" s="11"/>
      <c r="W99" s="11"/>
      <c r="X99" s="11"/>
      <c r="Y99" s="11"/>
      <c r="Z99" s="11"/>
      <c r="AA99" s="11">
        <v>4.63</v>
      </c>
      <c r="AB99" s="11"/>
      <c r="AC99" s="11"/>
      <c r="AD99" s="11"/>
      <c r="AE99" s="11"/>
      <c r="AF99" s="11"/>
      <c r="AG99" s="11"/>
      <c r="AH99" s="11"/>
      <c r="AI99" s="11"/>
      <c r="AJ99" s="11">
        <v>1.8</v>
      </c>
      <c r="AK99" s="11">
        <v>1.1000000000000001</v>
      </c>
      <c r="AL99" s="11"/>
      <c r="AM99" s="11"/>
      <c r="AN99" s="11"/>
      <c r="AO99" s="11"/>
      <c r="AP99" s="4">
        <f t="shared" si="83"/>
        <v>64.421999999999997</v>
      </c>
      <c r="AQ99" s="4">
        <f t="shared" si="84"/>
        <v>56.891999999999996</v>
      </c>
      <c r="AR99" s="4">
        <f t="shared" si="85"/>
        <v>7.5299999999999994</v>
      </c>
      <c r="AS99" s="4">
        <f t="shared" si="43"/>
        <v>54.16</v>
      </c>
      <c r="AT99" s="4">
        <f t="shared" si="44"/>
        <v>4.63</v>
      </c>
      <c r="AU99" s="4">
        <f t="shared" si="45"/>
        <v>2.7319999999999998</v>
      </c>
      <c r="AV99" s="4">
        <f t="shared" si="46"/>
        <v>2.9000000000000004</v>
      </c>
      <c r="AW99" s="4"/>
      <c r="AX99" s="4"/>
      <c r="AY99" s="4"/>
      <c r="AZ99" s="4"/>
      <c r="BA99" s="4"/>
      <c r="BB99" s="4"/>
      <c r="BC99" s="4"/>
    </row>
    <row r="100" spans="1:55" x14ac:dyDescent="0.25">
      <c r="C100" t="s">
        <v>41</v>
      </c>
      <c r="D100" s="10">
        <v>94.8</v>
      </c>
      <c r="E100" s="11">
        <v>28.200000000000003</v>
      </c>
      <c r="F100" s="11">
        <v>6.33</v>
      </c>
      <c r="G100" s="11">
        <v>1.46</v>
      </c>
      <c r="H100" s="11">
        <v>2</v>
      </c>
      <c r="I100" s="11"/>
      <c r="J100" s="11"/>
      <c r="K100" s="11"/>
      <c r="L100" s="11"/>
      <c r="M100" s="11"/>
      <c r="N100" s="11"/>
      <c r="O100" s="10">
        <v>0.62</v>
      </c>
      <c r="P100" s="11"/>
      <c r="Q100" s="11">
        <v>1.575</v>
      </c>
      <c r="R100" s="11"/>
      <c r="S100" s="11">
        <v>1.1764999999999999</v>
      </c>
      <c r="T100" s="11"/>
      <c r="U100" s="11"/>
      <c r="V100" s="11"/>
      <c r="W100" s="11"/>
      <c r="X100" s="11"/>
      <c r="Y100" s="11">
        <v>0.61599999999999999</v>
      </c>
      <c r="Z100" s="11"/>
      <c r="AA100" s="11">
        <v>5.9249999999999998</v>
      </c>
      <c r="AB100" s="11"/>
      <c r="AC100" s="11"/>
      <c r="AD100" s="11"/>
      <c r="AE100" s="11"/>
      <c r="AF100" s="11"/>
      <c r="AG100" s="11"/>
      <c r="AH100" s="11"/>
      <c r="AI100" s="11"/>
      <c r="AJ100" s="11">
        <v>0.89700000000000002</v>
      </c>
      <c r="AK100" s="11"/>
      <c r="AL100" s="11"/>
      <c r="AM100" s="11"/>
      <c r="AN100" s="11"/>
      <c r="AO100" s="11"/>
      <c r="AP100" s="4">
        <f t="shared" si="83"/>
        <v>143.59950000000003</v>
      </c>
      <c r="AQ100" s="4">
        <f t="shared" si="84"/>
        <v>136.16150000000002</v>
      </c>
      <c r="AR100" s="4">
        <f t="shared" si="85"/>
        <v>7.4379999999999997</v>
      </c>
      <c r="AS100" s="4">
        <f t="shared" si="43"/>
        <v>132.79000000000002</v>
      </c>
      <c r="AT100" s="4">
        <f t="shared" si="44"/>
        <v>6.5409999999999995</v>
      </c>
      <c r="AU100" s="4">
        <f t="shared" si="45"/>
        <v>3.3714999999999997</v>
      </c>
      <c r="AV100" s="4">
        <f t="shared" si="46"/>
        <v>0.89700000000000002</v>
      </c>
      <c r="AW100" s="4"/>
      <c r="AX100" s="4"/>
      <c r="AY100" s="4"/>
      <c r="AZ100" s="4"/>
      <c r="BA100" s="4"/>
      <c r="BB100" s="4"/>
      <c r="BC100" s="4"/>
    </row>
    <row r="101" spans="1:55" x14ac:dyDescent="0.25">
      <c r="A101" s="2">
        <v>45124</v>
      </c>
      <c r="B101">
        <v>57</v>
      </c>
      <c r="C101" t="s">
        <v>36</v>
      </c>
      <c r="D101" s="19"/>
      <c r="E101" s="20"/>
      <c r="F101" s="20"/>
      <c r="G101" s="20"/>
      <c r="H101" s="20"/>
      <c r="I101" s="20"/>
      <c r="J101" s="20"/>
      <c r="K101" s="20"/>
      <c r="L101" s="20"/>
      <c r="M101" s="20"/>
      <c r="N101" s="20"/>
      <c r="O101" s="19"/>
      <c r="P101" s="20"/>
      <c r="Q101" s="20"/>
      <c r="R101" s="20"/>
      <c r="S101" s="20"/>
      <c r="T101" s="20"/>
      <c r="U101" s="20"/>
      <c r="V101" s="20"/>
      <c r="W101" s="20"/>
      <c r="X101" s="20"/>
      <c r="Y101" s="20"/>
      <c r="Z101" s="20"/>
      <c r="AA101" s="20"/>
      <c r="AB101" s="20"/>
      <c r="AC101" s="20"/>
      <c r="AD101" s="20"/>
      <c r="AE101" s="20"/>
      <c r="AF101" s="20"/>
      <c r="AG101" s="20"/>
      <c r="AH101" s="20"/>
      <c r="AI101" s="20"/>
      <c r="AJ101" s="20"/>
      <c r="AK101" s="20"/>
      <c r="AL101" s="20"/>
      <c r="AM101" s="20"/>
      <c r="AN101" s="20"/>
      <c r="AO101" s="20"/>
      <c r="AP101" s="4"/>
      <c r="AQ101" s="4"/>
      <c r="AR101" s="4"/>
      <c r="AS101" s="4">
        <f t="shared" si="43"/>
        <v>0</v>
      </c>
      <c r="AT101" s="4">
        <f t="shared" si="44"/>
        <v>0</v>
      </c>
      <c r="AU101" s="4">
        <f t="shared" si="45"/>
        <v>0</v>
      </c>
      <c r="AV101" s="4">
        <f t="shared" si="46"/>
        <v>0</v>
      </c>
      <c r="AW101" s="4"/>
      <c r="AX101" s="4"/>
      <c r="AY101" s="4"/>
      <c r="AZ101" s="4"/>
      <c r="BA101" s="4"/>
      <c r="BB101" s="4"/>
      <c r="BC101" s="4"/>
    </row>
    <row r="102" spans="1:55" x14ac:dyDescent="0.25">
      <c r="C102" t="s">
        <v>39</v>
      </c>
      <c r="D102" s="10">
        <v>58.65</v>
      </c>
      <c r="E102" s="11">
        <v>15.6</v>
      </c>
      <c r="F102" s="11">
        <v>3.7750000000000004</v>
      </c>
      <c r="G102" s="11">
        <v>1.1100000000000001</v>
      </c>
      <c r="H102" s="11">
        <v>15.3</v>
      </c>
      <c r="I102" s="11"/>
      <c r="J102" s="11"/>
      <c r="K102" s="11"/>
      <c r="L102" s="11"/>
      <c r="M102" s="11"/>
      <c r="N102" s="11"/>
      <c r="O102" s="10"/>
      <c r="P102" s="11"/>
      <c r="Q102" s="11">
        <v>0.85</v>
      </c>
      <c r="R102" s="11"/>
      <c r="S102" s="11">
        <v>2.4450000000000003</v>
      </c>
      <c r="T102" s="11"/>
      <c r="U102" s="11"/>
      <c r="V102" s="11"/>
      <c r="W102" s="11"/>
      <c r="X102" s="11"/>
      <c r="Y102" s="11"/>
      <c r="Z102" s="11"/>
      <c r="AA102" s="11">
        <v>3.4299999999999997</v>
      </c>
      <c r="AB102" s="11"/>
      <c r="AC102" s="11"/>
      <c r="AD102" s="11"/>
      <c r="AE102" s="11"/>
      <c r="AF102" s="11"/>
      <c r="AG102" s="11"/>
      <c r="AH102" s="11"/>
      <c r="AI102" s="11"/>
      <c r="AJ102" s="11">
        <v>1.1950000000000001</v>
      </c>
      <c r="AK102" s="11">
        <v>0.78900000000000003</v>
      </c>
      <c r="AL102" s="11"/>
      <c r="AM102" s="11"/>
      <c r="AN102" s="11"/>
      <c r="AO102" s="11"/>
      <c r="AP102" s="4">
        <f t="shared" si="83"/>
        <v>103.14399999999999</v>
      </c>
      <c r="AQ102" s="4">
        <f t="shared" si="84"/>
        <v>97.72999999999999</v>
      </c>
      <c r="AR102" s="4">
        <f t="shared" si="85"/>
        <v>5.4139999999999997</v>
      </c>
      <c r="AS102" s="4">
        <f t="shared" si="43"/>
        <v>94.435000000000002</v>
      </c>
      <c r="AT102" s="4">
        <f t="shared" si="44"/>
        <v>3.4299999999999997</v>
      </c>
      <c r="AU102" s="4">
        <f t="shared" si="45"/>
        <v>3.2950000000000004</v>
      </c>
      <c r="AV102" s="4">
        <f t="shared" si="46"/>
        <v>1.984</v>
      </c>
      <c r="AW102" s="4"/>
      <c r="AX102" s="4"/>
      <c r="AY102" s="4"/>
      <c r="AZ102" s="4"/>
      <c r="BA102" s="4"/>
      <c r="BB102" s="4"/>
      <c r="BC102" s="4"/>
    </row>
    <row r="103" spans="1:55" x14ac:dyDescent="0.25">
      <c r="C103" t="s">
        <v>40</v>
      </c>
      <c r="D103" s="10">
        <v>14.4</v>
      </c>
      <c r="E103" s="11">
        <v>3.69</v>
      </c>
      <c r="F103" s="11">
        <v>0.78600000000000003</v>
      </c>
      <c r="G103" s="11"/>
      <c r="H103" s="11">
        <v>3.71</v>
      </c>
      <c r="I103" s="11"/>
      <c r="J103" s="11"/>
      <c r="K103" s="11"/>
      <c r="L103" s="11"/>
      <c r="M103" s="11"/>
      <c r="N103" s="11"/>
      <c r="O103" s="10"/>
      <c r="P103" s="11"/>
      <c r="Q103" s="11"/>
      <c r="R103" s="11"/>
      <c r="S103" s="11">
        <v>0.78</v>
      </c>
      <c r="T103" s="11"/>
      <c r="U103" s="11"/>
      <c r="V103" s="11"/>
      <c r="W103" s="11"/>
      <c r="X103" s="11"/>
      <c r="Y103" s="11"/>
      <c r="Z103" s="11"/>
      <c r="AA103" s="11">
        <v>0.68600000000000005</v>
      </c>
      <c r="AB103" s="11"/>
      <c r="AC103" s="11"/>
      <c r="AD103" s="11"/>
      <c r="AE103" s="11"/>
      <c r="AF103" s="11"/>
      <c r="AG103" s="11"/>
      <c r="AH103" s="11"/>
      <c r="AI103" s="11"/>
      <c r="AJ103" s="11"/>
      <c r="AK103" s="11"/>
      <c r="AL103" s="11"/>
      <c r="AM103" s="11"/>
      <c r="AN103" s="11"/>
      <c r="AO103" s="11"/>
      <c r="AP103" s="4">
        <f t="shared" si="83"/>
        <v>24.052000000000003</v>
      </c>
      <c r="AQ103" s="4">
        <f t="shared" si="84"/>
        <v>23.366000000000003</v>
      </c>
      <c r="AR103" s="4">
        <f t="shared" si="85"/>
        <v>0.68600000000000005</v>
      </c>
      <c r="AS103" s="4">
        <f t="shared" si="43"/>
        <v>22.586000000000002</v>
      </c>
      <c r="AT103" s="4">
        <f t="shared" si="44"/>
        <v>0.68600000000000005</v>
      </c>
      <c r="AU103" s="4">
        <f t="shared" si="45"/>
        <v>0.78</v>
      </c>
      <c r="AV103" s="4">
        <f t="shared" si="46"/>
        <v>0</v>
      </c>
      <c r="AW103" s="4"/>
      <c r="AX103" s="4"/>
      <c r="AY103" s="4"/>
      <c r="AZ103" s="4"/>
      <c r="BA103" s="4"/>
      <c r="BB103" s="4"/>
      <c r="BC103" s="4"/>
    </row>
    <row r="104" spans="1:55" x14ac:dyDescent="0.25">
      <c r="C104" t="s">
        <v>41</v>
      </c>
      <c r="D104" s="10">
        <v>5.25</v>
      </c>
      <c r="E104" s="11">
        <v>0.97850000000000004</v>
      </c>
      <c r="F104" s="11"/>
      <c r="G104" s="11"/>
      <c r="H104" s="11">
        <v>2.4550000000000001</v>
      </c>
      <c r="I104" s="11"/>
      <c r="J104" s="11"/>
      <c r="K104" s="11"/>
      <c r="L104" s="11"/>
      <c r="M104" s="11"/>
      <c r="N104" s="11"/>
      <c r="O104" s="10"/>
      <c r="P104" s="11"/>
      <c r="Q104" s="11"/>
      <c r="R104" s="11"/>
      <c r="S104" s="11">
        <v>0.94450000000000001</v>
      </c>
      <c r="T104" s="11"/>
      <c r="U104" s="11"/>
      <c r="V104" s="11"/>
      <c r="W104" s="11"/>
      <c r="X104" s="11"/>
      <c r="Y104" s="11"/>
      <c r="Z104" s="11"/>
      <c r="AA104" s="11">
        <v>0.53900000000000003</v>
      </c>
      <c r="AB104" s="11"/>
      <c r="AC104" s="11"/>
      <c r="AD104" s="11"/>
      <c r="AE104" s="11"/>
      <c r="AF104" s="11"/>
      <c r="AG104" s="11"/>
      <c r="AH104" s="11"/>
      <c r="AI104" s="11"/>
      <c r="AJ104" s="11">
        <v>0.58599999999999997</v>
      </c>
      <c r="AK104" s="11"/>
      <c r="AL104" s="11"/>
      <c r="AM104" s="11"/>
      <c r="AN104" s="11"/>
      <c r="AO104" s="11"/>
      <c r="AP104" s="4">
        <f t="shared" si="83"/>
        <v>10.753</v>
      </c>
      <c r="AQ104" s="4">
        <f t="shared" si="84"/>
        <v>9.6280000000000001</v>
      </c>
      <c r="AR104" s="4">
        <f t="shared" si="85"/>
        <v>1.125</v>
      </c>
      <c r="AS104" s="4">
        <f t="shared" si="43"/>
        <v>8.6835000000000004</v>
      </c>
      <c r="AT104" s="4">
        <f t="shared" si="44"/>
        <v>0.53900000000000003</v>
      </c>
      <c r="AU104" s="4">
        <f t="shared" si="45"/>
        <v>0.94450000000000001</v>
      </c>
      <c r="AV104" s="4">
        <f t="shared" si="46"/>
        <v>0.58599999999999997</v>
      </c>
      <c r="AW104" s="4"/>
      <c r="AX104" s="4"/>
      <c r="AY104" s="4"/>
      <c r="AZ104" s="4"/>
      <c r="BA104" s="4"/>
      <c r="BB104" s="4"/>
      <c r="BC104" s="4"/>
    </row>
    <row r="105" spans="1:55" x14ac:dyDescent="0.25">
      <c r="A105" s="2">
        <v>45128</v>
      </c>
      <c r="B105">
        <v>61</v>
      </c>
      <c r="C105" t="s">
        <v>36</v>
      </c>
      <c r="D105" s="19"/>
      <c r="E105" s="20"/>
      <c r="F105" s="20"/>
      <c r="G105" s="20"/>
      <c r="H105" s="20"/>
      <c r="I105" s="20"/>
      <c r="J105" s="20"/>
      <c r="K105" s="20"/>
      <c r="L105" s="20"/>
      <c r="M105" s="20"/>
      <c r="N105" s="20"/>
      <c r="O105" s="19"/>
      <c r="P105" s="20"/>
      <c r="Q105" s="20"/>
      <c r="R105" s="20"/>
      <c r="S105" s="20"/>
      <c r="T105" s="20"/>
      <c r="U105" s="20"/>
      <c r="V105" s="20"/>
      <c r="W105" s="20"/>
      <c r="X105" s="20"/>
      <c r="Y105" s="20"/>
      <c r="Z105" s="20"/>
      <c r="AA105" s="20"/>
      <c r="AB105" s="20"/>
      <c r="AC105" s="20"/>
      <c r="AD105" s="20"/>
      <c r="AE105" s="20"/>
      <c r="AF105" s="20"/>
      <c r="AG105" s="20"/>
      <c r="AH105" s="20"/>
      <c r="AI105" s="20"/>
      <c r="AJ105" s="20"/>
      <c r="AK105" s="20"/>
      <c r="AL105" s="20"/>
      <c r="AM105" s="20"/>
      <c r="AN105" s="20"/>
      <c r="AO105" s="20"/>
      <c r="AP105" s="4"/>
      <c r="AQ105" s="4"/>
      <c r="AR105" s="4"/>
      <c r="AS105" s="4">
        <f t="shared" si="43"/>
        <v>0</v>
      </c>
      <c r="AT105" s="4">
        <f t="shared" si="44"/>
        <v>0</v>
      </c>
      <c r="AU105" s="4">
        <f t="shared" si="45"/>
        <v>0</v>
      </c>
      <c r="AV105" s="4">
        <f t="shared" si="46"/>
        <v>0</v>
      </c>
      <c r="AW105" s="4"/>
      <c r="AX105" s="4"/>
      <c r="AY105" s="4"/>
      <c r="AZ105" s="4"/>
      <c r="BA105" s="4"/>
      <c r="BB105" s="4"/>
      <c r="BC105" s="4"/>
    </row>
    <row r="106" spans="1:55" x14ac:dyDescent="0.25">
      <c r="C106" t="s">
        <v>39</v>
      </c>
      <c r="D106" s="10">
        <v>0.61599999999999999</v>
      </c>
      <c r="E106" s="11"/>
      <c r="F106" s="11"/>
      <c r="G106" s="11"/>
      <c r="H106" s="11"/>
      <c r="I106" s="11"/>
      <c r="J106" s="11"/>
      <c r="K106" s="11"/>
      <c r="L106" s="11"/>
      <c r="M106" s="11"/>
      <c r="N106" s="11"/>
      <c r="O106" s="10"/>
      <c r="P106" s="11"/>
      <c r="Q106" s="11">
        <v>0.74199999999999999</v>
      </c>
      <c r="R106" s="11"/>
      <c r="S106" s="11">
        <v>1.89</v>
      </c>
      <c r="T106" s="11"/>
      <c r="U106" s="11"/>
      <c r="V106" s="11"/>
      <c r="W106" s="11"/>
      <c r="X106" s="11"/>
      <c r="Y106" s="11"/>
      <c r="Z106" s="11"/>
      <c r="AA106" s="11"/>
      <c r="AB106" s="11"/>
      <c r="AC106" s="11"/>
      <c r="AD106" s="11"/>
      <c r="AE106" s="11"/>
      <c r="AF106" s="11"/>
      <c r="AG106" s="11"/>
      <c r="AH106" s="11"/>
      <c r="AI106" s="11"/>
      <c r="AJ106" s="11">
        <v>1.22</v>
      </c>
      <c r="AK106" s="11">
        <v>0.53200000000000003</v>
      </c>
      <c r="AL106" s="11"/>
      <c r="AM106" s="11"/>
      <c r="AN106" s="11"/>
      <c r="AO106" s="11"/>
      <c r="AP106" s="4">
        <f t="shared" si="83"/>
        <v>5</v>
      </c>
      <c r="AQ106" s="4">
        <f t="shared" si="84"/>
        <v>3.2480000000000002</v>
      </c>
      <c r="AR106" s="4">
        <f t="shared" si="85"/>
        <v>1.752</v>
      </c>
      <c r="AS106" s="4">
        <f t="shared" si="43"/>
        <v>0.61599999999999999</v>
      </c>
      <c r="AT106" s="4">
        <f t="shared" si="44"/>
        <v>0</v>
      </c>
      <c r="AU106" s="4">
        <f t="shared" si="45"/>
        <v>2.6319999999999997</v>
      </c>
      <c r="AV106" s="4">
        <f t="shared" si="46"/>
        <v>1.752</v>
      </c>
      <c r="AW106" s="4"/>
      <c r="AX106" s="4"/>
      <c r="AY106" s="4"/>
      <c r="AZ106" s="4"/>
      <c r="BA106" s="4"/>
      <c r="BB106" s="4"/>
      <c r="BC106" s="4"/>
    </row>
    <row r="107" spans="1:55" x14ac:dyDescent="0.25">
      <c r="C107" t="s">
        <v>40</v>
      </c>
      <c r="D107" s="10"/>
      <c r="E107" s="11"/>
      <c r="F107" s="11"/>
      <c r="G107" s="11"/>
      <c r="H107" s="11"/>
      <c r="I107" s="11"/>
      <c r="J107" s="11"/>
      <c r="K107" s="11"/>
      <c r="L107" s="11"/>
      <c r="M107" s="11"/>
      <c r="N107" s="11"/>
      <c r="O107" s="10"/>
      <c r="P107" s="11"/>
      <c r="Q107" s="11"/>
      <c r="R107" s="11"/>
      <c r="S107" s="11">
        <v>1.38</v>
      </c>
      <c r="T107" s="11"/>
      <c r="U107" s="11"/>
      <c r="V107" s="11"/>
      <c r="W107" s="11"/>
      <c r="X107" s="11"/>
      <c r="Y107" s="11"/>
      <c r="Z107" s="11"/>
      <c r="AA107" s="11"/>
      <c r="AB107" s="11"/>
      <c r="AC107" s="11"/>
      <c r="AD107" s="11"/>
      <c r="AE107" s="11"/>
      <c r="AF107" s="11"/>
      <c r="AG107" s="11"/>
      <c r="AH107" s="11"/>
      <c r="AI107" s="11"/>
      <c r="AJ107" s="11">
        <v>0.745</v>
      </c>
      <c r="AK107" s="11"/>
      <c r="AL107" s="11"/>
      <c r="AM107" s="11"/>
      <c r="AN107" s="11"/>
      <c r="AO107" s="11"/>
      <c r="AP107" s="4">
        <f t="shared" si="83"/>
        <v>2.125</v>
      </c>
      <c r="AQ107" s="4">
        <f t="shared" si="84"/>
        <v>1.38</v>
      </c>
      <c r="AR107" s="4">
        <f t="shared" si="85"/>
        <v>0.745</v>
      </c>
      <c r="AS107" s="4">
        <f t="shared" si="43"/>
        <v>0</v>
      </c>
      <c r="AT107" s="4">
        <f t="shared" si="44"/>
        <v>0</v>
      </c>
      <c r="AU107" s="4">
        <f t="shared" si="45"/>
        <v>1.38</v>
      </c>
      <c r="AV107" s="4">
        <f t="shared" si="46"/>
        <v>0.745</v>
      </c>
      <c r="AW107" s="4"/>
      <c r="AX107" s="4"/>
      <c r="AY107" s="4"/>
      <c r="AZ107" s="4"/>
      <c r="BA107" s="4"/>
      <c r="BB107" s="4"/>
      <c r="BC107" s="4"/>
    </row>
    <row r="108" spans="1:55" x14ac:dyDescent="0.25">
      <c r="C108" t="s">
        <v>41</v>
      </c>
      <c r="D108" s="10"/>
      <c r="E108" s="11"/>
      <c r="F108" s="11"/>
      <c r="G108" s="11"/>
      <c r="H108" s="11"/>
      <c r="I108" s="11"/>
      <c r="J108" s="11"/>
      <c r="K108" s="11"/>
      <c r="L108" s="11"/>
      <c r="M108" s="11"/>
      <c r="N108" s="11"/>
      <c r="O108" s="10"/>
      <c r="P108" s="11"/>
      <c r="Q108" s="11">
        <v>0.627</v>
      </c>
      <c r="R108" s="11"/>
      <c r="S108" s="11">
        <v>1.72</v>
      </c>
      <c r="T108" s="11"/>
      <c r="U108" s="11"/>
      <c r="V108" s="11"/>
      <c r="W108" s="11"/>
      <c r="X108" s="11"/>
      <c r="Y108" s="11"/>
      <c r="Z108" s="11"/>
      <c r="AA108" s="11"/>
      <c r="AB108" s="11"/>
      <c r="AC108" s="11"/>
      <c r="AD108" s="11"/>
      <c r="AE108" s="11"/>
      <c r="AF108" s="11"/>
      <c r="AG108" s="11"/>
      <c r="AH108" s="11"/>
      <c r="AI108" s="11"/>
      <c r="AJ108" s="11">
        <v>0.89400000000000002</v>
      </c>
      <c r="AK108" s="11"/>
      <c r="AL108" s="11"/>
      <c r="AM108" s="11"/>
      <c r="AN108" s="11"/>
      <c r="AO108" s="11"/>
      <c r="AP108" s="4">
        <f t="shared" si="83"/>
        <v>3.2410000000000001</v>
      </c>
      <c r="AQ108" s="4">
        <f t="shared" si="84"/>
        <v>2.347</v>
      </c>
      <c r="AR108" s="4">
        <f t="shared" si="85"/>
        <v>0.89400000000000002</v>
      </c>
      <c r="AS108" s="4">
        <f t="shared" si="43"/>
        <v>0</v>
      </c>
      <c r="AT108" s="4">
        <f t="shared" si="44"/>
        <v>0</v>
      </c>
      <c r="AU108" s="4">
        <f t="shared" si="45"/>
        <v>2.347</v>
      </c>
      <c r="AV108" s="4">
        <f t="shared" si="46"/>
        <v>0.89400000000000002</v>
      </c>
      <c r="AW108" s="4"/>
      <c r="AX108" s="4"/>
      <c r="AY108" s="4"/>
      <c r="AZ108" s="4"/>
      <c r="BA108" s="4"/>
      <c r="BB108" s="4"/>
      <c r="BC108" s="4"/>
    </row>
    <row r="109" spans="1:55" x14ac:dyDescent="0.25">
      <c r="A109" s="2">
        <v>45203</v>
      </c>
      <c r="B109">
        <v>136</v>
      </c>
      <c r="C109" t="s">
        <v>36</v>
      </c>
      <c r="D109" s="19"/>
      <c r="E109" s="20"/>
      <c r="F109" s="20"/>
      <c r="G109" s="20"/>
      <c r="H109" s="20"/>
      <c r="I109" s="20"/>
      <c r="J109" s="20"/>
      <c r="K109" s="20"/>
      <c r="L109" s="20"/>
      <c r="M109" s="20"/>
      <c r="N109" s="20"/>
      <c r="O109" s="19"/>
      <c r="P109" s="20"/>
      <c r="Q109" s="20"/>
      <c r="R109" s="20"/>
      <c r="S109" s="20"/>
      <c r="T109" s="20"/>
      <c r="U109" s="20"/>
      <c r="V109" s="20"/>
      <c r="W109" s="20"/>
      <c r="X109" s="20"/>
      <c r="Y109" s="20"/>
      <c r="Z109" s="20"/>
      <c r="AA109" s="20"/>
      <c r="AB109" s="20"/>
      <c r="AC109" s="20"/>
      <c r="AD109" s="20"/>
      <c r="AE109" s="20"/>
      <c r="AF109" s="20"/>
      <c r="AG109" s="20"/>
      <c r="AH109" s="20"/>
      <c r="AI109" s="20"/>
      <c r="AJ109" s="20"/>
      <c r="AK109" s="20"/>
      <c r="AL109" s="20"/>
      <c r="AM109" s="20"/>
      <c r="AN109" s="20"/>
      <c r="AO109" s="20"/>
      <c r="AP109" s="4"/>
      <c r="AQ109" s="4"/>
      <c r="AR109" s="4"/>
      <c r="AS109" s="4">
        <f t="shared" si="43"/>
        <v>0</v>
      </c>
      <c r="AT109" s="4">
        <f t="shared" si="44"/>
        <v>0</v>
      </c>
      <c r="AU109" s="4">
        <f t="shared" si="45"/>
        <v>0</v>
      </c>
      <c r="AV109" s="4">
        <f t="shared" si="46"/>
        <v>0</v>
      </c>
      <c r="AW109" s="4"/>
      <c r="AX109" s="4"/>
      <c r="AY109" s="4"/>
      <c r="AZ109" s="4"/>
      <c r="BA109" s="4"/>
      <c r="BB109" s="4"/>
      <c r="BC109" s="4"/>
    </row>
    <row r="110" spans="1:55" x14ac:dyDescent="0.25">
      <c r="C110" t="s">
        <v>39</v>
      </c>
      <c r="D110" s="10"/>
      <c r="E110" s="11"/>
      <c r="F110" s="11"/>
      <c r="G110" s="11"/>
      <c r="H110" s="11"/>
      <c r="I110" s="11"/>
      <c r="J110" s="11"/>
      <c r="K110" s="11"/>
      <c r="L110" s="11"/>
      <c r="M110" s="11"/>
      <c r="N110" s="11"/>
      <c r="O110" s="10"/>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4">
        <f t="shared" ref="AP110" si="86">SUM(D110:AO110)</f>
        <v>0</v>
      </c>
      <c r="AQ110" s="4">
        <f t="shared" ref="AQ110" si="87">SUM(D110:X110)</f>
        <v>0</v>
      </c>
      <c r="AR110" s="4">
        <f t="shared" ref="AR110" si="88">SUM(Y110:AO110)</f>
        <v>0</v>
      </c>
      <c r="AS110" s="4">
        <f t="shared" si="43"/>
        <v>0</v>
      </c>
      <c r="AT110" s="4">
        <f t="shared" si="44"/>
        <v>0</v>
      </c>
      <c r="AU110" s="4">
        <f t="shared" si="45"/>
        <v>0</v>
      </c>
      <c r="AV110" s="4">
        <f t="shared" si="46"/>
        <v>0</v>
      </c>
      <c r="AW110" s="4"/>
      <c r="AX110" s="4"/>
      <c r="AY110" s="4"/>
      <c r="AZ110" s="4"/>
      <c r="BA110" s="4"/>
      <c r="BB110" s="4"/>
      <c r="BC110" s="4"/>
    </row>
    <row r="111" spans="1:55" x14ac:dyDescent="0.25">
      <c r="C111" t="s">
        <v>40</v>
      </c>
      <c r="D111" s="10"/>
      <c r="E111" s="11"/>
      <c r="F111" s="11"/>
      <c r="G111" s="11"/>
      <c r="H111" s="11"/>
      <c r="I111" s="11"/>
      <c r="J111" s="11"/>
      <c r="K111" s="11"/>
      <c r="L111" s="11"/>
      <c r="M111" s="11"/>
      <c r="N111" s="11"/>
      <c r="O111" s="10"/>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4">
        <f t="shared" ref="AP111:AP112" si="89">SUM(D111:AO111)</f>
        <v>0</v>
      </c>
      <c r="AQ111" s="4">
        <f t="shared" ref="AQ111:AQ112" si="90">SUM(D111:X111)</f>
        <v>0</v>
      </c>
      <c r="AR111" s="4">
        <f t="shared" ref="AR111:AR112" si="91">SUM(Y111:AO111)</f>
        <v>0</v>
      </c>
      <c r="AS111" s="4">
        <f t="shared" si="43"/>
        <v>0</v>
      </c>
      <c r="AT111" s="4">
        <f t="shared" si="44"/>
        <v>0</v>
      </c>
      <c r="AU111" s="4">
        <f t="shared" si="45"/>
        <v>0</v>
      </c>
      <c r="AV111" s="4">
        <f t="shared" si="46"/>
        <v>0</v>
      </c>
      <c r="AW111" s="4"/>
      <c r="AX111" s="4"/>
      <c r="AY111" s="4"/>
      <c r="AZ111" s="4"/>
      <c r="BA111" s="4"/>
      <c r="BB111" s="4"/>
      <c r="BC111" s="4"/>
    </row>
    <row r="112" spans="1:55" x14ac:dyDescent="0.25">
      <c r="C112" t="s">
        <v>41</v>
      </c>
      <c r="D112" s="16"/>
      <c r="E112" s="17"/>
      <c r="F112" s="17"/>
      <c r="G112" s="17"/>
      <c r="H112" s="17"/>
      <c r="I112" s="17"/>
      <c r="J112" s="17"/>
      <c r="K112" s="17"/>
      <c r="L112" s="17"/>
      <c r="M112" s="17"/>
      <c r="N112" s="17"/>
      <c r="O112" s="16"/>
      <c r="P112" s="17"/>
      <c r="Q112" s="17"/>
      <c r="R112" s="17"/>
      <c r="S112" s="17"/>
      <c r="T112" s="17"/>
      <c r="U112" s="17"/>
      <c r="V112" s="17"/>
      <c r="W112" s="17"/>
      <c r="X112" s="17"/>
      <c r="Y112" s="17"/>
      <c r="Z112" s="17"/>
      <c r="AA112" s="17"/>
      <c r="AB112" s="17"/>
      <c r="AC112" s="17"/>
      <c r="AD112" s="17"/>
      <c r="AE112" s="17"/>
      <c r="AF112" s="17"/>
      <c r="AG112" s="17"/>
      <c r="AH112" s="17"/>
      <c r="AI112" s="17"/>
      <c r="AJ112" s="17"/>
      <c r="AK112" s="17"/>
      <c r="AL112" s="17"/>
      <c r="AM112" s="17"/>
      <c r="AN112" s="17"/>
      <c r="AO112" s="17"/>
      <c r="AP112" s="4">
        <f t="shared" si="89"/>
        <v>0</v>
      </c>
      <c r="AQ112" s="4">
        <f t="shared" si="90"/>
        <v>0</v>
      </c>
      <c r="AR112" s="4">
        <f t="shared" si="91"/>
        <v>0</v>
      </c>
      <c r="AS112" s="4">
        <f t="shared" si="43"/>
        <v>0</v>
      </c>
      <c r="AT112" s="4">
        <f t="shared" si="44"/>
        <v>0</v>
      </c>
      <c r="AU112" s="4">
        <f t="shared" si="45"/>
        <v>0</v>
      </c>
      <c r="AV112" s="4">
        <f t="shared" si="46"/>
        <v>0</v>
      </c>
      <c r="AW112" s="4"/>
      <c r="AX112" s="4"/>
      <c r="AY112" s="4"/>
      <c r="AZ112" s="4"/>
      <c r="BA112" s="4"/>
      <c r="BB112" s="4"/>
      <c r="BC112" s="4"/>
    </row>
    <row r="113" spans="1:55" s="35" customFormat="1" x14ac:dyDescent="0.25">
      <c r="B113" s="35" t="s">
        <v>129</v>
      </c>
      <c r="C113" s="35">
        <v>1</v>
      </c>
      <c r="D113" s="37">
        <f>AVERAGE(D89:D92)</f>
        <v>1.8499999999999999</v>
      </c>
      <c r="E113" s="37" t="e">
        <f t="shared" ref="E113:AR113" si="92">AVERAGE(E89:E92)</f>
        <v>#DIV/0!</v>
      </c>
      <c r="F113" s="37" t="e">
        <f t="shared" si="92"/>
        <v>#DIV/0!</v>
      </c>
      <c r="G113" s="37" t="e">
        <f t="shared" si="92"/>
        <v>#DIV/0!</v>
      </c>
      <c r="H113" s="37" t="e">
        <f t="shared" si="92"/>
        <v>#DIV/0!</v>
      </c>
      <c r="I113" s="37" t="e">
        <f t="shared" si="92"/>
        <v>#DIV/0!</v>
      </c>
      <c r="J113" s="37" t="e">
        <f t="shared" si="92"/>
        <v>#DIV/0!</v>
      </c>
      <c r="K113" s="37" t="e">
        <f t="shared" si="92"/>
        <v>#DIV/0!</v>
      </c>
      <c r="L113" s="37" t="e">
        <f t="shared" si="92"/>
        <v>#DIV/0!</v>
      </c>
      <c r="M113" s="37" t="e">
        <f t="shared" si="92"/>
        <v>#DIV/0!</v>
      </c>
      <c r="N113" s="37" t="e">
        <f t="shared" si="92"/>
        <v>#DIV/0!</v>
      </c>
      <c r="O113" s="37" t="e">
        <f t="shared" si="92"/>
        <v>#DIV/0!</v>
      </c>
      <c r="P113" s="37" t="e">
        <f t="shared" si="92"/>
        <v>#DIV/0!</v>
      </c>
      <c r="Q113" s="37" t="e">
        <f t="shared" si="92"/>
        <v>#DIV/0!</v>
      </c>
      <c r="R113" s="37" t="e">
        <f t="shared" si="92"/>
        <v>#DIV/0!</v>
      </c>
      <c r="S113" s="37" t="e">
        <f t="shared" si="92"/>
        <v>#DIV/0!</v>
      </c>
      <c r="T113" s="37" t="e">
        <f t="shared" si="92"/>
        <v>#DIV/0!</v>
      </c>
      <c r="U113" s="37" t="e">
        <f t="shared" si="92"/>
        <v>#DIV/0!</v>
      </c>
      <c r="V113" s="37" t="e">
        <f t="shared" si="92"/>
        <v>#DIV/0!</v>
      </c>
      <c r="W113" s="37" t="e">
        <f t="shared" si="92"/>
        <v>#DIV/0!</v>
      </c>
      <c r="X113" s="37" t="e">
        <f t="shared" si="92"/>
        <v>#DIV/0!</v>
      </c>
      <c r="Y113" s="37" t="e">
        <f t="shared" si="92"/>
        <v>#DIV/0!</v>
      </c>
      <c r="Z113" s="37" t="e">
        <f t="shared" si="92"/>
        <v>#DIV/0!</v>
      </c>
      <c r="AA113" s="37" t="e">
        <f t="shared" si="92"/>
        <v>#DIV/0!</v>
      </c>
      <c r="AB113" s="37" t="e">
        <f t="shared" si="92"/>
        <v>#DIV/0!</v>
      </c>
      <c r="AC113" s="37" t="e">
        <f t="shared" si="92"/>
        <v>#DIV/0!</v>
      </c>
      <c r="AD113" s="37" t="e">
        <f t="shared" si="92"/>
        <v>#DIV/0!</v>
      </c>
      <c r="AE113" s="37" t="e">
        <f t="shared" si="92"/>
        <v>#DIV/0!</v>
      </c>
      <c r="AF113" s="37" t="e">
        <f t="shared" si="92"/>
        <v>#DIV/0!</v>
      </c>
      <c r="AG113" s="37" t="e">
        <f t="shared" si="92"/>
        <v>#DIV/0!</v>
      </c>
      <c r="AH113" s="37" t="e">
        <f t="shared" si="92"/>
        <v>#DIV/0!</v>
      </c>
      <c r="AI113" s="37" t="e">
        <f t="shared" si="92"/>
        <v>#DIV/0!</v>
      </c>
      <c r="AJ113" s="37" t="e">
        <f t="shared" si="92"/>
        <v>#DIV/0!</v>
      </c>
      <c r="AK113" s="37" t="e">
        <f t="shared" si="92"/>
        <v>#DIV/0!</v>
      </c>
      <c r="AL113" s="37" t="e">
        <f t="shared" si="92"/>
        <v>#DIV/0!</v>
      </c>
      <c r="AM113" s="37" t="e">
        <f t="shared" si="92"/>
        <v>#DIV/0!</v>
      </c>
      <c r="AN113" s="37" t="e">
        <f t="shared" si="92"/>
        <v>#DIV/0!</v>
      </c>
      <c r="AO113" s="37" t="e">
        <f t="shared" si="92"/>
        <v>#DIV/0!</v>
      </c>
      <c r="AP113" s="37">
        <f t="shared" si="92"/>
        <v>1.8499999999999999</v>
      </c>
      <c r="AQ113" s="37">
        <f t="shared" si="92"/>
        <v>1.8499999999999999</v>
      </c>
      <c r="AR113" s="37">
        <f t="shared" si="92"/>
        <v>0</v>
      </c>
      <c r="AS113" s="37">
        <f t="shared" ref="AS113:AV113" si="93">AVERAGE(AS89:AS92)</f>
        <v>1.3875</v>
      </c>
      <c r="AT113" s="37">
        <f t="shared" si="93"/>
        <v>0</v>
      </c>
      <c r="AU113" s="37">
        <f t="shared" si="93"/>
        <v>0</v>
      </c>
      <c r="AV113" s="37">
        <f t="shared" si="93"/>
        <v>0</v>
      </c>
      <c r="AW113" s="37">
        <f>_xlfn.STDEV.P(AP89:AP92)</f>
        <v>0.98288690431130843</v>
      </c>
      <c r="AX113" s="37">
        <f>_xlfn.STDEV.P(AQ89:AQ92)</f>
        <v>0.98288690431130843</v>
      </c>
      <c r="AY113" s="37">
        <f>_xlfn.STDEV.P(AR89:AR92)</f>
        <v>0</v>
      </c>
      <c r="AZ113" s="37">
        <f t="shared" ref="AZ113:BC113" si="94">_xlfn.STDEV.P(AS89:AS92)</f>
        <v>1.168874993316223</v>
      </c>
      <c r="BA113" s="37">
        <f t="shared" si="94"/>
        <v>0</v>
      </c>
      <c r="BB113" s="37">
        <f t="shared" si="94"/>
        <v>0</v>
      </c>
      <c r="BC113" s="37">
        <f t="shared" si="94"/>
        <v>0</v>
      </c>
    </row>
    <row r="114" spans="1:55" s="35" customFormat="1" x14ac:dyDescent="0.25">
      <c r="C114" s="35">
        <v>5</v>
      </c>
      <c r="D114" s="37">
        <f>AVERAGE(D93:D96)</f>
        <v>25.5</v>
      </c>
      <c r="E114" s="37">
        <f t="shared" ref="E114:AR114" si="95">AVERAGE(E93:E96)</f>
        <v>5.669999999999999</v>
      </c>
      <c r="F114" s="37">
        <f t="shared" si="95"/>
        <v>2.7716666666666669</v>
      </c>
      <c r="G114" s="37">
        <f t="shared" si="95"/>
        <v>0.88866666666666683</v>
      </c>
      <c r="H114" s="37">
        <f t="shared" si="95"/>
        <v>13.133333333333333</v>
      </c>
      <c r="I114" s="37" t="e">
        <f t="shared" si="95"/>
        <v>#DIV/0!</v>
      </c>
      <c r="J114" s="37" t="e">
        <f t="shared" si="95"/>
        <v>#DIV/0!</v>
      </c>
      <c r="K114" s="37" t="e">
        <f t="shared" si="95"/>
        <v>#DIV/0!</v>
      </c>
      <c r="L114" s="37" t="e">
        <f t="shared" si="95"/>
        <v>#DIV/0!</v>
      </c>
      <c r="M114" s="37" t="e">
        <f t="shared" si="95"/>
        <v>#DIV/0!</v>
      </c>
      <c r="N114" s="37" t="e">
        <f t="shared" si="95"/>
        <v>#DIV/0!</v>
      </c>
      <c r="O114" s="37" t="e">
        <f t="shared" si="95"/>
        <v>#DIV/0!</v>
      </c>
      <c r="P114" s="37" t="e">
        <f t="shared" si="95"/>
        <v>#DIV/0!</v>
      </c>
      <c r="Q114" s="37" t="e">
        <f t="shared" si="95"/>
        <v>#DIV/0!</v>
      </c>
      <c r="R114" s="37" t="e">
        <f t="shared" si="95"/>
        <v>#DIV/0!</v>
      </c>
      <c r="S114" s="37" t="e">
        <f t="shared" si="95"/>
        <v>#DIV/0!</v>
      </c>
      <c r="T114" s="37" t="e">
        <f t="shared" si="95"/>
        <v>#DIV/0!</v>
      </c>
      <c r="U114" s="37" t="e">
        <f t="shared" si="95"/>
        <v>#DIV/0!</v>
      </c>
      <c r="V114" s="37" t="e">
        <f t="shared" si="95"/>
        <v>#DIV/0!</v>
      </c>
      <c r="W114" s="37" t="e">
        <f t="shared" si="95"/>
        <v>#DIV/0!</v>
      </c>
      <c r="X114" s="37" t="e">
        <f t="shared" si="95"/>
        <v>#DIV/0!</v>
      </c>
      <c r="Y114" s="37" t="e">
        <f t="shared" si="95"/>
        <v>#DIV/0!</v>
      </c>
      <c r="Z114" s="37" t="e">
        <f t="shared" si="95"/>
        <v>#DIV/0!</v>
      </c>
      <c r="AA114" s="37">
        <f t="shared" si="95"/>
        <v>3.7716666666666665</v>
      </c>
      <c r="AB114" s="37" t="e">
        <f t="shared" si="95"/>
        <v>#DIV/0!</v>
      </c>
      <c r="AC114" s="37" t="e">
        <f t="shared" si="95"/>
        <v>#DIV/0!</v>
      </c>
      <c r="AD114" s="37" t="e">
        <f t="shared" si="95"/>
        <v>#DIV/0!</v>
      </c>
      <c r="AE114" s="37" t="e">
        <f t="shared" si="95"/>
        <v>#DIV/0!</v>
      </c>
      <c r="AF114" s="37" t="e">
        <f t="shared" si="95"/>
        <v>#DIV/0!</v>
      </c>
      <c r="AG114" s="37" t="e">
        <f t="shared" si="95"/>
        <v>#DIV/0!</v>
      </c>
      <c r="AH114" s="37" t="e">
        <f t="shared" si="95"/>
        <v>#DIV/0!</v>
      </c>
      <c r="AI114" s="37" t="e">
        <f t="shared" si="95"/>
        <v>#DIV/0!</v>
      </c>
      <c r="AJ114" s="37" t="e">
        <f t="shared" si="95"/>
        <v>#DIV/0!</v>
      </c>
      <c r="AK114" s="37" t="e">
        <f t="shared" si="95"/>
        <v>#DIV/0!</v>
      </c>
      <c r="AL114" s="37" t="e">
        <f t="shared" si="95"/>
        <v>#DIV/0!</v>
      </c>
      <c r="AM114" s="37" t="e">
        <f t="shared" si="95"/>
        <v>#DIV/0!</v>
      </c>
      <c r="AN114" s="37" t="e">
        <f t="shared" si="95"/>
        <v>#DIV/0!</v>
      </c>
      <c r="AO114" s="37" t="e">
        <f t="shared" si="95"/>
        <v>#DIV/0!</v>
      </c>
      <c r="AP114" s="37">
        <f t="shared" si="95"/>
        <v>51.73533333333333</v>
      </c>
      <c r="AQ114" s="37">
        <f t="shared" si="95"/>
        <v>47.963666666666661</v>
      </c>
      <c r="AR114" s="37">
        <f t="shared" si="95"/>
        <v>3.7716666666666665</v>
      </c>
      <c r="AS114" s="37">
        <f t="shared" ref="AS114:AV114" si="96">AVERAGE(AS93:AS96)</f>
        <v>35.972749999999998</v>
      </c>
      <c r="AT114" s="37">
        <f t="shared" si="96"/>
        <v>2.8287499999999999</v>
      </c>
      <c r="AU114" s="37">
        <f t="shared" si="96"/>
        <v>0</v>
      </c>
      <c r="AV114" s="37">
        <f t="shared" si="96"/>
        <v>0</v>
      </c>
      <c r="AW114" s="37">
        <f>_xlfn.STDEV.P(AP93:AP96)</f>
        <v>7.7813341758053269</v>
      </c>
      <c r="AX114" s="37">
        <f>_xlfn.STDEV.P(AQ93:AQ96)</f>
        <v>7.9103129872056988</v>
      </c>
      <c r="AY114" s="37">
        <f>_xlfn.STDEV.P(AR93:AR96)</f>
        <v>1.8833230088212574</v>
      </c>
      <c r="AZ114" s="37">
        <f t="shared" ref="AZ114:BC114" si="97">_xlfn.STDEV.P(AS93:AS96)</f>
        <v>21.869522998627559</v>
      </c>
      <c r="BA114" s="37">
        <f t="shared" si="97"/>
        <v>2.3081279616823669</v>
      </c>
      <c r="BB114" s="37">
        <f t="shared" si="97"/>
        <v>0</v>
      </c>
      <c r="BC114" s="37">
        <f t="shared" si="97"/>
        <v>0</v>
      </c>
    </row>
    <row r="115" spans="1:55" s="35" customFormat="1" x14ac:dyDescent="0.25">
      <c r="C115" s="35">
        <v>17</v>
      </c>
      <c r="D115" s="37">
        <f>AVERAGE(D97:D100)</f>
        <v>65.399999999999991</v>
      </c>
      <c r="E115" s="37">
        <f t="shared" ref="E115:AR115" si="98">AVERAGE(E97:E100)</f>
        <v>24.433333333333334</v>
      </c>
      <c r="F115" s="37">
        <f t="shared" si="98"/>
        <v>4.95</v>
      </c>
      <c r="G115" s="37">
        <f t="shared" si="98"/>
        <v>1.2283333333333333</v>
      </c>
      <c r="H115" s="37">
        <f t="shared" si="98"/>
        <v>14.266666666666666</v>
      </c>
      <c r="I115" s="37" t="e">
        <f t="shared" si="98"/>
        <v>#DIV/0!</v>
      </c>
      <c r="J115" s="37" t="e">
        <f t="shared" si="98"/>
        <v>#DIV/0!</v>
      </c>
      <c r="K115" s="37" t="e">
        <f t="shared" si="98"/>
        <v>#DIV/0!</v>
      </c>
      <c r="L115" s="37" t="e">
        <f t="shared" si="98"/>
        <v>#DIV/0!</v>
      </c>
      <c r="M115" s="37" t="e">
        <f t="shared" si="98"/>
        <v>#DIV/0!</v>
      </c>
      <c r="N115" s="37" t="e">
        <f t="shared" si="98"/>
        <v>#DIV/0!</v>
      </c>
      <c r="O115" s="37">
        <f t="shared" si="98"/>
        <v>0.62</v>
      </c>
      <c r="P115" s="37" t="e">
        <f t="shared" si="98"/>
        <v>#DIV/0!</v>
      </c>
      <c r="Q115" s="37">
        <f t="shared" si="98"/>
        <v>1.5273333333333332</v>
      </c>
      <c r="R115" s="37" t="e">
        <f t="shared" si="98"/>
        <v>#DIV/0!</v>
      </c>
      <c r="S115" s="37">
        <f t="shared" si="98"/>
        <v>2.1371666666666669</v>
      </c>
      <c r="T115" s="37">
        <f t="shared" si="98"/>
        <v>0.59199999999999997</v>
      </c>
      <c r="U115" s="37" t="e">
        <f t="shared" si="98"/>
        <v>#DIV/0!</v>
      </c>
      <c r="V115" s="37" t="e">
        <f t="shared" si="98"/>
        <v>#DIV/0!</v>
      </c>
      <c r="W115" s="37" t="e">
        <f t="shared" si="98"/>
        <v>#DIV/0!</v>
      </c>
      <c r="X115" s="37" t="e">
        <f t="shared" si="98"/>
        <v>#DIV/0!</v>
      </c>
      <c r="Y115" s="37">
        <f t="shared" si="98"/>
        <v>0.61599999999999999</v>
      </c>
      <c r="Z115" s="37" t="e">
        <f t="shared" si="98"/>
        <v>#DIV/0!</v>
      </c>
      <c r="AA115" s="37">
        <f t="shared" si="98"/>
        <v>5.1366666666666667</v>
      </c>
      <c r="AB115" s="37" t="e">
        <f t="shared" si="98"/>
        <v>#DIV/0!</v>
      </c>
      <c r="AC115" s="37" t="e">
        <f t="shared" si="98"/>
        <v>#DIV/0!</v>
      </c>
      <c r="AD115" s="37" t="e">
        <f t="shared" si="98"/>
        <v>#DIV/0!</v>
      </c>
      <c r="AE115" s="37" t="e">
        <f t="shared" si="98"/>
        <v>#DIV/0!</v>
      </c>
      <c r="AF115" s="37" t="e">
        <f t="shared" si="98"/>
        <v>#DIV/0!</v>
      </c>
      <c r="AG115" s="37" t="e">
        <f t="shared" si="98"/>
        <v>#DIV/0!</v>
      </c>
      <c r="AH115" s="37" t="e">
        <f t="shared" si="98"/>
        <v>#DIV/0!</v>
      </c>
      <c r="AI115" s="37" t="e">
        <f t="shared" si="98"/>
        <v>#DIV/0!</v>
      </c>
      <c r="AJ115" s="37">
        <f t="shared" si="98"/>
        <v>1.4023333333333332</v>
      </c>
      <c r="AK115" s="37">
        <f t="shared" si="98"/>
        <v>1.4424999999999999</v>
      </c>
      <c r="AL115" s="37" t="e">
        <f t="shared" si="98"/>
        <v>#DIV/0!</v>
      </c>
      <c r="AM115" s="37" t="e">
        <f t="shared" si="98"/>
        <v>#DIV/0!</v>
      </c>
      <c r="AN115" s="37" t="e">
        <f t="shared" si="98"/>
        <v>#DIV/0!</v>
      </c>
      <c r="AO115" s="37" t="e">
        <f t="shared" si="98"/>
        <v>#DIV/0!</v>
      </c>
      <c r="AP115" s="37">
        <f t="shared" si="98"/>
        <v>122.05283333333334</v>
      </c>
      <c r="AQ115" s="37">
        <f t="shared" si="98"/>
        <v>114.34683333333334</v>
      </c>
      <c r="AR115" s="37">
        <f t="shared" si="98"/>
        <v>7.7059999999999995</v>
      </c>
      <c r="AS115" s="37">
        <f t="shared" ref="AS115:AV115" si="99">AVERAGE(AS97:AS100)</f>
        <v>82.708750000000009</v>
      </c>
      <c r="AT115" s="37">
        <f t="shared" si="99"/>
        <v>4.0065</v>
      </c>
      <c r="AU115" s="37">
        <f t="shared" si="99"/>
        <v>3.0513749999999997</v>
      </c>
      <c r="AV115" s="37">
        <f t="shared" si="99"/>
        <v>1.7730000000000001</v>
      </c>
      <c r="AW115" s="37">
        <f>_xlfn.STDEV.P(AP97:AP100)</f>
        <v>41.181059073181828</v>
      </c>
      <c r="AX115" s="37">
        <f>_xlfn.STDEV.P(AQ97:AQ100)</f>
        <v>41.016903162666431</v>
      </c>
      <c r="AY115" s="37">
        <f>_xlfn.STDEV.P(AR97:AR100)</f>
        <v>0.3161940332559533</v>
      </c>
      <c r="AZ115" s="37">
        <f t="shared" ref="AZ115:BC115" si="100">_xlfn.STDEV.P(AS97:AS100)</f>
        <v>58.962771345040231</v>
      </c>
      <c r="BA115" s="37">
        <f t="shared" si="100"/>
        <v>2.4281905300037718</v>
      </c>
      <c r="BB115" s="37">
        <f t="shared" si="100"/>
        <v>2.1691981633486135</v>
      </c>
      <c r="BC115" s="37">
        <f t="shared" si="100"/>
        <v>1.3690798004499227</v>
      </c>
    </row>
    <row r="116" spans="1:55" s="35" customFormat="1" x14ac:dyDescent="0.25">
      <c r="C116" s="35">
        <v>57</v>
      </c>
      <c r="D116" s="37">
        <f>AVERAGE(D101:D104)</f>
        <v>26.099999999999998</v>
      </c>
      <c r="E116" s="37">
        <f t="shared" ref="E116:AR116" si="101">AVERAGE(E101:E104)</f>
        <v>6.7561666666666662</v>
      </c>
      <c r="F116" s="37">
        <f t="shared" si="101"/>
        <v>2.2805</v>
      </c>
      <c r="G116" s="37">
        <f t="shared" si="101"/>
        <v>1.1100000000000001</v>
      </c>
      <c r="H116" s="37">
        <f t="shared" si="101"/>
        <v>7.1550000000000011</v>
      </c>
      <c r="I116" s="37" t="e">
        <f t="shared" si="101"/>
        <v>#DIV/0!</v>
      </c>
      <c r="J116" s="37" t="e">
        <f t="shared" si="101"/>
        <v>#DIV/0!</v>
      </c>
      <c r="K116" s="37" t="e">
        <f t="shared" si="101"/>
        <v>#DIV/0!</v>
      </c>
      <c r="L116" s="37" t="e">
        <f t="shared" si="101"/>
        <v>#DIV/0!</v>
      </c>
      <c r="M116" s="37" t="e">
        <f t="shared" si="101"/>
        <v>#DIV/0!</v>
      </c>
      <c r="N116" s="37" t="e">
        <f t="shared" si="101"/>
        <v>#DIV/0!</v>
      </c>
      <c r="O116" s="37" t="e">
        <f t="shared" si="101"/>
        <v>#DIV/0!</v>
      </c>
      <c r="P116" s="37" t="e">
        <f t="shared" si="101"/>
        <v>#DIV/0!</v>
      </c>
      <c r="Q116" s="37">
        <f t="shared" si="101"/>
        <v>0.85</v>
      </c>
      <c r="R116" s="37" t="e">
        <f t="shared" si="101"/>
        <v>#DIV/0!</v>
      </c>
      <c r="S116" s="37">
        <f t="shared" si="101"/>
        <v>1.3898333333333335</v>
      </c>
      <c r="T116" s="37" t="e">
        <f t="shared" si="101"/>
        <v>#DIV/0!</v>
      </c>
      <c r="U116" s="37" t="e">
        <f t="shared" si="101"/>
        <v>#DIV/0!</v>
      </c>
      <c r="V116" s="37" t="e">
        <f t="shared" si="101"/>
        <v>#DIV/0!</v>
      </c>
      <c r="W116" s="37" t="e">
        <f t="shared" si="101"/>
        <v>#DIV/0!</v>
      </c>
      <c r="X116" s="37" t="e">
        <f t="shared" si="101"/>
        <v>#DIV/0!</v>
      </c>
      <c r="Y116" s="37" t="e">
        <f t="shared" si="101"/>
        <v>#DIV/0!</v>
      </c>
      <c r="Z116" s="37" t="e">
        <f t="shared" si="101"/>
        <v>#DIV/0!</v>
      </c>
      <c r="AA116" s="37">
        <f t="shared" si="101"/>
        <v>1.5516666666666665</v>
      </c>
      <c r="AB116" s="37" t="e">
        <f t="shared" si="101"/>
        <v>#DIV/0!</v>
      </c>
      <c r="AC116" s="37" t="e">
        <f t="shared" si="101"/>
        <v>#DIV/0!</v>
      </c>
      <c r="AD116" s="37" t="e">
        <f t="shared" si="101"/>
        <v>#DIV/0!</v>
      </c>
      <c r="AE116" s="37" t="e">
        <f t="shared" si="101"/>
        <v>#DIV/0!</v>
      </c>
      <c r="AF116" s="37" t="e">
        <f t="shared" si="101"/>
        <v>#DIV/0!</v>
      </c>
      <c r="AG116" s="37" t="e">
        <f t="shared" si="101"/>
        <v>#DIV/0!</v>
      </c>
      <c r="AH116" s="37" t="e">
        <f t="shared" si="101"/>
        <v>#DIV/0!</v>
      </c>
      <c r="AI116" s="37" t="e">
        <f t="shared" si="101"/>
        <v>#DIV/0!</v>
      </c>
      <c r="AJ116" s="37">
        <f t="shared" si="101"/>
        <v>0.89050000000000007</v>
      </c>
      <c r="AK116" s="37">
        <f t="shared" si="101"/>
        <v>0.78900000000000003</v>
      </c>
      <c r="AL116" s="37" t="e">
        <f t="shared" si="101"/>
        <v>#DIV/0!</v>
      </c>
      <c r="AM116" s="37" t="e">
        <f t="shared" si="101"/>
        <v>#DIV/0!</v>
      </c>
      <c r="AN116" s="37" t="e">
        <f t="shared" si="101"/>
        <v>#DIV/0!</v>
      </c>
      <c r="AO116" s="37" t="e">
        <f t="shared" si="101"/>
        <v>#DIV/0!</v>
      </c>
      <c r="AP116" s="37">
        <f t="shared" si="101"/>
        <v>45.983000000000004</v>
      </c>
      <c r="AQ116" s="37">
        <f t="shared" si="101"/>
        <v>43.574666666666666</v>
      </c>
      <c r="AR116" s="37">
        <f t="shared" si="101"/>
        <v>2.4083333333333332</v>
      </c>
      <c r="AS116" s="37">
        <f t="shared" ref="AS116:AV116" si="102">AVERAGE(AS101:AS104)</f>
        <v>31.426124999999999</v>
      </c>
      <c r="AT116" s="37">
        <f t="shared" si="102"/>
        <v>1.1637499999999998</v>
      </c>
      <c r="AU116" s="37">
        <f t="shared" si="102"/>
        <v>1.254875</v>
      </c>
      <c r="AV116" s="37">
        <f t="shared" si="102"/>
        <v>0.64249999999999996</v>
      </c>
      <c r="AW116" s="37">
        <f>_xlfn.STDEV.P(AP101:AP104)</f>
        <v>40.781946912819144</v>
      </c>
      <c r="AX116" s="37">
        <f>_xlfn.STDEV.P(AQ101:AQ104)</f>
        <v>38.702138246986927</v>
      </c>
      <c r="AY116" s="37">
        <f>_xlfn.STDEV.P(AR101:AR104)</f>
        <v>2.1328704185257532</v>
      </c>
      <c r="AZ116" s="37">
        <f t="shared" ref="AZ116:BC116" si="103">_xlfn.STDEV.P(AS101:AS104)</f>
        <v>37.259543955836001</v>
      </c>
      <c r="BA116" s="37">
        <f t="shared" si="103"/>
        <v>1.3331129687689636</v>
      </c>
      <c r="BB116" s="37">
        <f t="shared" si="103"/>
        <v>1.2307172895815677</v>
      </c>
      <c r="BC116" s="37">
        <f t="shared" si="103"/>
        <v>0.81062121240441265</v>
      </c>
    </row>
    <row r="117" spans="1:55" s="35" customFormat="1" x14ac:dyDescent="0.25">
      <c r="C117" s="35">
        <v>61</v>
      </c>
      <c r="D117" s="37">
        <f>AVERAGE(D105:D108)</f>
        <v>0.61599999999999999</v>
      </c>
      <c r="E117" s="37" t="e">
        <f t="shared" ref="E117:AR117" si="104">AVERAGE(E105:E108)</f>
        <v>#DIV/0!</v>
      </c>
      <c r="F117" s="37" t="e">
        <f t="shared" si="104"/>
        <v>#DIV/0!</v>
      </c>
      <c r="G117" s="37" t="e">
        <f t="shared" si="104"/>
        <v>#DIV/0!</v>
      </c>
      <c r="H117" s="37" t="e">
        <f t="shared" si="104"/>
        <v>#DIV/0!</v>
      </c>
      <c r="I117" s="37" t="e">
        <f t="shared" si="104"/>
        <v>#DIV/0!</v>
      </c>
      <c r="J117" s="37" t="e">
        <f t="shared" si="104"/>
        <v>#DIV/0!</v>
      </c>
      <c r="K117" s="37" t="e">
        <f t="shared" si="104"/>
        <v>#DIV/0!</v>
      </c>
      <c r="L117" s="37" t="e">
        <f t="shared" si="104"/>
        <v>#DIV/0!</v>
      </c>
      <c r="M117" s="37" t="e">
        <f t="shared" si="104"/>
        <v>#DIV/0!</v>
      </c>
      <c r="N117" s="37" t="e">
        <f t="shared" si="104"/>
        <v>#DIV/0!</v>
      </c>
      <c r="O117" s="37" t="e">
        <f t="shared" si="104"/>
        <v>#DIV/0!</v>
      </c>
      <c r="P117" s="37" t="e">
        <f t="shared" si="104"/>
        <v>#DIV/0!</v>
      </c>
      <c r="Q117" s="37">
        <f t="shared" si="104"/>
        <v>0.6845</v>
      </c>
      <c r="R117" s="37" t="e">
        <f t="shared" si="104"/>
        <v>#DIV/0!</v>
      </c>
      <c r="S117" s="37">
        <f t="shared" si="104"/>
        <v>1.6633333333333331</v>
      </c>
      <c r="T117" s="37" t="e">
        <f t="shared" si="104"/>
        <v>#DIV/0!</v>
      </c>
      <c r="U117" s="37" t="e">
        <f t="shared" si="104"/>
        <v>#DIV/0!</v>
      </c>
      <c r="V117" s="37" t="e">
        <f t="shared" si="104"/>
        <v>#DIV/0!</v>
      </c>
      <c r="W117" s="37" t="e">
        <f t="shared" si="104"/>
        <v>#DIV/0!</v>
      </c>
      <c r="X117" s="37" t="e">
        <f t="shared" si="104"/>
        <v>#DIV/0!</v>
      </c>
      <c r="Y117" s="37" t="e">
        <f t="shared" si="104"/>
        <v>#DIV/0!</v>
      </c>
      <c r="Z117" s="37" t="e">
        <f t="shared" si="104"/>
        <v>#DIV/0!</v>
      </c>
      <c r="AA117" s="37" t="e">
        <f t="shared" si="104"/>
        <v>#DIV/0!</v>
      </c>
      <c r="AB117" s="37" t="e">
        <f t="shared" si="104"/>
        <v>#DIV/0!</v>
      </c>
      <c r="AC117" s="37" t="e">
        <f t="shared" si="104"/>
        <v>#DIV/0!</v>
      </c>
      <c r="AD117" s="37" t="e">
        <f t="shared" si="104"/>
        <v>#DIV/0!</v>
      </c>
      <c r="AE117" s="37" t="e">
        <f t="shared" si="104"/>
        <v>#DIV/0!</v>
      </c>
      <c r="AF117" s="37" t="e">
        <f t="shared" si="104"/>
        <v>#DIV/0!</v>
      </c>
      <c r="AG117" s="37" t="e">
        <f t="shared" si="104"/>
        <v>#DIV/0!</v>
      </c>
      <c r="AH117" s="37" t="e">
        <f t="shared" si="104"/>
        <v>#DIV/0!</v>
      </c>
      <c r="AI117" s="37" t="e">
        <f t="shared" si="104"/>
        <v>#DIV/0!</v>
      </c>
      <c r="AJ117" s="37">
        <f t="shared" si="104"/>
        <v>0.95299999999999996</v>
      </c>
      <c r="AK117" s="37">
        <f t="shared" si="104"/>
        <v>0.53200000000000003</v>
      </c>
      <c r="AL117" s="37" t="e">
        <f t="shared" si="104"/>
        <v>#DIV/0!</v>
      </c>
      <c r="AM117" s="37" t="e">
        <f t="shared" si="104"/>
        <v>#DIV/0!</v>
      </c>
      <c r="AN117" s="37" t="e">
        <f t="shared" si="104"/>
        <v>#DIV/0!</v>
      </c>
      <c r="AO117" s="37" t="e">
        <f t="shared" si="104"/>
        <v>#DIV/0!</v>
      </c>
      <c r="AP117" s="37">
        <f t="shared" si="104"/>
        <v>3.4553333333333334</v>
      </c>
      <c r="AQ117" s="37">
        <f t="shared" si="104"/>
        <v>2.3249999999999997</v>
      </c>
      <c r="AR117" s="37">
        <f t="shared" si="104"/>
        <v>1.1303333333333334</v>
      </c>
      <c r="AS117" s="37">
        <f t="shared" ref="AS117:AV117" si="105">AVERAGE(AS105:AS108)</f>
        <v>0.154</v>
      </c>
      <c r="AT117" s="37">
        <f t="shared" si="105"/>
        <v>0</v>
      </c>
      <c r="AU117" s="37">
        <f t="shared" si="105"/>
        <v>1.58975</v>
      </c>
      <c r="AV117" s="37">
        <f t="shared" si="105"/>
        <v>0.84775</v>
      </c>
      <c r="AW117" s="37">
        <f>_xlfn.STDEV.P(AP105:AP108)</f>
        <v>1.1834583032602188</v>
      </c>
      <c r="AX117" s="37">
        <f>_xlfn.STDEV.P(AQ105:AQ108)</f>
        <v>0.76276645617558891</v>
      </c>
      <c r="AY117" s="37">
        <f>_xlfn.STDEV.P(AR105:AR108)</f>
        <v>0.44377346573323717</v>
      </c>
      <c r="AZ117" s="37">
        <f t="shared" ref="AZ117:BC117" si="106">_xlfn.STDEV.P(AS105:AS108)</f>
        <v>0.26673582436560711</v>
      </c>
      <c r="BA117" s="37">
        <f t="shared" si="106"/>
        <v>0</v>
      </c>
      <c r="BB117" s="37">
        <f t="shared" si="106"/>
        <v>1.0284712866677415</v>
      </c>
      <c r="BC117" s="37">
        <f t="shared" si="106"/>
        <v>0.62230313152032257</v>
      </c>
    </row>
    <row r="118" spans="1:55" s="35" customFormat="1" x14ac:dyDescent="0.25">
      <c r="C118" s="35">
        <v>136</v>
      </c>
      <c r="D118" s="37" t="e">
        <f>AVERAGE(D109:D112)</f>
        <v>#DIV/0!</v>
      </c>
      <c r="E118" s="37" t="e">
        <f t="shared" ref="E118:AR118" si="107">AVERAGE(E109:E112)</f>
        <v>#DIV/0!</v>
      </c>
      <c r="F118" s="37" t="e">
        <f t="shared" si="107"/>
        <v>#DIV/0!</v>
      </c>
      <c r="G118" s="37" t="e">
        <f t="shared" si="107"/>
        <v>#DIV/0!</v>
      </c>
      <c r="H118" s="37" t="e">
        <f t="shared" si="107"/>
        <v>#DIV/0!</v>
      </c>
      <c r="I118" s="37" t="e">
        <f t="shared" si="107"/>
        <v>#DIV/0!</v>
      </c>
      <c r="J118" s="37" t="e">
        <f t="shared" si="107"/>
        <v>#DIV/0!</v>
      </c>
      <c r="K118" s="37" t="e">
        <f t="shared" si="107"/>
        <v>#DIV/0!</v>
      </c>
      <c r="L118" s="37" t="e">
        <f t="shared" si="107"/>
        <v>#DIV/0!</v>
      </c>
      <c r="M118" s="37" t="e">
        <f t="shared" si="107"/>
        <v>#DIV/0!</v>
      </c>
      <c r="N118" s="37" t="e">
        <f t="shared" si="107"/>
        <v>#DIV/0!</v>
      </c>
      <c r="O118" s="37" t="e">
        <f t="shared" si="107"/>
        <v>#DIV/0!</v>
      </c>
      <c r="P118" s="37" t="e">
        <f t="shared" si="107"/>
        <v>#DIV/0!</v>
      </c>
      <c r="Q118" s="37" t="e">
        <f t="shared" si="107"/>
        <v>#DIV/0!</v>
      </c>
      <c r="R118" s="37" t="e">
        <f t="shared" si="107"/>
        <v>#DIV/0!</v>
      </c>
      <c r="S118" s="37" t="e">
        <f t="shared" si="107"/>
        <v>#DIV/0!</v>
      </c>
      <c r="T118" s="37" t="e">
        <f t="shared" si="107"/>
        <v>#DIV/0!</v>
      </c>
      <c r="U118" s="37" t="e">
        <f t="shared" si="107"/>
        <v>#DIV/0!</v>
      </c>
      <c r="V118" s="37" t="e">
        <f t="shared" si="107"/>
        <v>#DIV/0!</v>
      </c>
      <c r="W118" s="37" t="e">
        <f t="shared" si="107"/>
        <v>#DIV/0!</v>
      </c>
      <c r="X118" s="37" t="e">
        <f t="shared" si="107"/>
        <v>#DIV/0!</v>
      </c>
      <c r="Y118" s="37" t="e">
        <f t="shared" si="107"/>
        <v>#DIV/0!</v>
      </c>
      <c r="Z118" s="37" t="e">
        <f t="shared" si="107"/>
        <v>#DIV/0!</v>
      </c>
      <c r="AA118" s="37" t="e">
        <f t="shared" si="107"/>
        <v>#DIV/0!</v>
      </c>
      <c r="AB118" s="37" t="e">
        <f t="shared" si="107"/>
        <v>#DIV/0!</v>
      </c>
      <c r="AC118" s="37" t="e">
        <f t="shared" si="107"/>
        <v>#DIV/0!</v>
      </c>
      <c r="AD118" s="37" t="e">
        <f t="shared" si="107"/>
        <v>#DIV/0!</v>
      </c>
      <c r="AE118" s="37" t="e">
        <f t="shared" si="107"/>
        <v>#DIV/0!</v>
      </c>
      <c r="AF118" s="37" t="e">
        <f t="shared" si="107"/>
        <v>#DIV/0!</v>
      </c>
      <c r="AG118" s="37" t="e">
        <f t="shared" si="107"/>
        <v>#DIV/0!</v>
      </c>
      <c r="AH118" s="37" t="e">
        <f t="shared" si="107"/>
        <v>#DIV/0!</v>
      </c>
      <c r="AI118" s="37" t="e">
        <f t="shared" si="107"/>
        <v>#DIV/0!</v>
      </c>
      <c r="AJ118" s="37" t="e">
        <f t="shared" si="107"/>
        <v>#DIV/0!</v>
      </c>
      <c r="AK118" s="37" t="e">
        <f t="shared" si="107"/>
        <v>#DIV/0!</v>
      </c>
      <c r="AL118" s="37" t="e">
        <f t="shared" si="107"/>
        <v>#DIV/0!</v>
      </c>
      <c r="AM118" s="37" t="e">
        <f t="shared" si="107"/>
        <v>#DIV/0!</v>
      </c>
      <c r="AN118" s="37" t="e">
        <f t="shared" si="107"/>
        <v>#DIV/0!</v>
      </c>
      <c r="AO118" s="37" t="e">
        <f t="shared" si="107"/>
        <v>#DIV/0!</v>
      </c>
      <c r="AP118" s="37">
        <f t="shared" si="107"/>
        <v>0</v>
      </c>
      <c r="AQ118" s="37">
        <f t="shared" si="107"/>
        <v>0</v>
      </c>
      <c r="AR118" s="37">
        <f t="shared" si="107"/>
        <v>0</v>
      </c>
      <c r="AS118" s="37">
        <f t="shared" ref="AS118:AV118" si="108">AVERAGE(AS109:AS112)</f>
        <v>0</v>
      </c>
      <c r="AT118" s="37">
        <f t="shared" si="108"/>
        <v>0</v>
      </c>
      <c r="AU118" s="37">
        <f t="shared" si="108"/>
        <v>0</v>
      </c>
      <c r="AV118" s="37">
        <f t="shared" si="108"/>
        <v>0</v>
      </c>
      <c r="AW118" s="37">
        <f>_xlfn.STDEV.P(AP109:AP112)</f>
        <v>0</v>
      </c>
      <c r="AX118" s="37">
        <f>_xlfn.STDEV.P(AQ109:AQ112)</f>
        <v>0</v>
      </c>
      <c r="AY118" s="37">
        <f>_xlfn.STDEV.P(AR109:AR112)</f>
        <v>0</v>
      </c>
      <c r="AZ118" s="37">
        <f t="shared" ref="AZ118:BC118" si="109">_xlfn.STDEV.P(AS109:AS112)</f>
        <v>0</v>
      </c>
      <c r="BA118" s="37">
        <f t="shared" si="109"/>
        <v>0</v>
      </c>
      <c r="BB118" s="37">
        <f t="shared" si="109"/>
        <v>0</v>
      </c>
      <c r="BC118" s="37">
        <f t="shared" si="109"/>
        <v>0</v>
      </c>
    </row>
    <row r="119" spans="1:55" x14ac:dyDescent="0.25">
      <c r="A119" s="2">
        <v>45068</v>
      </c>
      <c r="B119">
        <v>1</v>
      </c>
      <c r="C119" t="s">
        <v>36</v>
      </c>
      <c r="D119" s="19"/>
      <c r="E119" s="20"/>
      <c r="F119" s="20"/>
      <c r="G119" s="20"/>
      <c r="H119" s="20"/>
      <c r="I119" s="20"/>
      <c r="J119" s="20"/>
      <c r="K119" s="20"/>
      <c r="L119" s="20"/>
      <c r="M119" s="20"/>
      <c r="N119" s="20"/>
      <c r="O119" s="19"/>
      <c r="P119" s="20"/>
      <c r="Q119" s="20"/>
      <c r="R119" s="20"/>
      <c r="S119" s="20"/>
      <c r="T119" s="20"/>
      <c r="U119" s="20"/>
      <c r="V119" s="20"/>
      <c r="W119" s="20"/>
      <c r="X119" s="20"/>
      <c r="Y119" s="20"/>
      <c r="Z119" s="20"/>
      <c r="AA119" s="20"/>
      <c r="AB119" s="20"/>
      <c r="AC119" s="20"/>
      <c r="AD119" s="20"/>
      <c r="AE119" s="20"/>
      <c r="AF119" s="20"/>
      <c r="AG119" s="20"/>
      <c r="AH119" s="20"/>
      <c r="AI119" s="20"/>
      <c r="AJ119" s="20"/>
      <c r="AK119" s="20"/>
      <c r="AL119" s="20"/>
      <c r="AM119" s="20"/>
      <c r="AN119" s="20"/>
      <c r="AO119" s="20"/>
      <c r="AP119" s="4"/>
      <c r="AQ119" s="4"/>
      <c r="AR119" s="4"/>
      <c r="AS119" s="4">
        <f t="shared" si="43"/>
        <v>0</v>
      </c>
      <c r="AT119" s="4">
        <f t="shared" si="44"/>
        <v>0</v>
      </c>
      <c r="AU119" s="4">
        <f t="shared" si="45"/>
        <v>0</v>
      </c>
      <c r="AV119" s="4">
        <f t="shared" si="46"/>
        <v>0</v>
      </c>
      <c r="AW119" s="4"/>
      <c r="AX119" s="4"/>
      <c r="AY119" s="4"/>
      <c r="AZ119" s="4"/>
      <c r="BA119" s="4"/>
      <c r="BB119" s="4"/>
      <c r="BC119" s="4"/>
    </row>
    <row r="120" spans="1:55" x14ac:dyDescent="0.25">
      <c r="A120" s="2"/>
      <c r="C120" t="s">
        <v>39</v>
      </c>
      <c r="D120" s="10"/>
      <c r="E120" s="11"/>
      <c r="F120" s="11"/>
      <c r="G120" s="11"/>
      <c r="H120" s="11"/>
      <c r="I120" s="11"/>
      <c r="J120" s="11"/>
      <c r="K120" s="11"/>
      <c r="L120" s="11"/>
      <c r="M120" s="11"/>
      <c r="N120" s="11"/>
      <c r="O120" s="10"/>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4">
        <f t="shared" ref="AP120:AP142" si="110">SUM(D120:AO120)</f>
        <v>0</v>
      </c>
      <c r="AQ120" s="4">
        <f t="shared" ref="AQ120:AQ142" si="111">SUM(D120:X120)</f>
        <v>0</v>
      </c>
      <c r="AR120" s="4">
        <f t="shared" ref="AR120:AR142" si="112">SUM(Y120:AO120)</f>
        <v>0</v>
      </c>
      <c r="AS120" s="4">
        <f t="shared" si="43"/>
        <v>0</v>
      </c>
      <c r="AT120" s="4">
        <f t="shared" si="44"/>
        <v>0</v>
      </c>
      <c r="AU120" s="4">
        <f t="shared" si="45"/>
        <v>0</v>
      </c>
      <c r="AV120" s="4">
        <f t="shared" si="46"/>
        <v>0</v>
      </c>
      <c r="AW120" s="4"/>
      <c r="AX120" s="4"/>
      <c r="AY120" s="4"/>
      <c r="AZ120" s="4"/>
      <c r="BA120" s="4"/>
      <c r="BB120" s="4"/>
      <c r="BC120" s="4"/>
    </row>
    <row r="121" spans="1:55" x14ac:dyDescent="0.25">
      <c r="A121" s="2"/>
      <c r="C121" t="s">
        <v>40</v>
      </c>
      <c r="D121" s="10"/>
      <c r="E121" s="11"/>
      <c r="F121" s="11"/>
      <c r="G121" s="11"/>
      <c r="H121" s="11"/>
      <c r="I121" s="11"/>
      <c r="J121" s="11"/>
      <c r="K121" s="11"/>
      <c r="L121" s="11"/>
      <c r="M121" s="11"/>
      <c r="N121" s="11"/>
      <c r="O121" s="10"/>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4">
        <f t="shared" si="110"/>
        <v>0</v>
      </c>
      <c r="AQ121" s="4">
        <f t="shared" si="111"/>
        <v>0</v>
      </c>
      <c r="AR121" s="4">
        <f t="shared" si="112"/>
        <v>0</v>
      </c>
      <c r="AS121" s="4">
        <f t="shared" si="43"/>
        <v>0</v>
      </c>
      <c r="AT121" s="4">
        <f t="shared" si="44"/>
        <v>0</v>
      </c>
      <c r="AU121" s="4">
        <f t="shared" si="45"/>
        <v>0</v>
      </c>
      <c r="AV121" s="4">
        <f t="shared" si="46"/>
        <v>0</v>
      </c>
      <c r="AW121" s="4"/>
      <c r="AX121" s="4"/>
      <c r="AY121" s="4"/>
      <c r="AZ121" s="4"/>
      <c r="BA121" s="4"/>
      <c r="BB121" s="4"/>
      <c r="BC121" s="4"/>
    </row>
    <row r="122" spans="1:55" x14ac:dyDescent="0.25">
      <c r="A122" s="2"/>
      <c r="C122" t="s">
        <v>41</v>
      </c>
      <c r="D122" s="10"/>
      <c r="E122" s="11"/>
      <c r="F122" s="11"/>
      <c r="G122" s="11"/>
      <c r="H122" s="11"/>
      <c r="I122" s="11"/>
      <c r="J122" s="11"/>
      <c r="K122" s="11"/>
      <c r="L122" s="11"/>
      <c r="M122" s="11"/>
      <c r="N122" s="11"/>
      <c r="O122" s="10"/>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4">
        <f t="shared" si="110"/>
        <v>0</v>
      </c>
      <c r="AQ122" s="4">
        <f t="shared" si="111"/>
        <v>0</v>
      </c>
      <c r="AR122" s="4">
        <f t="shared" si="112"/>
        <v>0</v>
      </c>
      <c r="AS122" s="4">
        <f t="shared" si="43"/>
        <v>0</v>
      </c>
      <c r="AT122" s="4">
        <f t="shared" si="44"/>
        <v>0</v>
      </c>
      <c r="AU122" s="4">
        <f t="shared" si="45"/>
        <v>0</v>
      </c>
      <c r="AV122" s="4">
        <f t="shared" si="46"/>
        <v>0</v>
      </c>
      <c r="AW122" s="4"/>
      <c r="AX122" s="4"/>
      <c r="AY122" s="4"/>
      <c r="AZ122" s="4"/>
      <c r="BA122" s="4"/>
      <c r="BB122" s="4"/>
      <c r="BC122" s="4"/>
    </row>
    <row r="123" spans="1:55" x14ac:dyDescent="0.25">
      <c r="A123" s="2">
        <v>45072</v>
      </c>
      <c r="B123">
        <v>5</v>
      </c>
      <c r="C123" t="s">
        <v>36</v>
      </c>
      <c r="D123" s="19"/>
      <c r="E123" s="20"/>
      <c r="F123" s="20"/>
      <c r="G123" s="20"/>
      <c r="H123" s="20"/>
      <c r="I123" s="20"/>
      <c r="J123" s="20"/>
      <c r="K123" s="20"/>
      <c r="L123" s="20"/>
      <c r="M123" s="20"/>
      <c r="N123" s="20"/>
      <c r="O123" s="19"/>
      <c r="P123" s="20"/>
      <c r="Q123" s="20"/>
      <c r="R123" s="20"/>
      <c r="S123" s="20"/>
      <c r="T123" s="20"/>
      <c r="U123" s="20"/>
      <c r="V123" s="20"/>
      <c r="W123" s="20"/>
      <c r="X123" s="20"/>
      <c r="Y123" s="20"/>
      <c r="Z123" s="20"/>
      <c r="AA123" s="20"/>
      <c r="AB123" s="20"/>
      <c r="AC123" s="20"/>
      <c r="AD123" s="20"/>
      <c r="AE123" s="20"/>
      <c r="AF123" s="20"/>
      <c r="AG123" s="20"/>
      <c r="AH123" s="20"/>
      <c r="AI123" s="20"/>
      <c r="AJ123" s="20"/>
      <c r="AK123" s="20"/>
      <c r="AL123" s="20"/>
      <c r="AM123" s="20"/>
      <c r="AN123" s="20"/>
      <c r="AO123" s="20"/>
      <c r="AP123" s="4"/>
      <c r="AQ123" s="4"/>
      <c r="AR123" s="4"/>
      <c r="AS123" s="4">
        <f t="shared" si="43"/>
        <v>0</v>
      </c>
      <c r="AT123" s="4">
        <f t="shared" si="44"/>
        <v>0</v>
      </c>
      <c r="AU123" s="4">
        <f t="shared" si="45"/>
        <v>0</v>
      </c>
      <c r="AV123" s="4">
        <f t="shared" si="46"/>
        <v>0</v>
      </c>
      <c r="AW123" s="4"/>
      <c r="AX123" s="4"/>
      <c r="AY123" s="4"/>
      <c r="AZ123" s="4"/>
      <c r="BA123" s="4"/>
      <c r="BB123" s="4"/>
      <c r="BC123" s="4"/>
    </row>
    <row r="124" spans="1:55" x14ac:dyDescent="0.25">
      <c r="C124" t="s">
        <v>39</v>
      </c>
      <c r="D124" s="10">
        <v>4.54</v>
      </c>
      <c r="E124" s="11">
        <v>5.41</v>
      </c>
      <c r="F124" s="11"/>
      <c r="G124" s="11"/>
      <c r="H124" s="11"/>
      <c r="I124" s="11"/>
      <c r="J124" s="11"/>
      <c r="K124" s="11"/>
      <c r="L124" s="11"/>
      <c r="M124" s="11"/>
      <c r="N124" s="11"/>
      <c r="O124" s="10"/>
      <c r="P124" s="11"/>
      <c r="Q124" s="11"/>
      <c r="R124" s="11"/>
      <c r="S124" s="11">
        <v>0.82</v>
      </c>
      <c r="T124" s="11">
        <v>1.25</v>
      </c>
      <c r="U124" s="11">
        <v>4.78</v>
      </c>
      <c r="V124" s="11">
        <v>0.72399999999999998</v>
      </c>
      <c r="W124" s="11">
        <v>1.1299999999999999</v>
      </c>
      <c r="X124" s="11"/>
      <c r="Y124" s="11"/>
      <c r="Z124" s="11"/>
      <c r="AA124" s="11"/>
      <c r="AB124" s="11"/>
      <c r="AC124" s="11"/>
      <c r="AD124" s="11"/>
      <c r="AE124" s="11"/>
      <c r="AF124" s="11"/>
      <c r="AG124" s="11"/>
      <c r="AH124" s="11"/>
      <c r="AI124" s="11"/>
      <c r="AJ124" s="11"/>
      <c r="AK124" s="11">
        <v>1.2</v>
      </c>
      <c r="AL124" s="11">
        <v>1.84</v>
      </c>
      <c r="AM124" s="11">
        <v>2.67</v>
      </c>
      <c r="AN124" s="11">
        <v>5.19</v>
      </c>
      <c r="AO124" s="11">
        <v>5.85</v>
      </c>
      <c r="AP124" s="4">
        <f t="shared" si="110"/>
        <v>35.403999999999996</v>
      </c>
      <c r="AQ124" s="4">
        <f t="shared" si="111"/>
        <v>18.654</v>
      </c>
      <c r="AR124" s="4">
        <f t="shared" si="112"/>
        <v>16.75</v>
      </c>
      <c r="AS124" s="4">
        <f t="shared" si="43"/>
        <v>9.9499999999999993</v>
      </c>
      <c r="AT124" s="4">
        <f t="shared" si="44"/>
        <v>0</v>
      </c>
      <c r="AU124" s="4">
        <f t="shared" si="45"/>
        <v>8.7040000000000006</v>
      </c>
      <c r="AV124" s="4">
        <f t="shared" si="46"/>
        <v>16.75</v>
      </c>
      <c r="AW124" s="4"/>
      <c r="AX124" s="4"/>
      <c r="AY124" s="4"/>
      <c r="AZ124" s="4"/>
      <c r="BA124" s="4"/>
      <c r="BB124" s="4"/>
      <c r="BC124" s="4"/>
    </row>
    <row r="125" spans="1:55" x14ac:dyDescent="0.25">
      <c r="C125" t="s">
        <v>40</v>
      </c>
      <c r="D125" s="10">
        <v>9.57</v>
      </c>
      <c r="E125" s="11">
        <v>3.82</v>
      </c>
      <c r="F125" s="11"/>
      <c r="G125" s="11"/>
      <c r="H125" s="11"/>
      <c r="I125" s="11"/>
      <c r="J125" s="11"/>
      <c r="K125" s="11"/>
      <c r="L125" s="11"/>
      <c r="M125" s="11"/>
      <c r="N125" s="11"/>
      <c r="O125" s="10"/>
      <c r="P125" s="11"/>
      <c r="Q125" s="11"/>
      <c r="R125" s="11"/>
      <c r="S125" s="11"/>
      <c r="T125" s="11">
        <v>0.72199999999999998</v>
      </c>
      <c r="U125" s="11">
        <v>2.58</v>
      </c>
      <c r="V125" s="11"/>
      <c r="W125" s="11">
        <v>0.82299999999999995</v>
      </c>
      <c r="X125" s="11"/>
      <c r="Y125" s="11"/>
      <c r="Z125" s="11"/>
      <c r="AA125" s="11"/>
      <c r="AB125" s="11"/>
      <c r="AC125" s="11"/>
      <c r="AD125" s="11"/>
      <c r="AE125" s="11"/>
      <c r="AF125" s="11"/>
      <c r="AG125" s="11"/>
      <c r="AH125" s="11"/>
      <c r="AI125" s="11"/>
      <c r="AJ125" s="11"/>
      <c r="AK125" s="11">
        <v>0.64600000000000002</v>
      </c>
      <c r="AL125" s="11">
        <v>1.7</v>
      </c>
      <c r="AM125" s="11">
        <v>2.3199999999999998</v>
      </c>
      <c r="AN125" s="11">
        <v>4.8099999999999996</v>
      </c>
      <c r="AO125" s="11">
        <v>5.96</v>
      </c>
      <c r="AP125" s="4">
        <f t="shared" si="110"/>
        <v>32.951000000000001</v>
      </c>
      <c r="AQ125" s="4">
        <f t="shared" si="111"/>
        <v>17.515000000000001</v>
      </c>
      <c r="AR125" s="4">
        <f t="shared" si="112"/>
        <v>15.436</v>
      </c>
      <c r="AS125" s="4">
        <f t="shared" si="43"/>
        <v>13.39</v>
      </c>
      <c r="AT125" s="4">
        <f t="shared" si="44"/>
        <v>0</v>
      </c>
      <c r="AU125" s="4">
        <f t="shared" si="45"/>
        <v>4.125</v>
      </c>
      <c r="AV125" s="4">
        <f t="shared" si="46"/>
        <v>15.436</v>
      </c>
      <c r="AW125" s="4"/>
      <c r="AX125" s="4"/>
      <c r="AY125" s="4"/>
      <c r="AZ125" s="4"/>
      <c r="BA125" s="4"/>
      <c r="BB125" s="4"/>
      <c r="BC125" s="4"/>
    </row>
    <row r="126" spans="1:55" x14ac:dyDescent="0.25">
      <c r="C126" t="s">
        <v>41</v>
      </c>
      <c r="D126" s="10">
        <v>1.69</v>
      </c>
      <c r="E126" s="11">
        <v>1.23</v>
      </c>
      <c r="F126" s="11"/>
      <c r="G126" s="11"/>
      <c r="H126" s="11"/>
      <c r="I126" s="11"/>
      <c r="J126" s="11"/>
      <c r="K126" s="11"/>
      <c r="L126" s="11"/>
      <c r="M126" s="11"/>
      <c r="N126" s="11"/>
      <c r="O126" s="10"/>
      <c r="P126" s="11"/>
      <c r="Q126" s="11"/>
      <c r="R126" s="11"/>
      <c r="S126" s="11"/>
      <c r="T126" s="11">
        <v>0.56399999999999995</v>
      </c>
      <c r="U126" s="11">
        <v>1.93</v>
      </c>
      <c r="V126" s="11"/>
      <c r="W126" s="11"/>
      <c r="X126" s="11"/>
      <c r="Y126" s="11"/>
      <c r="Z126" s="11"/>
      <c r="AA126" s="11"/>
      <c r="AB126" s="11"/>
      <c r="AC126" s="11"/>
      <c r="AD126" s="11"/>
      <c r="AE126" s="11"/>
      <c r="AF126" s="11"/>
      <c r="AG126" s="11"/>
      <c r="AH126" s="11"/>
      <c r="AI126" s="11"/>
      <c r="AJ126" s="11"/>
      <c r="AK126" s="11"/>
      <c r="AL126" s="11">
        <v>0.74</v>
      </c>
      <c r="AM126" s="11">
        <v>1.32</v>
      </c>
      <c r="AN126" s="11">
        <v>3.15</v>
      </c>
      <c r="AO126" s="11">
        <v>3.76</v>
      </c>
      <c r="AP126" s="4">
        <f t="shared" si="110"/>
        <v>14.384</v>
      </c>
      <c r="AQ126" s="4">
        <f t="shared" si="111"/>
        <v>5.4139999999999997</v>
      </c>
      <c r="AR126" s="4">
        <f t="shared" si="112"/>
        <v>8.9699999999999989</v>
      </c>
      <c r="AS126" s="4">
        <f t="shared" si="43"/>
        <v>2.92</v>
      </c>
      <c r="AT126" s="4">
        <f t="shared" si="44"/>
        <v>0</v>
      </c>
      <c r="AU126" s="4">
        <f t="shared" si="45"/>
        <v>2.4939999999999998</v>
      </c>
      <c r="AV126" s="4">
        <f t="shared" si="46"/>
        <v>8.9699999999999989</v>
      </c>
      <c r="AW126" s="4"/>
      <c r="AX126" s="4"/>
      <c r="AY126" s="4"/>
      <c r="AZ126" s="4"/>
      <c r="BA126" s="4"/>
      <c r="BB126" s="4"/>
      <c r="BC126" s="4"/>
    </row>
    <row r="127" spans="1:55" x14ac:dyDescent="0.25">
      <c r="A127" s="2">
        <v>45105</v>
      </c>
      <c r="B127">
        <v>17</v>
      </c>
      <c r="C127" t="s">
        <v>36</v>
      </c>
      <c r="D127" s="19"/>
      <c r="E127" s="20"/>
      <c r="F127" s="20"/>
      <c r="G127" s="20"/>
      <c r="H127" s="20"/>
      <c r="I127" s="20"/>
      <c r="J127" s="20"/>
      <c r="K127" s="20"/>
      <c r="L127" s="20"/>
      <c r="M127" s="20"/>
      <c r="N127" s="20"/>
      <c r="O127" s="19"/>
      <c r="P127" s="20"/>
      <c r="Q127" s="20"/>
      <c r="R127" s="20"/>
      <c r="S127" s="20"/>
      <c r="T127" s="20"/>
      <c r="U127" s="20"/>
      <c r="V127" s="20"/>
      <c r="W127" s="20"/>
      <c r="X127" s="20"/>
      <c r="Y127" s="20"/>
      <c r="Z127" s="20"/>
      <c r="AA127" s="20"/>
      <c r="AB127" s="20"/>
      <c r="AC127" s="20"/>
      <c r="AD127" s="20"/>
      <c r="AE127" s="20"/>
      <c r="AF127" s="20"/>
      <c r="AG127" s="20"/>
      <c r="AH127" s="20"/>
      <c r="AI127" s="20"/>
      <c r="AJ127" s="20"/>
      <c r="AK127" s="20"/>
      <c r="AL127" s="20"/>
      <c r="AM127" s="20"/>
      <c r="AN127" s="20"/>
      <c r="AO127" s="20"/>
      <c r="AP127" s="4"/>
      <c r="AQ127" s="4"/>
      <c r="AR127" s="4"/>
      <c r="AS127" s="4">
        <f t="shared" si="43"/>
        <v>0</v>
      </c>
      <c r="AT127" s="4">
        <f t="shared" si="44"/>
        <v>0</v>
      </c>
      <c r="AU127" s="4">
        <f t="shared" si="45"/>
        <v>0</v>
      </c>
      <c r="AV127" s="4">
        <f t="shared" si="46"/>
        <v>0</v>
      </c>
      <c r="AW127" s="4"/>
      <c r="AX127" s="4"/>
      <c r="AY127" s="4"/>
      <c r="AZ127" s="4"/>
      <c r="BA127" s="4"/>
      <c r="BB127" s="4"/>
      <c r="BC127" s="4"/>
    </row>
    <row r="128" spans="1:55" x14ac:dyDescent="0.25">
      <c r="C128" t="s">
        <v>39</v>
      </c>
      <c r="D128" s="10">
        <v>2.59</v>
      </c>
      <c r="E128" s="11">
        <v>1.65</v>
      </c>
      <c r="F128" s="11"/>
      <c r="G128" s="11"/>
      <c r="H128" s="11">
        <v>0.52600000000000002</v>
      </c>
      <c r="I128" s="11"/>
      <c r="J128" s="11"/>
      <c r="K128" s="11"/>
      <c r="L128" s="11"/>
      <c r="M128" s="11"/>
      <c r="N128" s="11"/>
      <c r="O128" s="10"/>
      <c r="P128" s="11"/>
      <c r="Q128" s="11"/>
      <c r="R128" s="11"/>
      <c r="S128" s="11">
        <v>11.7</v>
      </c>
      <c r="T128" s="11">
        <v>14.8</v>
      </c>
      <c r="U128" s="11">
        <v>25.5</v>
      </c>
      <c r="V128" s="11">
        <v>3.51</v>
      </c>
      <c r="W128" s="11">
        <v>3.41</v>
      </c>
      <c r="X128" s="11"/>
      <c r="Y128" s="11"/>
      <c r="Z128" s="11"/>
      <c r="AA128" s="11"/>
      <c r="AB128" s="11"/>
      <c r="AC128" s="11"/>
      <c r="AD128" s="11"/>
      <c r="AE128" s="11"/>
      <c r="AF128" s="11"/>
      <c r="AG128" s="11"/>
      <c r="AH128" s="11"/>
      <c r="AI128" s="11"/>
      <c r="AJ128" s="11">
        <v>1.2</v>
      </c>
      <c r="AK128" s="11">
        <v>18</v>
      </c>
      <c r="AL128" s="11">
        <v>25</v>
      </c>
      <c r="AM128" s="11">
        <v>19.8</v>
      </c>
      <c r="AN128" s="11">
        <v>16.8</v>
      </c>
      <c r="AO128" s="11">
        <v>1.5</v>
      </c>
      <c r="AP128" s="4">
        <f t="shared" si="110"/>
        <v>145.98600000000002</v>
      </c>
      <c r="AQ128" s="4">
        <f t="shared" si="111"/>
        <v>63.686000000000007</v>
      </c>
      <c r="AR128" s="4">
        <f t="shared" si="112"/>
        <v>82.3</v>
      </c>
      <c r="AS128" s="4">
        <f t="shared" si="43"/>
        <v>4.766</v>
      </c>
      <c r="AT128" s="4">
        <f t="shared" si="44"/>
        <v>0</v>
      </c>
      <c r="AU128" s="4">
        <f t="shared" si="45"/>
        <v>58.92</v>
      </c>
      <c r="AV128" s="4">
        <f t="shared" si="46"/>
        <v>82.3</v>
      </c>
      <c r="AW128" s="4"/>
      <c r="AX128" s="4"/>
      <c r="AY128" s="4"/>
      <c r="AZ128" s="4"/>
      <c r="BA128" s="4"/>
      <c r="BB128" s="4"/>
      <c r="BC128" s="4"/>
    </row>
    <row r="129" spans="1:55" x14ac:dyDescent="0.25">
      <c r="C129" t="s">
        <v>40</v>
      </c>
      <c r="D129" s="10">
        <v>6.35</v>
      </c>
      <c r="E129" s="11">
        <v>3.98</v>
      </c>
      <c r="F129" s="11"/>
      <c r="G129" s="11"/>
      <c r="H129" s="11"/>
      <c r="I129" s="11"/>
      <c r="J129" s="11"/>
      <c r="K129" s="11"/>
      <c r="L129" s="11"/>
      <c r="M129" s="11"/>
      <c r="N129" s="11"/>
      <c r="O129" s="10"/>
      <c r="P129" s="11"/>
      <c r="Q129" s="11"/>
      <c r="R129" s="11"/>
      <c r="S129" s="11">
        <v>8.14</v>
      </c>
      <c r="T129" s="11">
        <v>1.4</v>
      </c>
      <c r="U129" s="11">
        <v>2.8</v>
      </c>
      <c r="V129" s="11">
        <v>2.2799999999999998</v>
      </c>
      <c r="W129" s="11">
        <v>2.23</v>
      </c>
      <c r="X129" s="11"/>
      <c r="Y129" s="11"/>
      <c r="Z129" s="11"/>
      <c r="AA129" s="11"/>
      <c r="AB129" s="11"/>
      <c r="AC129" s="11"/>
      <c r="AD129" s="11"/>
      <c r="AE129" s="11"/>
      <c r="AF129" s="11"/>
      <c r="AG129" s="11"/>
      <c r="AH129" s="11"/>
      <c r="AI129" s="11"/>
      <c r="AJ129" s="11">
        <v>0.85499999999999998</v>
      </c>
      <c r="AK129" s="11">
        <v>11.6</v>
      </c>
      <c r="AL129" s="11">
        <v>16.5</v>
      </c>
      <c r="AM129" s="11">
        <v>1.6</v>
      </c>
      <c r="AN129" s="11">
        <v>8.89</v>
      </c>
      <c r="AO129" s="11">
        <v>6.63</v>
      </c>
      <c r="AP129" s="4">
        <f t="shared" si="110"/>
        <v>73.254999999999995</v>
      </c>
      <c r="AQ129" s="4">
        <f t="shared" si="111"/>
        <v>27.18</v>
      </c>
      <c r="AR129" s="4">
        <f t="shared" si="112"/>
        <v>46.075000000000003</v>
      </c>
      <c r="AS129" s="4">
        <f t="shared" si="43"/>
        <v>10.33</v>
      </c>
      <c r="AT129" s="4">
        <f t="shared" si="44"/>
        <v>0</v>
      </c>
      <c r="AU129" s="4">
        <f t="shared" si="45"/>
        <v>16.849999999999998</v>
      </c>
      <c r="AV129" s="4">
        <f t="shared" si="46"/>
        <v>46.075000000000003</v>
      </c>
      <c r="AW129" s="4"/>
      <c r="AX129" s="4"/>
      <c r="AY129" s="4"/>
      <c r="AZ129" s="4"/>
      <c r="BA129" s="4"/>
      <c r="BB129" s="4"/>
      <c r="BC129" s="4"/>
    </row>
    <row r="130" spans="1:55" x14ac:dyDescent="0.25">
      <c r="C130" t="s">
        <v>41</v>
      </c>
      <c r="D130" s="10">
        <v>4.2300000000000004</v>
      </c>
      <c r="E130" s="11">
        <v>4.7</v>
      </c>
      <c r="F130" s="11"/>
      <c r="G130" s="11"/>
      <c r="H130" s="11"/>
      <c r="I130" s="11"/>
      <c r="J130" s="11"/>
      <c r="K130" s="11"/>
      <c r="L130" s="11"/>
      <c r="M130" s="11"/>
      <c r="N130" s="11"/>
      <c r="O130" s="10"/>
      <c r="P130" s="11"/>
      <c r="Q130" s="11"/>
      <c r="R130" s="11"/>
      <c r="S130" s="11">
        <v>1.6</v>
      </c>
      <c r="T130" s="11">
        <v>14.3</v>
      </c>
      <c r="U130" s="11">
        <v>25.9</v>
      </c>
      <c r="V130" s="11">
        <v>3.44</v>
      </c>
      <c r="W130" s="11">
        <v>3.97</v>
      </c>
      <c r="X130" s="11">
        <v>0.67</v>
      </c>
      <c r="Y130" s="11"/>
      <c r="Z130" s="11"/>
      <c r="AA130" s="11"/>
      <c r="AB130" s="11"/>
      <c r="AC130" s="11"/>
      <c r="AD130" s="11"/>
      <c r="AE130" s="11"/>
      <c r="AF130" s="11"/>
      <c r="AG130" s="11"/>
      <c r="AH130" s="11"/>
      <c r="AI130" s="11"/>
      <c r="AJ130" s="11">
        <v>0.876</v>
      </c>
      <c r="AK130" s="11">
        <v>14.2</v>
      </c>
      <c r="AL130" s="11">
        <v>24</v>
      </c>
      <c r="AM130" s="11">
        <v>2.8</v>
      </c>
      <c r="AN130" s="11">
        <v>16</v>
      </c>
      <c r="AO130" s="11">
        <v>1.7</v>
      </c>
      <c r="AP130" s="4">
        <f t="shared" si="110"/>
        <v>118.386</v>
      </c>
      <c r="AQ130" s="4">
        <f t="shared" si="111"/>
        <v>58.809999999999995</v>
      </c>
      <c r="AR130" s="4">
        <f t="shared" si="112"/>
        <v>59.576000000000001</v>
      </c>
      <c r="AS130" s="4">
        <f t="shared" si="43"/>
        <v>8.93</v>
      </c>
      <c r="AT130" s="4">
        <f t="shared" si="44"/>
        <v>0</v>
      </c>
      <c r="AU130" s="4">
        <f t="shared" si="45"/>
        <v>49.879999999999995</v>
      </c>
      <c r="AV130" s="4">
        <f t="shared" si="46"/>
        <v>59.576000000000001</v>
      </c>
      <c r="AW130" s="4"/>
      <c r="AX130" s="4"/>
      <c r="AY130" s="4"/>
      <c r="AZ130" s="4"/>
      <c r="BA130" s="4"/>
      <c r="BB130" s="4"/>
      <c r="BC130" s="4"/>
    </row>
    <row r="131" spans="1:55" x14ac:dyDescent="0.25">
      <c r="A131" s="2">
        <v>45124</v>
      </c>
      <c r="B131">
        <v>57</v>
      </c>
      <c r="C131" t="s">
        <v>36</v>
      </c>
      <c r="D131" s="19"/>
      <c r="E131" s="20"/>
      <c r="F131" s="20"/>
      <c r="G131" s="20"/>
      <c r="H131" s="20"/>
      <c r="I131" s="20"/>
      <c r="J131" s="20"/>
      <c r="K131" s="20"/>
      <c r="L131" s="20"/>
      <c r="M131" s="20"/>
      <c r="N131" s="20"/>
      <c r="O131" s="19"/>
      <c r="P131" s="20"/>
      <c r="Q131" s="20"/>
      <c r="R131" s="20"/>
      <c r="S131" s="20"/>
      <c r="T131" s="20"/>
      <c r="U131" s="20"/>
      <c r="V131" s="20"/>
      <c r="W131" s="20"/>
      <c r="X131" s="20"/>
      <c r="Y131" s="20"/>
      <c r="Z131" s="20"/>
      <c r="AA131" s="20"/>
      <c r="AB131" s="20"/>
      <c r="AC131" s="20"/>
      <c r="AD131" s="20"/>
      <c r="AE131" s="20"/>
      <c r="AF131" s="20"/>
      <c r="AG131" s="20"/>
      <c r="AH131" s="20"/>
      <c r="AI131" s="20"/>
      <c r="AJ131" s="20"/>
      <c r="AK131" s="20"/>
      <c r="AL131" s="20"/>
      <c r="AM131" s="20"/>
      <c r="AN131" s="20"/>
      <c r="AO131" s="20"/>
      <c r="AP131" s="4"/>
      <c r="AQ131" s="4"/>
      <c r="AR131" s="4"/>
      <c r="AS131" s="4">
        <f t="shared" si="43"/>
        <v>0</v>
      </c>
      <c r="AT131" s="4">
        <f t="shared" si="44"/>
        <v>0</v>
      </c>
      <c r="AU131" s="4">
        <f t="shared" si="45"/>
        <v>0</v>
      </c>
      <c r="AV131" s="4">
        <f t="shared" si="46"/>
        <v>0</v>
      </c>
      <c r="AW131" s="4"/>
      <c r="AX131" s="4"/>
      <c r="AY131" s="4"/>
      <c r="AZ131" s="4"/>
      <c r="BA131" s="4"/>
      <c r="BB131" s="4"/>
      <c r="BC131" s="4"/>
    </row>
    <row r="132" spans="1:55" x14ac:dyDescent="0.25">
      <c r="C132" t="s">
        <v>39</v>
      </c>
      <c r="D132" s="10">
        <v>2.1</v>
      </c>
      <c r="E132" s="11">
        <v>1.93</v>
      </c>
      <c r="F132" s="11"/>
      <c r="G132" s="11"/>
      <c r="H132" s="11"/>
      <c r="I132" s="11"/>
      <c r="J132" s="11"/>
      <c r="K132" s="11"/>
      <c r="L132" s="11"/>
      <c r="M132" s="11"/>
      <c r="N132" s="11"/>
      <c r="O132" s="10"/>
      <c r="P132" s="11"/>
      <c r="Q132" s="11"/>
      <c r="R132" s="11"/>
      <c r="S132" s="11">
        <v>15.7</v>
      </c>
      <c r="T132" s="11">
        <v>2.5</v>
      </c>
      <c r="U132" s="11">
        <v>3.3</v>
      </c>
      <c r="V132" s="11">
        <v>4.6100000000000003</v>
      </c>
      <c r="W132" s="11">
        <v>4.2300000000000004</v>
      </c>
      <c r="X132" s="11">
        <v>0.54900000000000004</v>
      </c>
      <c r="Y132" s="11"/>
      <c r="Z132" s="11"/>
      <c r="AA132" s="11"/>
      <c r="AB132" s="11"/>
      <c r="AC132" s="11"/>
      <c r="AD132" s="11"/>
      <c r="AE132" s="11"/>
      <c r="AF132" s="11"/>
      <c r="AG132" s="11"/>
      <c r="AH132" s="11"/>
      <c r="AI132" s="11"/>
      <c r="AJ132" s="11">
        <v>1.68</v>
      </c>
      <c r="AK132" s="11">
        <v>23.1</v>
      </c>
      <c r="AL132" s="11">
        <v>29.6</v>
      </c>
      <c r="AM132" s="11">
        <v>21.6</v>
      </c>
      <c r="AN132" s="11">
        <v>21.2</v>
      </c>
      <c r="AO132" s="11">
        <v>13</v>
      </c>
      <c r="AP132" s="4">
        <f t="shared" si="110"/>
        <v>145.09899999999999</v>
      </c>
      <c r="AQ132" s="4">
        <f t="shared" si="111"/>
        <v>34.919000000000004</v>
      </c>
      <c r="AR132" s="4">
        <f t="shared" si="112"/>
        <v>110.18</v>
      </c>
      <c r="AS132" s="4">
        <f t="shared" ref="AS132:AS142" si="113">SUM(D132:N132)</f>
        <v>4.03</v>
      </c>
      <c r="AT132" s="4">
        <f t="shared" ref="AT132:AT142" si="114">SUM(Y132:AG132)</f>
        <v>0</v>
      </c>
      <c r="AU132" s="4">
        <f t="shared" ref="AU132:AU142" si="115">SUM(O132:X132)</f>
        <v>30.888999999999999</v>
      </c>
      <c r="AV132" s="4">
        <f t="shared" ref="AV132:AV142" si="116">SUM(AH132:AO132)</f>
        <v>110.18</v>
      </c>
      <c r="AW132" s="4"/>
      <c r="AX132" s="4"/>
      <c r="AY132" s="4"/>
      <c r="AZ132" s="4"/>
      <c r="BA132" s="4"/>
      <c r="BB132" s="4"/>
      <c r="BC132" s="4"/>
    </row>
    <row r="133" spans="1:55" x14ac:dyDescent="0.25">
      <c r="C133" t="s">
        <v>40</v>
      </c>
      <c r="D133" s="10">
        <v>2.52</v>
      </c>
      <c r="E133" s="11">
        <v>1.97</v>
      </c>
      <c r="F133" s="11"/>
      <c r="G133" s="11"/>
      <c r="H133" s="11"/>
      <c r="I133" s="11"/>
      <c r="J133" s="11"/>
      <c r="K133" s="11"/>
      <c r="L133" s="11"/>
      <c r="M133" s="11"/>
      <c r="N133" s="11"/>
      <c r="O133" s="10"/>
      <c r="P133" s="11"/>
      <c r="Q133" s="11"/>
      <c r="R133" s="11"/>
      <c r="S133" s="11">
        <v>11.3</v>
      </c>
      <c r="T133" s="11">
        <v>15.1</v>
      </c>
      <c r="U133" s="11">
        <v>26.2</v>
      </c>
      <c r="V133" s="11">
        <v>2.59</v>
      </c>
      <c r="W133" s="11">
        <v>2.16</v>
      </c>
      <c r="X133" s="11"/>
      <c r="Y133" s="11"/>
      <c r="Z133" s="11"/>
      <c r="AA133" s="11"/>
      <c r="AB133" s="11"/>
      <c r="AC133" s="11"/>
      <c r="AD133" s="11"/>
      <c r="AE133" s="11"/>
      <c r="AF133" s="11"/>
      <c r="AG133" s="11"/>
      <c r="AH133" s="11"/>
      <c r="AI133" s="11"/>
      <c r="AJ133" s="11">
        <v>1.4</v>
      </c>
      <c r="AK133" s="11">
        <v>16.100000000000001</v>
      </c>
      <c r="AL133" s="11">
        <v>19.600000000000001</v>
      </c>
      <c r="AM133" s="11">
        <v>1.6</v>
      </c>
      <c r="AN133" s="11">
        <v>1.3</v>
      </c>
      <c r="AO133" s="11">
        <v>6.67</v>
      </c>
      <c r="AP133" s="4">
        <f t="shared" si="110"/>
        <v>108.50999999999999</v>
      </c>
      <c r="AQ133" s="4">
        <f t="shared" si="111"/>
        <v>61.84</v>
      </c>
      <c r="AR133" s="4">
        <f t="shared" si="112"/>
        <v>46.67</v>
      </c>
      <c r="AS133" s="4">
        <f t="shared" si="113"/>
        <v>4.49</v>
      </c>
      <c r="AT133" s="4">
        <f t="shared" si="114"/>
        <v>0</v>
      </c>
      <c r="AU133" s="4">
        <f t="shared" si="115"/>
        <v>57.349999999999994</v>
      </c>
      <c r="AV133" s="4">
        <f t="shared" si="116"/>
        <v>46.67</v>
      </c>
      <c r="AW133" s="4"/>
      <c r="AX133" s="4"/>
      <c r="AY133" s="4"/>
      <c r="AZ133" s="4"/>
      <c r="BA133" s="4"/>
      <c r="BB133" s="4"/>
      <c r="BC133" s="4"/>
    </row>
    <row r="134" spans="1:55" x14ac:dyDescent="0.25">
      <c r="C134" t="s">
        <v>41</v>
      </c>
      <c r="D134" s="10">
        <v>2.2999999999999998</v>
      </c>
      <c r="E134" s="11">
        <v>2.2799999999999998</v>
      </c>
      <c r="F134" s="11"/>
      <c r="G134" s="11"/>
      <c r="H134" s="11"/>
      <c r="I134" s="11"/>
      <c r="J134" s="11"/>
      <c r="K134" s="11"/>
      <c r="L134" s="11"/>
      <c r="M134" s="11"/>
      <c r="N134" s="11"/>
      <c r="O134" s="10"/>
      <c r="P134" s="11"/>
      <c r="Q134" s="11"/>
      <c r="R134" s="11"/>
      <c r="S134" s="11">
        <v>17.5</v>
      </c>
      <c r="T134" s="11">
        <v>22.2</v>
      </c>
      <c r="U134" s="11">
        <v>32.700000000000003</v>
      </c>
      <c r="V134" s="11">
        <v>3.59</v>
      </c>
      <c r="W134" s="11">
        <v>3.91</v>
      </c>
      <c r="X134" s="11">
        <v>0.51500000000000001</v>
      </c>
      <c r="Y134" s="11"/>
      <c r="Z134" s="11"/>
      <c r="AA134" s="11"/>
      <c r="AB134" s="11"/>
      <c r="AC134" s="11"/>
      <c r="AD134" s="11"/>
      <c r="AE134" s="11"/>
      <c r="AF134" s="11"/>
      <c r="AG134" s="11"/>
      <c r="AH134" s="11"/>
      <c r="AI134" s="11"/>
      <c r="AJ134" s="11">
        <v>1.5</v>
      </c>
      <c r="AK134" s="11">
        <v>26.1</v>
      </c>
      <c r="AL134" s="11">
        <v>28.9</v>
      </c>
      <c r="AM134" s="11">
        <v>18</v>
      </c>
      <c r="AN134" s="11">
        <v>15.9</v>
      </c>
      <c r="AO134" s="11">
        <v>11</v>
      </c>
      <c r="AP134" s="4">
        <f t="shared" si="110"/>
        <v>186.39500000000001</v>
      </c>
      <c r="AQ134" s="4">
        <f t="shared" si="111"/>
        <v>84.995000000000005</v>
      </c>
      <c r="AR134" s="4">
        <f t="shared" si="112"/>
        <v>101.4</v>
      </c>
      <c r="AS134" s="4">
        <f t="shared" si="113"/>
        <v>4.58</v>
      </c>
      <c r="AT134" s="4">
        <f t="shared" si="114"/>
        <v>0</v>
      </c>
      <c r="AU134" s="4">
        <f t="shared" si="115"/>
        <v>80.415000000000006</v>
      </c>
      <c r="AV134" s="4">
        <f t="shared" si="116"/>
        <v>101.4</v>
      </c>
      <c r="AW134" s="4"/>
      <c r="AX134" s="4"/>
      <c r="AY134" s="4"/>
      <c r="AZ134" s="4"/>
      <c r="BA134" s="4"/>
      <c r="BB134" s="4"/>
      <c r="BC134" s="4"/>
    </row>
    <row r="135" spans="1:55" x14ac:dyDescent="0.25">
      <c r="A135" s="2">
        <v>45128</v>
      </c>
      <c r="B135">
        <v>61</v>
      </c>
      <c r="C135" t="s">
        <v>36</v>
      </c>
      <c r="D135" s="19"/>
      <c r="E135" s="20"/>
      <c r="F135" s="20"/>
      <c r="G135" s="20"/>
      <c r="H135" s="20"/>
      <c r="I135" s="20"/>
      <c r="J135" s="20"/>
      <c r="K135" s="20"/>
      <c r="L135" s="20"/>
      <c r="M135" s="20"/>
      <c r="N135" s="20"/>
      <c r="O135" s="19"/>
      <c r="P135" s="20"/>
      <c r="Q135" s="20"/>
      <c r="R135" s="20"/>
      <c r="S135" s="20"/>
      <c r="T135" s="20"/>
      <c r="U135" s="20"/>
      <c r="V135" s="20"/>
      <c r="W135" s="20"/>
      <c r="X135" s="20"/>
      <c r="Y135" s="20"/>
      <c r="Z135" s="20"/>
      <c r="AA135" s="20"/>
      <c r="AB135" s="20"/>
      <c r="AC135" s="20"/>
      <c r="AD135" s="20"/>
      <c r="AE135" s="20"/>
      <c r="AF135" s="20"/>
      <c r="AG135" s="20"/>
      <c r="AH135" s="20"/>
      <c r="AI135" s="20"/>
      <c r="AJ135" s="20"/>
      <c r="AK135" s="20"/>
      <c r="AL135" s="20"/>
      <c r="AM135" s="20"/>
      <c r="AN135" s="20"/>
      <c r="AO135" s="20"/>
      <c r="AP135" s="4"/>
      <c r="AQ135" s="4"/>
      <c r="AR135" s="4"/>
      <c r="AS135" s="4">
        <f t="shared" si="113"/>
        <v>0</v>
      </c>
      <c r="AT135" s="4">
        <f t="shared" si="114"/>
        <v>0</v>
      </c>
      <c r="AU135" s="4">
        <f t="shared" si="115"/>
        <v>0</v>
      </c>
      <c r="AV135" s="4">
        <f t="shared" si="116"/>
        <v>0</v>
      </c>
      <c r="AW135" s="4"/>
      <c r="AX135" s="4"/>
      <c r="AY135" s="4"/>
      <c r="AZ135" s="4"/>
      <c r="BA135" s="4"/>
      <c r="BB135" s="4"/>
      <c r="BC135" s="4"/>
    </row>
    <row r="136" spans="1:55" x14ac:dyDescent="0.25">
      <c r="C136" t="s">
        <v>39</v>
      </c>
      <c r="D136" s="10"/>
      <c r="E136" s="11"/>
      <c r="F136" s="11"/>
      <c r="G136" s="11"/>
      <c r="H136" s="11"/>
      <c r="I136" s="11"/>
      <c r="J136" s="11"/>
      <c r="K136" s="11"/>
      <c r="L136" s="11"/>
      <c r="M136" s="11"/>
      <c r="N136" s="11"/>
      <c r="O136" s="10"/>
      <c r="P136" s="11"/>
      <c r="Q136" s="11"/>
      <c r="R136" s="11"/>
      <c r="S136" s="11">
        <v>21.3</v>
      </c>
      <c r="T136" s="11">
        <v>23.6</v>
      </c>
      <c r="U136" s="11">
        <v>42.2</v>
      </c>
      <c r="V136" s="11">
        <v>4.34</v>
      </c>
      <c r="W136" s="11">
        <v>3.16</v>
      </c>
      <c r="X136" s="11"/>
      <c r="Y136" s="11"/>
      <c r="Z136" s="11"/>
      <c r="AA136" s="11"/>
      <c r="AB136" s="11"/>
      <c r="AC136" s="11"/>
      <c r="AD136" s="11"/>
      <c r="AE136" s="11"/>
      <c r="AF136" s="11"/>
      <c r="AG136" s="11"/>
      <c r="AH136" s="11"/>
      <c r="AI136" s="11"/>
      <c r="AJ136" s="11">
        <v>1.82</v>
      </c>
      <c r="AK136" s="11">
        <v>32.1</v>
      </c>
      <c r="AL136" s="11">
        <v>34.4</v>
      </c>
      <c r="AM136" s="11">
        <v>13.4</v>
      </c>
      <c r="AN136" s="11">
        <v>6.79</v>
      </c>
      <c r="AO136" s="11">
        <v>1.55</v>
      </c>
      <c r="AP136" s="4">
        <f t="shared" si="110"/>
        <v>184.66000000000003</v>
      </c>
      <c r="AQ136" s="4">
        <f t="shared" si="111"/>
        <v>94.600000000000009</v>
      </c>
      <c r="AR136" s="4">
        <f t="shared" si="112"/>
        <v>90.06</v>
      </c>
      <c r="AS136" s="4">
        <f t="shared" si="113"/>
        <v>0</v>
      </c>
      <c r="AT136" s="4">
        <f t="shared" si="114"/>
        <v>0</v>
      </c>
      <c r="AU136" s="4">
        <f t="shared" si="115"/>
        <v>94.600000000000009</v>
      </c>
      <c r="AV136" s="4">
        <f t="shared" si="116"/>
        <v>90.06</v>
      </c>
      <c r="AW136" s="4"/>
      <c r="AX136" s="4"/>
      <c r="AY136" s="4"/>
      <c r="AZ136" s="4"/>
      <c r="BA136" s="4"/>
      <c r="BB136" s="4"/>
      <c r="BC136" s="4"/>
    </row>
    <row r="137" spans="1:55" x14ac:dyDescent="0.25">
      <c r="C137" t="s">
        <v>40</v>
      </c>
      <c r="D137" s="10"/>
      <c r="E137" s="11"/>
      <c r="F137" s="11"/>
      <c r="G137" s="11"/>
      <c r="H137" s="11"/>
      <c r="I137" s="11"/>
      <c r="J137" s="11"/>
      <c r="K137" s="11"/>
      <c r="L137" s="11"/>
      <c r="M137" s="11"/>
      <c r="N137" s="11"/>
      <c r="O137" s="10"/>
      <c r="P137" s="11"/>
      <c r="Q137" s="11"/>
      <c r="R137" s="11"/>
      <c r="S137" s="11">
        <v>12.5</v>
      </c>
      <c r="T137" s="11">
        <v>14.7</v>
      </c>
      <c r="U137" s="11">
        <v>24.5</v>
      </c>
      <c r="V137" s="11">
        <v>2.2999999999999998</v>
      </c>
      <c r="W137" s="11">
        <v>1.48</v>
      </c>
      <c r="X137" s="11"/>
      <c r="Y137" s="11"/>
      <c r="Z137" s="11"/>
      <c r="AA137" s="11"/>
      <c r="AB137" s="11"/>
      <c r="AC137" s="11"/>
      <c r="AD137" s="11"/>
      <c r="AE137" s="11"/>
      <c r="AF137" s="11"/>
      <c r="AG137" s="11"/>
      <c r="AH137" s="11"/>
      <c r="AI137" s="11"/>
      <c r="AJ137" s="11">
        <v>1.1499999999999999</v>
      </c>
      <c r="AK137" s="11">
        <v>16.600000000000001</v>
      </c>
      <c r="AL137" s="11">
        <v>16</v>
      </c>
      <c r="AM137" s="11">
        <v>7.2</v>
      </c>
      <c r="AN137" s="11">
        <v>2.64</v>
      </c>
      <c r="AO137" s="11"/>
      <c r="AP137" s="4">
        <f t="shared" si="110"/>
        <v>99.07</v>
      </c>
      <c r="AQ137" s="4">
        <f t="shared" si="111"/>
        <v>55.48</v>
      </c>
      <c r="AR137" s="4">
        <f t="shared" si="112"/>
        <v>43.59</v>
      </c>
      <c r="AS137" s="4">
        <f t="shared" si="113"/>
        <v>0</v>
      </c>
      <c r="AT137" s="4">
        <f t="shared" si="114"/>
        <v>0</v>
      </c>
      <c r="AU137" s="4">
        <f t="shared" si="115"/>
        <v>55.48</v>
      </c>
      <c r="AV137" s="4">
        <f t="shared" si="116"/>
        <v>43.59</v>
      </c>
      <c r="AW137" s="4"/>
      <c r="AX137" s="4"/>
      <c r="AY137" s="4"/>
      <c r="AZ137" s="4"/>
      <c r="BA137" s="4"/>
      <c r="BB137" s="4"/>
      <c r="BC137" s="4"/>
    </row>
    <row r="138" spans="1:55" x14ac:dyDescent="0.25">
      <c r="C138" t="s">
        <v>41</v>
      </c>
      <c r="D138" s="10"/>
      <c r="E138" s="11"/>
      <c r="F138" s="11"/>
      <c r="G138" s="11"/>
      <c r="H138" s="11"/>
      <c r="I138" s="11"/>
      <c r="J138" s="11"/>
      <c r="K138" s="11"/>
      <c r="L138" s="11"/>
      <c r="M138" s="11"/>
      <c r="N138" s="11"/>
      <c r="O138" s="10"/>
      <c r="P138" s="11"/>
      <c r="Q138" s="11"/>
      <c r="R138" s="11"/>
      <c r="S138" s="11">
        <v>18.899999999999999</v>
      </c>
      <c r="T138" s="11">
        <v>22.9</v>
      </c>
      <c r="U138" s="11">
        <v>33.700000000000003</v>
      </c>
      <c r="V138" s="11">
        <v>2.91</v>
      </c>
      <c r="W138" s="11">
        <v>2.4</v>
      </c>
      <c r="X138" s="11"/>
      <c r="Y138" s="11"/>
      <c r="Z138" s="11"/>
      <c r="AA138" s="11"/>
      <c r="AB138" s="11"/>
      <c r="AC138" s="11"/>
      <c r="AD138" s="11"/>
      <c r="AE138" s="11"/>
      <c r="AF138" s="11"/>
      <c r="AG138" s="11"/>
      <c r="AH138" s="11"/>
      <c r="AI138" s="11"/>
      <c r="AJ138" s="11">
        <v>1.62</v>
      </c>
      <c r="AK138" s="11">
        <v>27.9</v>
      </c>
      <c r="AL138" s="11">
        <v>27.8</v>
      </c>
      <c r="AM138" s="11">
        <v>11.5</v>
      </c>
      <c r="AN138" s="11">
        <v>4.0999999999999996</v>
      </c>
      <c r="AO138" s="11">
        <v>0.65900000000000003</v>
      </c>
      <c r="AP138" s="4">
        <f t="shared" si="110"/>
        <v>154.38900000000001</v>
      </c>
      <c r="AQ138" s="4">
        <f t="shared" si="111"/>
        <v>80.81</v>
      </c>
      <c r="AR138" s="4">
        <f t="shared" si="112"/>
        <v>73.578999999999994</v>
      </c>
      <c r="AS138" s="4">
        <f t="shared" si="113"/>
        <v>0</v>
      </c>
      <c r="AT138" s="4">
        <f t="shared" si="114"/>
        <v>0</v>
      </c>
      <c r="AU138" s="4">
        <f t="shared" si="115"/>
        <v>80.81</v>
      </c>
      <c r="AV138" s="4">
        <f t="shared" si="116"/>
        <v>73.578999999999994</v>
      </c>
      <c r="AW138" s="4"/>
      <c r="AX138" s="4"/>
      <c r="AY138" s="4"/>
      <c r="AZ138" s="4"/>
      <c r="BA138" s="4"/>
      <c r="BB138" s="4"/>
      <c r="BC138" s="4"/>
    </row>
    <row r="139" spans="1:55" x14ac:dyDescent="0.25">
      <c r="A139" s="2">
        <v>45203</v>
      </c>
      <c r="B139">
        <v>136</v>
      </c>
      <c r="C139" t="s">
        <v>36</v>
      </c>
      <c r="D139" s="19"/>
      <c r="E139" s="20"/>
      <c r="F139" s="20"/>
      <c r="G139" s="20"/>
      <c r="H139" s="20"/>
      <c r="I139" s="20"/>
      <c r="J139" s="20"/>
      <c r="K139" s="20"/>
      <c r="L139" s="20"/>
      <c r="M139" s="20"/>
      <c r="N139" s="20"/>
      <c r="O139" s="19"/>
      <c r="P139" s="20"/>
      <c r="Q139" s="20"/>
      <c r="R139" s="20"/>
      <c r="S139" s="20"/>
      <c r="T139" s="20"/>
      <c r="U139" s="20"/>
      <c r="V139" s="20"/>
      <c r="W139" s="20"/>
      <c r="X139" s="20"/>
      <c r="Y139" s="20"/>
      <c r="Z139" s="20"/>
      <c r="AA139" s="20"/>
      <c r="AB139" s="20"/>
      <c r="AC139" s="20"/>
      <c r="AD139" s="20"/>
      <c r="AE139" s="20"/>
      <c r="AF139" s="20"/>
      <c r="AG139" s="20"/>
      <c r="AH139" s="20"/>
      <c r="AI139" s="20"/>
      <c r="AJ139" s="20"/>
      <c r="AK139" s="20"/>
      <c r="AL139" s="20"/>
      <c r="AM139" s="20"/>
      <c r="AN139" s="20"/>
      <c r="AO139" s="20"/>
      <c r="AP139" s="4"/>
      <c r="AQ139" s="4"/>
      <c r="AR139" s="4"/>
      <c r="AS139" s="4">
        <f t="shared" si="113"/>
        <v>0</v>
      </c>
      <c r="AT139" s="4">
        <f t="shared" si="114"/>
        <v>0</v>
      </c>
      <c r="AU139" s="4">
        <f t="shared" si="115"/>
        <v>0</v>
      </c>
      <c r="AV139" s="4">
        <f t="shared" si="116"/>
        <v>0</v>
      </c>
      <c r="AW139" s="4"/>
      <c r="AX139" s="4"/>
      <c r="AY139" s="4"/>
      <c r="AZ139" s="4"/>
      <c r="BA139" s="4"/>
      <c r="BB139" s="4"/>
      <c r="BC139" s="4"/>
    </row>
    <row r="140" spans="1:55" x14ac:dyDescent="0.25">
      <c r="C140" t="s">
        <v>39</v>
      </c>
      <c r="D140" s="10"/>
      <c r="E140" s="11"/>
      <c r="F140" s="11"/>
      <c r="G140" s="11"/>
      <c r="H140" s="11"/>
      <c r="I140" s="11"/>
      <c r="J140" s="11"/>
      <c r="K140" s="11"/>
      <c r="L140" s="11"/>
      <c r="M140" s="11"/>
      <c r="N140" s="11"/>
      <c r="O140" s="10"/>
      <c r="P140" s="11"/>
      <c r="Q140" s="11"/>
      <c r="R140" s="11"/>
      <c r="S140" s="11">
        <v>2.87</v>
      </c>
      <c r="T140" s="11">
        <v>1.36</v>
      </c>
      <c r="U140" s="11">
        <v>0.76</v>
      </c>
      <c r="V140" s="11"/>
      <c r="W140" s="11"/>
      <c r="X140" s="11"/>
      <c r="Y140" s="11"/>
      <c r="Z140" s="11"/>
      <c r="AA140" s="11"/>
      <c r="AB140" s="11"/>
      <c r="AC140" s="11"/>
      <c r="AD140" s="11"/>
      <c r="AE140" s="11"/>
      <c r="AF140" s="11"/>
      <c r="AG140" s="11"/>
      <c r="AH140" s="11"/>
      <c r="AI140" s="11"/>
      <c r="AJ140" s="11"/>
      <c r="AK140" s="11">
        <v>2.93</v>
      </c>
      <c r="AL140" s="11">
        <v>0.72499999999999998</v>
      </c>
      <c r="AM140" s="11"/>
      <c r="AN140" s="11"/>
      <c r="AO140" s="11"/>
      <c r="AP140" s="4">
        <f t="shared" si="110"/>
        <v>8.6449999999999996</v>
      </c>
      <c r="AQ140" s="4">
        <f t="shared" si="111"/>
        <v>4.99</v>
      </c>
      <c r="AR140" s="4">
        <f t="shared" si="112"/>
        <v>3.6550000000000002</v>
      </c>
      <c r="AS140" s="4">
        <f t="shared" si="113"/>
        <v>0</v>
      </c>
      <c r="AT140" s="4">
        <f t="shared" si="114"/>
        <v>0</v>
      </c>
      <c r="AU140" s="4">
        <f t="shared" si="115"/>
        <v>4.99</v>
      </c>
      <c r="AV140" s="4">
        <f t="shared" si="116"/>
        <v>3.6550000000000002</v>
      </c>
      <c r="AW140" s="4"/>
      <c r="AX140" s="4"/>
      <c r="AY140" s="4"/>
      <c r="AZ140" s="4"/>
      <c r="BA140" s="4"/>
      <c r="BB140" s="4"/>
      <c r="BC140" s="4"/>
    </row>
    <row r="141" spans="1:55" x14ac:dyDescent="0.25">
      <c r="C141" t="s">
        <v>40</v>
      </c>
      <c r="D141" s="10"/>
      <c r="E141" s="11"/>
      <c r="F141" s="11"/>
      <c r="G141" s="11"/>
      <c r="H141" s="11"/>
      <c r="I141" s="11"/>
      <c r="J141" s="11"/>
      <c r="K141" s="11"/>
      <c r="L141" s="11"/>
      <c r="M141" s="11"/>
      <c r="N141" s="11"/>
      <c r="O141" s="10"/>
      <c r="P141" s="11"/>
      <c r="Q141" s="11"/>
      <c r="R141" s="11"/>
      <c r="S141" s="11">
        <v>1.87</v>
      </c>
      <c r="T141" s="11">
        <v>0.76200000000000001</v>
      </c>
      <c r="U141" s="11"/>
      <c r="V141" s="11"/>
      <c r="W141" s="11"/>
      <c r="X141" s="11"/>
      <c r="Y141" s="11"/>
      <c r="Z141" s="11"/>
      <c r="AA141" s="11"/>
      <c r="AB141" s="11"/>
      <c r="AC141" s="11"/>
      <c r="AD141" s="11"/>
      <c r="AE141" s="11"/>
      <c r="AF141" s="11"/>
      <c r="AG141" s="11"/>
      <c r="AH141" s="11"/>
      <c r="AI141" s="11"/>
      <c r="AJ141" s="11"/>
      <c r="AK141" s="11">
        <v>1.54</v>
      </c>
      <c r="AL141" s="11"/>
      <c r="AM141" s="11"/>
      <c r="AN141" s="11"/>
      <c r="AO141" s="11"/>
      <c r="AP141" s="4">
        <f t="shared" si="110"/>
        <v>4.1720000000000006</v>
      </c>
      <c r="AQ141" s="4">
        <f t="shared" si="111"/>
        <v>2.6320000000000001</v>
      </c>
      <c r="AR141" s="4">
        <f t="shared" si="112"/>
        <v>1.54</v>
      </c>
      <c r="AS141" s="4">
        <f t="shared" si="113"/>
        <v>0</v>
      </c>
      <c r="AT141" s="4">
        <f t="shared" si="114"/>
        <v>0</v>
      </c>
      <c r="AU141" s="4">
        <f t="shared" si="115"/>
        <v>2.6320000000000001</v>
      </c>
      <c r="AV141" s="4">
        <f t="shared" si="116"/>
        <v>1.54</v>
      </c>
      <c r="AW141" s="4"/>
      <c r="AX141" s="4"/>
      <c r="AY141" s="4"/>
      <c r="AZ141" s="4"/>
      <c r="BA141" s="4"/>
      <c r="BB141" s="4"/>
      <c r="BC141" s="4"/>
    </row>
    <row r="142" spans="1:55" ht="15.75" thickBot="1" x14ac:dyDescent="0.3">
      <c r="C142" t="s">
        <v>41</v>
      </c>
      <c r="D142" s="13"/>
      <c r="E142" s="14"/>
      <c r="F142" s="14"/>
      <c r="G142" s="14"/>
      <c r="H142" s="14"/>
      <c r="I142" s="14"/>
      <c r="J142" s="14"/>
      <c r="K142" s="14"/>
      <c r="L142" s="14"/>
      <c r="M142" s="14"/>
      <c r="N142" s="14"/>
      <c r="O142" s="13"/>
      <c r="P142" s="14"/>
      <c r="Q142" s="14"/>
      <c r="R142" s="14"/>
      <c r="S142" s="14">
        <v>3.73</v>
      </c>
      <c r="T142" s="14">
        <v>2.8</v>
      </c>
      <c r="U142" s="14">
        <v>1.88</v>
      </c>
      <c r="V142" s="14"/>
      <c r="W142" s="14"/>
      <c r="X142" s="14"/>
      <c r="Y142" s="14"/>
      <c r="Z142" s="14"/>
      <c r="AA142" s="14"/>
      <c r="AB142" s="14"/>
      <c r="AC142" s="14"/>
      <c r="AD142" s="14"/>
      <c r="AE142" s="14"/>
      <c r="AF142" s="14"/>
      <c r="AG142" s="14"/>
      <c r="AH142" s="14"/>
      <c r="AI142" s="14"/>
      <c r="AJ142" s="14"/>
      <c r="AK142" s="14">
        <v>4.9000000000000004</v>
      </c>
      <c r="AL142" s="14">
        <v>1.86</v>
      </c>
      <c r="AM142" s="14"/>
      <c r="AN142" s="14"/>
      <c r="AO142" s="14"/>
      <c r="AP142" s="4">
        <f t="shared" si="110"/>
        <v>15.17</v>
      </c>
      <c r="AQ142" s="4">
        <f t="shared" si="111"/>
        <v>8.41</v>
      </c>
      <c r="AR142" s="4">
        <f t="shared" si="112"/>
        <v>6.7600000000000007</v>
      </c>
      <c r="AS142" s="4">
        <f t="shared" si="113"/>
        <v>0</v>
      </c>
      <c r="AT142" s="4">
        <f t="shared" si="114"/>
        <v>0</v>
      </c>
      <c r="AU142" s="4">
        <f t="shared" si="115"/>
        <v>8.41</v>
      </c>
      <c r="AV142" s="4">
        <f t="shared" si="116"/>
        <v>6.7600000000000007</v>
      </c>
      <c r="AW142" s="4"/>
      <c r="AX142" s="4"/>
      <c r="AY142" s="4"/>
      <c r="AZ142" s="4"/>
      <c r="BA142" s="4"/>
      <c r="BB142" s="4"/>
      <c r="BC142" s="4"/>
    </row>
    <row r="143" spans="1:55" s="35" customFormat="1" x14ac:dyDescent="0.25">
      <c r="B143" s="35" t="s">
        <v>130</v>
      </c>
      <c r="C143" s="35">
        <v>1</v>
      </c>
      <c r="D143" s="37" t="e">
        <f>AVERAGE(D119:D122)</f>
        <v>#DIV/0!</v>
      </c>
      <c r="E143" s="37" t="e">
        <f t="shared" ref="E143:AR143" si="117">AVERAGE(E119:E122)</f>
        <v>#DIV/0!</v>
      </c>
      <c r="F143" s="37" t="e">
        <f t="shared" si="117"/>
        <v>#DIV/0!</v>
      </c>
      <c r="G143" s="37" t="e">
        <f t="shared" si="117"/>
        <v>#DIV/0!</v>
      </c>
      <c r="H143" s="37" t="e">
        <f t="shared" si="117"/>
        <v>#DIV/0!</v>
      </c>
      <c r="I143" s="37" t="e">
        <f t="shared" si="117"/>
        <v>#DIV/0!</v>
      </c>
      <c r="J143" s="37" t="e">
        <f t="shared" si="117"/>
        <v>#DIV/0!</v>
      </c>
      <c r="K143" s="37" t="e">
        <f t="shared" si="117"/>
        <v>#DIV/0!</v>
      </c>
      <c r="L143" s="37" t="e">
        <f t="shared" si="117"/>
        <v>#DIV/0!</v>
      </c>
      <c r="M143" s="37" t="e">
        <f t="shared" si="117"/>
        <v>#DIV/0!</v>
      </c>
      <c r="N143" s="37" t="e">
        <f t="shared" si="117"/>
        <v>#DIV/0!</v>
      </c>
      <c r="O143" s="37" t="e">
        <f t="shared" si="117"/>
        <v>#DIV/0!</v>
      </c>
      <c r="P143" s="37" t="e">
        <f t="shared" si="117"/>
        <v>#DIV/0!</v>
      </c>
      <c r="Q143" s="37" t="e">
        <f t="shared" si="117"/>
        <v>#DIV/0!</v>
      </c>
      <c r="R143" s="37" t="e">
        <f t="shared" si="117"/>
        <v>#DIV/0!</v>
      </c>
      <c r="S143" s="37" t="e">
        <f t="shared" si="117"/>
        <v>#DIV/0!</v>
      </c>
      <c r="T143" s="37" t="e">
        <f t="shared" si="117"/>
        <v>#DIV/0!</v>
      </c>
      <c r="U143" s="37" t="e">
        <f t="shared" si="117"/>
        <v>#DIV/0!</v>
      </c>
      <c r="V143" s="37" t="e">
        <f t="shared" si="117"/>
        <v>#DIV/0!</v>
      </c>
      <c r="W143" s="37" t="e">
        <f t="shared" si="117"/>
        <v>#DIV/0!</v>
      </c>
      <c r="X143" s="37" t="e">
        <f t="shared" si="117"/>
        <v>#DIV/0!</v>
      </c>
      <c r="Y143" s="37" t="e">
        <f t="shared" si="117"/>
        <v>#DIV/0!</v>
      </c>
      <c r="Z143" s="37" t="e">
        <f t="shared" si="117"/>
        <v>#DIV/0!</v>
      </c>
      <c r="AA143" s="37" t="e">
        <f t="shared" si="117"/>
        <v>#DIV/0!</v>
      </c>
      <c r="AB143" s="37" t="e">
        <f t="shared" si="117"/>
        <v>#DIV/0!</v>
      </c>
      <c r="AC143" s="37" t="e">
        <f t="shared" si="117"/>
        <v>#DIV/0!</v>
      </c>
      <c r="AD143" s="37" t="e">
        <f t="shared" si="117"/>
        <v>#DIV/0!</v>
      </c>
      <c r="AE143" s="37" t="e">
        <f t="shared" si="117"/>
        <v>#DIV/0!</v>
      </c>
      <c r="AF143" s="37" t="e">
        <f t="shared" si="117"/>
        <v>#DIV/0!</v>
      </c>
      <c r="AG143" s="37" t="e">
        <f t="shared" si="117"/>
        <v>#DIV/0!</v>
      </c>
      <c r="AH143" s="37" t="e">
        <f t="shared" si="117"/>
        <v>#DIV/0!</v>
      </c>
      <c r="AI143" s="37" t="e">
        <f t="shared" si="117"/>
        <v>#DIV/0!</v>
      </c>
      <c r="AJ143" s="37" t="e">
        <f t="shared" si="117"/>
        <v>#DIV/0!</v>
      </c>
      <c r="AK143" s="37" t="e">
        <f t="shared" si="117"/>
        <v>#DIV/0!</v>
      </c>
      <c r="AL143" s="37" t="e">
        <f t="shared" si="117"/>
        <v>#DIV/0!</v>
      </c>
      <c r="AM143" s="37" t="e">
        <f t="shared" si="117"/>
        <v>#DIV/0!</v>
      </c>
      <c r="AN143" s="37" t="e">
        <f t="shared" si="117"/>
        <v>#DIV/0!</v>
      </c>
      <c r="AO143" s="37" t="e">
        <f t="shared" si="117"/>
        <v>#DIV/0!</v>
      </c>
      <c r="AP143" s="37">
        <f t="shared" si="117"/>
        <v>0</v>
      </c>
      <c r="AQ143" s="37">
        <f t="shared" si="117"/>
        <v>0</v>
      </c>
      <c r="AR143" s="37">
        <f t="shared" si="117"/>
        <v>0</v>
      </c>
      <c r="AS143" s="37">
        <f t="shared" ref="AS143:AV143" si="118">AVERAGE(AS119:AS122)</f>
        <v>0</v>
      </c>
      <c r="AT143" s="37">
        <f t="shared" si="118"/>
        <v>0</v>
      </c>
      <c r="AU143" s="37">
        <f t="shared" si="118"/>
        <v>0</v>
      </c>
      <c r="AV143" s="37">
        <f t="shared" si="118"/>
        <v>0</v>
      </c>
      <c r="AW143" s="37">
        <f>_xlfn.STDEV.P(AP119:AP122)</f>
        <v>0</v>
      </c>
      <c r="AX143" s="37">
        <f>_xlfn.STDEV.P(AQ119:AQ122)</f>
        <v>0</v>
      </c>
      <c r="AY143" s="37">
        <f>_xlfn.STDEV.P(AR119:AR122)</f>
        <v>0</v>
      </c>
      <c r="AZ143" s="37">
        <f t="shared" ref="AZ143:BC143" si="119">_xlfn.STDEV.P(AS119:AS122)</f>
        <v>0</v>
      </c>
      <c r="BA143" s="37">
        <f t="shared" si="119"/>
        <v>0</v>
      </c>
      <c r="BB143" s="37">
        <f t="shared" si="119"/>
        <v>0</v>
      </c>
      <c r="BC143" s="37">
        <f t="shared" si="119"/>
        <v>0</v>
      </c>
    </row>
    <row r="144" spans="1:55" s="35" customFormat="1" x14ac:dyDescent="0.25">
      <c r="C144" s="35">
        <v>5</v>
      </c>
      <c r="D144" s="37">
        <f>AVERAGE(D123:D126)</f>
        <v>5.2666666666666666</v>
      </c>
      <c r="E144" s="37">
        <f t="shared" ref="E144:AR144" si="120">AVERAGE(E123:E126)</f>
        <v>3.4866666666666668</v>
      </c>
      <c r="F144" s="37" t="e">
        <f t="shared" si="120"/>
        <v>#DIV/0!</v>
      </c>
      <c r="G144" s="37" t="e">
        <f t="shared" si="120"/>
        <v>#DIV/0!</v>
      </c>
      <c r="H144" s="37" t="e">
        <f t="shared" si="120"/>
        <v>#DIV/0!</v>
      </c>
      <c r="I144" s="37" t="e">
        <f t="shared" si="120"/>
        <v>#DIV/0!</v>
      </c>
      <c r="J144" s="37" t="e">
        <f t="shared" si="120"/>
        <v>#DIV/0!</v>
      </c>
      <c r="K144" s="37" t="e">
        <f t="shared" si="120"/>
        <v>#DIV/0!</v>
      </c>
      <c r="L144" s="37" t="e">
        <f t="shared" si="120"/>
        <v>#DIV/0!</v>
      </c>
      <c r="M144" s="37" t="e">
        <f t="shared" si="120"/>
        <v>#DIV/0!</v>
      </c>
      <c r="N144" s="37" t="e">
        <f t="shared" si="120"/>
        <v>#DIV/0!</v>
      </c>
      <c r="O144" s="37" t="e">
        <f t="shared" si="120"/>
        <v>#DIV/0!</v>
      </c>
      <c r="P144" s="37" t="e">
        <f t="shared" si="120"/>
        <v>#DIV/0!</v>
      </c>
      <c r="Q144" s="37" t="e">
        <f t="shared" si="120"/>
        <v>#DIV/0!</v>
      </c>
      <c r="R144" s="37" t="e">
        <f t="shared" si="120"/>
        <v>#DIV/0!</v>
      </c>
      <c r="S144" s="37">
        <f t="shared" si="120"/>
        <v>0.82</v>
      </c>
      <c r="T144" s="37">
        <f t="shared" si="120"/>
        <v>0.84533333333333338</v>
      </c>
      <c r="U144" s="37">
        <f t="shared" si="120"/>
        <v>3.0966666666666671</v>
      </c>
      <c r="V144" s="37">
        <f t="shared" si="120"/>
        <v>0.72399999999999998</v>
      </c>
      <c r="W144" s="37">
        <f t="shared" si="120"/>
        <v>0.97649999999999992</v>
      </c>
      <c r="X144" s="37" t="e">
        <f t="shared" si="120"/>
        <v>#DIV/0!</v>
      </c>
      <c r="Y144" s="37" t="e">
        <f t="shared" si="120"/>
        <v>#DIV/0!</v>
      </c>
      <c r="Z144" s="37" t="e">
        <f t="shared" si="120"/>
        <v>#DIV/0!</v>
      </c>
      <c r="AA144" s="37" t="e">
        <f t="shared" si="120"/>
        <v>#DIV/0!</v>
      </c>
      <c r="AB144" s="37" t="e">
        <f t="shared" si="120"/>
        <v>#DIV/0!</v>
      </c>
      <c r="AC144" s="37" t="e">
        <f t="shared" si="120"/>
        <v>#DIV/0!</v>
      </c>
      <c r="AD144" s="37" t="e">
        <f t="shared" si="120"/>
        <v>#DIV/0!</v>
      </c>
      <c r="AE144" s="37" t="e">
        <f t="shared" si="120"/>
        <v>#DIV/0!</v>
      </c>
      <c r="AF144" s="37" t="e">
        <f t="shared" si="120"/>
        <v>#DIV/0!</v>
      </c>
      <c r="AG144" s="37" t="e">
        <f t="shared" si="120"/>
        <v>#DIV/0!</v>
      </c>
      <c r="AH144" s="37" t="e">
        <f t="shared" si="120"/>
        <v>#DIV/0!</v>
      </c>
      <c r="AI144" s="37" t="e">
        <f t="shared" si="120"/>
        <v>#DIV/0!</v>
      </c>
      <c r="AJ144" s="37" t="e">
        <f t="shared" si="120"/>
        <v>#DIV/0!</v>
      </c>
      <c r="AK144" s="37">
        <f t="shared" si="120"/>
        <v>0.92300000000000004</v>
      </c>
      <c r="AL144" s="37">
        <f t="shared" si="120"/>
        <v>1.4266666666666667</v>
      </c>
      <c r="AM144" s="37">
        <f t="shared" si="120"/>
        <v>2.1033333333333335</v>
      </c>
      <c r="AN144" s="37">
        <f t="shared" si="120"/>
        <v>4.3833333333333337</v>
      </c>
      <c r="AO144" s="37">
        <f t="shared" si="120"/>
        <v>5.1899999999999995</v>
      </c>
      <c r="AP144" s="37">
        <f t="shared" si="120"/>
        <v>27.579666666666665</v>
      </c>
      <c r="AQ144" s="37">
        <f t="shared" si="120"/>
        <v>13.860999999999999</v>
      </c>
      <c r="AR144" s="37">
        <f t="shared" si="120"/>
        <v>13.718666666666666</v>
      </c>
      <c r="AS144" s="37">
        <f t="shared" ref="AS144:AV144" si="121">AVERAGE(AS123:AS126)</f>
        <v>6.5649999999999995</v>
      </c>
      <c r="AT144" s="37">
        <f t="shared" si="121"/>
        <v>0</v>
      </c>
      <c r="AU144" s="37">
        <f t="shared" si="121"/>
        <v>3.8307500000000001</v>
      </c>
      <c r="AV144" s="37">
        <f t="shared" si="121"/>
        <v>10.289</v>
      </c>
      <c r="AW144" s="37">
        <f>_xlfn.STDEV.P(AP123:AP126)</f>
        <v>9.3843314922031471</v>
      </c>
      <c r="AX144" s="37">
        <f>_xlfn.STDEV.P(AQ123:AQ126)</f>
        <v>5.9910036443543175</v>
      </c>
      <c r="AY144" s="37">
        <f>_xlfn.STDEV.P(AR123:AR126)</f>
        <v>3.4003946176224273</v>
      </c>
      <c r="AZ144" s="37">
        <f t="shared" ref="AZ144:BC144" si="122">_xlfn.STDEV.P(AS123:AS126)</f>
        <v>5.3484600587458822</v>
      </c>
      <c r="BA144" s="37">
        <f t="shared" si="122"/>
        <v>0</v>
      </c>
      <c r="BB144" s="37">
        <f t="shared" si="122"/>
        <v>3.1739838826780455</v>
      </c>
      <c r="BC144" s="37">
        <f t="shared" si="122"/>
        <v>6.630222696109084</v>
      </c>
    </row>
    <row r="145" spans="3:55" s="35" customFormat="1" x14ac:dyDescent="0.25">
      <c r="C145" s="35">
        <v>17</v>
      </c>
      <c r="D145" s="37">
        <f>AVERAGE(D127:D130)</f>
        <v>4.3899999999999997</v>
      </c>
      <c r="E145" s="37">
        <f t="shared" ref="E145:AR145" si="123">AVERAGE(E127:E130)</f>
        <v>3.4433333333333334</v>
      </c>
      <c r="F145" s="37" t="e">
        <f t="shared" si="123"/>
        <v>#DIV/0!</v>
      </c>
      <c r="G145" s="37" t="e">
        <f t="shared" si="123"/>
        <v>#DIV/0!</v>
      </c>
      <c r="H145" s="37">
        <f t="shared" si="123"/>
        <v>0.52600000000000002</v>
      </c>
      <c r="I145" s="37" t="e">
        <f t="shared" si="123"/>
        <v>#DIV/0!</v>
      </c>
      <c r="J145" s="37" t="e">
        <f t="shared" si="123"/>
        <v>#DIV/0!</v>
      </c>
      <c r="K145" s="37" t="e">
        <f t="shared" si="123"/>
        <v>#DIV/0!</v>
      </c>
      <c r="L145" s="37" t="e">
        <f t="shared" si="123"/>
        <v>#DIV/0!</v>
      </c>
      <c r="M145" s="37" t="e">
        <f t="shared" si="123"/>
        <v>#DIV/0!</v>
      </c>
      <c r="N145" s="37" t="e">
        <f t="shared" si="123"/>
        <v>#DIV/0!</v>
      </c>
      <c r="O145" s="37" t="e">
        <f t="shared" si="123"/>
        <v>#DIV/0!</v>
      </c>
      <c r="P145" s="37" t="e">
        <f t="shared" si="123"/>
        <v>#DIV/0!</v>
      </c>
      <c r="Q145" s="37" t="e">
        <f t="shared" si="123"/>
        <v>#DIV/0!</v>
      </c>
      <c r="R145" s="37" t="e">
        <f t="shared" si="123"/>
        <v>#DIV/0!</v>
      </c>
      <c r="S145" s="37">
        <f t="shared" si="123"/>
        <v>7.1466666666666674</v>
      </c>
      <c r="T145" s="37">
        <f t="shared" si="123"/>
        <v>10.166666666666666</v>
      </c>
      <c r="U145" s="37">
        <f t="shared" si="123"/>
        <v>18.066666666666666</v>
      </c>
      <c r="V145" s="37">
        <f t="shared" si="123"/>
        <v>3.0766666666666662</v>
      </c>
      <c r="W145" s="37">
        <f t="shared" si="123"/>
        <v>3.2033333333333336</v>
      </c>
      <c r="X145" s="37">
        <f t="shared" si="123"/>
        <v>0.67</v>
      </c>
      <c r="Y145" s="37" t="e">
        <f t="shared" si="123"/>
        <v>#DIV/0!</v>
      </c>
      <c r="Z145" s="37" t="e">
        <f t="shared" si="123"/>
        <v>#DIV/0!</v>
      </c>
      <c r="AA145" s="37" t="e">
        <f t="shared" si="123"/>
        <v>#DIV/0!</v>
      </c>
      <c r="AB145" s="37" t="e">
        <f t="shared" si="123"/>
        <v>#DIV/0!</v>
      </c>
      <c r="AC145" s="37" t="e">
        <f t="shared" si="123"/>
        <v>#DIV/0!</v>
      </c>
      <c r="AD145" s="37" t="e">
        <f t="shared" si="123"/>
        <v>#DIV/0!</v>
      </c>
      <c r="AE145" s="37" t="e">
        <f t="shared" si="123"/>
        <v>#DIV/0!</v>
      </c>
      <c r="AF145" s="37" t="e">
        <f t="shared" si="123"/>
        <v>#DIV/0!</v>
      </c>
      <c r="AG145" s="37" t="e">
        <f t="shared" si="123"/>
        <v>#DIV/0!</v>
      </c>
      <c r="AH145" s="37" t="e">
        <f t="shared" si="123"/>
        <v>#DIV/0!</v>
      </c>
      <c r="AI145" s="37" t="e">
        <f t="shared" si="123"/>
        <v>#DIV/0!</v>
      </c>
      <c r="AJ145" s="37">
        <f t="shared" si="123"/>
        <v>0.97699999999999987</v>
      </c>
      <c r="AK145" s="37">
        <f t="shared" si="123"/>
        <v>14.6</v>
      </c>
      <c r="AL145" s="37">
        <f t="shared" si="123"/>
        <v>21.833333333333332</v>
      </c>
      <c r="AM145" s="37">
        <f t="shared" si="123"/>
        <v>8.0666666666666682</v>
      </c>
      <c r="AN145" s="37">
        <f t="shared" si="123"/>
        <v>13.896666666666667</v>
      </c>
      <c r="AO145" s="37">
        <f t="shared" si="123"/>
        <v>3.276666666666666</v>
      </c>
      <c r="AP145" s="37">
        <f t="shared" si="123"/>
        <v>112.54233333333333</v>
      </c>
      <c r="AQ145" s="37">
        <f t="shared" si="123"/>
        <v>49.892000000000003</v>
      </c>
      <c r="AR145" s="37">
        <f t="shared" si="123"/>
        <v>62.650333333333329</v>
      </c>
      <c r="AS145" s="37">
        <f t="shared" ref="AS145:AV145" si="124">AVERAGE(AS127:AS130)</f>
        <v>6.0065</v>
      </c>
      <c r="AT145" s="37">
        <f t="shared" si="124"/>
        <v>0</v>
      </c>
      <c r="AU145" s="37">
        <f t="shared" si="124"/>
        <v>31.412499999999998</v>
      </c>
      <c r="AV145" s="37">
        <f t="shared" si="124"/>
        <v>46.987749999999998</v>
      </c>
      <c r="AW145" s="37">
        <f>_xlfn.STDEV.P(AP127:AP130)</f>
        <v>29.978446928121929</v>
      </c>
      <c r="AX145" s="37">
        <f>_xlfn.STDEV.P(AQ127:AQ130)</f>
        <v>16.182707890420147</v>
      </c>
      <c r="AY145" s="37">
        <f>_xlfn.STDEV.P(AR127:AR130)</f>
        <v>14.947715551957176</v>
      </c>
      <c r="AZ145" s="37">
        <f t="shared" ref="AZ145:BC145" si="125">_xlfn.STDEV.P(AS127:AS130)</f>
        <v>4.0266731615565714</v>
      </c>
      <c r="BA145" s="37">
        <f t="shared" si="125"/>
        <v>0</v>
      </c>
      <c r="BB145" s="37">
        <f t="shared" si="125"/>
        <v>23.961023950365732</v>
      </c>
      <c r="BC145" s="37">
        <f t="shared" si="125"/>
        <v>30.058695916281867</v>
      </c>
    </row>
    <row r="146" spans="3:55" s="35" customFormat="1" x14ac:dyDescent="0.25">
      <c r="C146" s="35">
        <v>57</v>
      </c>
      <c r="D146" s="37">
        <f>AVERAGE(D131:D134)</f>
        <v>2.3066666666666666</v>
      </c>
      <c r="E146" s="37">
        <f t="shared" ref="E146:AR146" si="126">AVERAGE(E131:E134)</f>
        <v>2.06</v>
      </c>
      <c r="F146" s="37" t="e">
        <f t="shared" si="126"/>
        <v>#DIV/0!</v>
      </c>
      <c r="G146" s="37" t="e">
        <f t="shared" si="126"/>
        <v>#DIV/0!</v>
      </c>
      <c r="H146" s="37" t="e">
        <f t="shared" si="126"/>
        <v>#DIV/0!</v>
      </c>
      <c r="I146" s="37" t="e">
        <f t="shared" si="126"/>
        <v>#DIV/0!</v>
      </c>
      <c r="J146" s="37" t="e">
        <f t="shared" si="126"/>
        <v>#DIV/0!</v>
      </c>
      <c r="K146" s="37" t="e">
        <f t="shared" si="126"/>
        <v>#DIV/0!</v>
      </c>
      <c r="L146" s="37" t="e">
        <f t="shared" si="126"/>
        <v>#DIV/0!</v>
      </c>
      <c r="M146" s="37" t="e">
        <f t="shared" si="126"/>
        <v>#DIV/0!</v>
      </c>
      <c r="N146" s="37" t="e">
        <f t="shared" si="126"/>
        <v>#DIV/0!</v>
      </c>
      <c r="O146" s="37" t="e">
        <f t="shared" si="126"/>
        <v>#DIV/0!</v>
      </c>
      <c r="P146" s="37" t="e">
        <f t="shared" si="126"/>
        <v>#DIV/0!</v>
      </c>
      <c r="Q146" s="37" t="e">
        <f t="shared" si="126"/>
        <v>#DIV/0!</v>
      </c>
      <c r="R146" s="37" t="e">
        <f t="shared" si="126"/>
        <v>#DIV/0!</v>
      </c>
      <c r="S146" s="37">
        <f t="shared" si="126"/>
        <v>14.833333333333334</v>
      </c>
      <c r="T146" s="37">
        <f t="shared" si="126"/>
        <v>13.266666666666666</v>
      </c>
      <c r="U146" s="37">
        <f t="shared" si="126"/>
        <v>20.733333333333334</v>
      </c>
      <c r="V146" s="37">
        <f t="shared" si="126"/>
        <v>3.5966666666666662</v>
      </c>
      <c r="W146" s="37">
        <f t="shared" si="126"/>
        <v>3.4333333333333336</v>
      </c>
      <c r="X146" s="37">
        <f t="shared" si="126"/>
        <v>0.53200000000000003</v>
      </c>
      <c r="Y146" s="37" t="e">
        <f t="shared" si="126"/>
        <v>#DIV/0!</v>
      </c>
      <c r="Z146" s="37" t="e">
        <f t="shared" si="126"/>
        <v>#DIV/0!</v>
      </c>
      <c r="AA146" s="37" t="e">
        <f t="shared" si="126"/>
        <v>#DIV/0!</v>
      </c>
      <c r="AB146" s="37" t="e">
        <f t="shared" si="126"/>
        <v>#DIV/0!</v>
      </c>
      <c r="AC146" s="37" t="e">
        <f t="shared" si="126"/>
        <v>#DIV/0!</v>
      </c>
      <c r="AD146" s="37" t="e">
        <f t="shared" si="126"/>
        <v>#DIV/0!</v>
      </c>
      <c r="AE146" s="37" t="e">
        <f t="shared" si="126"/>
        <v>#DIV/0!</v>
      </c>
      <c r="AF146" s="37" t="e">
        <f t="shared" si="126"/>
        <v>#DIV/0!</v>
      </c>
      <c r="AG146" s="37" t="e">
        <f t="shared" si="126"/>
        <v>#DIV/0!</v>
      </c>
      <c r="AH146" s="37" t="e">
        <f t="shared" si="126"/>
        <v>#DIV/0!</v>
      </c>
      <c r="AI146" s="37" t="e">
        <f t="shared" si="126"/>
        <v>#DIV/0!</v>
      </c>
      <c r="AJ146" s="37">
        <f t="shared" si="126"/>
        <v>1.5266666666666666</v>
      </c>
      <c r="AK146" s="37">
        <f t="shared" si="126"/>
        <v>21.766666666666669</v>
      </c>
      <c r="AL146" s="37">
        <f t="shared" si="126"/>
        <v>26.033333333333331</v>
      </c>
      <c r="AM146" s="37">
        <f t="shared" si="126"/>
        <v>13.733333333333334</v>
      </c>
      <c r="AN146" s="37">
        <f t="shared" si="126"/>
        <v>12.799999999999999</v>
      </c>
      <c r="AO146" s="37">
        <f t="shared" si="126"/>
        <v>10.223333333333334</v>
      </c>
      <c r="AP146" s="37">
        <f t="shared" si="126"/>
        <v>146.66800000000001</v>
      </c>
      <c r="AQ146" s="37">
        <f t="shared" si="126"/>
        <v>60.584666666666671</v>
      </c>
      <c r="AR146" s="37">
        <f t="shared" si="126"/>
        <v>86.083333333333329</v>
      </c>
      <c r="AS146" s="37">
        <f t="shared" ref="AS146:AV146" si="127">AVERAGE(AS131:AS134)</f>
        <v>3.2749999999999999</v>
      </c>
      <c r="AT146" s="37">
        <f t="shared" si="127"/>
        <v>0</v>
      </c>
      <c r="AU146" s="37">
        <f t="shared" si="127"/>
        <v>42.163499999999999</v>
      </c>
      <c r="AV146" s="37">
        <f t="shared" si="127"/>
        <v>64.5625</v>
      </c>
      <c r="AW146" s="37">
        <f>_xlfn.STDEV.P(AP131:AP134)</f>
        <v>31.815767862282719</v>
      </c>
      <c r="AX146" s="37">
        <f>_xlfn.STDEV.P(AQ131:AQ134)</f>
        <v>20.462703313318325</v>
      </c>
      <c r="AY146" s="37">
        <f>_xlfn.STDEV.P(AR131:AR134)</f>
        <v>28.098994446223358</v>
      </c>
      <c r="AZ146" s="37">
        <f t="shared" ref="AZ146:BC146" si="128">_xlfn.STDEV.P(AS131:AS134)</f>
        <v>1.9022946669745997</v>
      </c>
      <c r="BA146" s="37">
        <f t="shared" si="128"/>
        <v>0</v>
      </c>
      <c r="BB146" s="37">
        <f t="shared" si="128"/>
        <v>29.994508318190515</v>
      </c>
      <c r="BC146" s="37">
        <f t="shared" si="128"/>
        <v>44.515209970862777</v>
      </c>
    </row>
    <row r="147" spans="3:55" s="35" customFormat="1" x14ac:dyDescent="0.25">
      <c r="C147" s="35">
        <v>61</v>
      </c>
      <c r="D147" s="37" t="e">
        <f>AVERAGE(D135:D138)</f>
        <v>#DIV/0!</v>
      </c>
      <c r="E147" s="37" t="e">
        <f t="shared" ref="E147:AR147" si="129">AVERAGE(E135:E138)</f>
        <v>#DIV/0!</v>
      </c>
      <c r="F147" s="37" t="e">
        <f t="shared" si="129"/>
        <v>#DIV/0!</v>
      </c>
      <c r="G147" s="37" t="e">
        <f t="shared" si="129"/>
        <v>#DIV/0!</v>
      </c>
      <c r="H147" s="37" t="e">
        <f t="shared" si="129"/>
        <v>#DIV/0!</v>
      </c>
      <c r="I147" s="37" t="e">
        <f t="shared" si="129"/>
        <v>#DIV/0!</v>
      </c>
      <c r="J147" s="37" t="e">
        <f t="shared" si="129"/>
        <v>#DIV/0!</v>
      </c>
      <c r="K147" s="37" t="e">
        <f t="shared" si="129"/>
        <v>#DIV/0!</v>
      </c>
      <c r="L147" s="37" t="e">
        <f t="shared" si="129"/>
        <v>#DIV/0!</v>
      </c>
      <c r="M147" s="37" t="e">
        <f t="shared" si="129"/>
        <v>#DIV/0!</v>
      </c>
      <c r="N147" s="37" t="e">
        <f t="shared" si="129"/>
        <v>#DIV/0!</v>
      </c>
      <c r="O147" s="37" t="e">
        <f t="shared" si="129"/>
        <v>#DIV/0!</v>
      </c>
      <c r="P147" s="37" t="e">
        <f t="shared" si="129"/>
        <v>#DIV/0!</v>
      </c>
      <c r="Q147" s="37" t="e">
        <f t="shared" si="129"/>
        <v>#DIV/0!</v>
      </c>
      <c r="R147" s="37" t="e">
        <f t="shared" si="129"/>
        <v>#DIV/0!</v>
      </c>
      <c r="S147" s="37">
        <f t="shared" si="129"/>
        <v>17.566666666666666</v>
      </c>
      <c r="T147" s="37">
        <f t="shared" si="129"/>
        <v>20.399999999999999</v>
      </c>
      <c r="U147" s="37">
        <f t="shared" si="129"/>
        <v>33.466666666666669</v>
      </c>
      <c r="V147" s="37">
        <f t="shared" si="129"/>
        <v>3.1833333333333336</v>
      </c>
      <c r="W147" s="37">
        <f t="shared" si="129"/>
        <v>2.3466666666666671</v>
      </c>
      <c r="X147" s="37" t="e">
        <f t="shared" si="129"/>
        <v>#DIV/0!</v>
      </c>
      <c r="Y147" s="37" t="e">
        <f t="shared" si="129"/>
        <v>#DIV/0!</v>
      </c>
      <c r="Z147" s="37" t="e">
        <f t="shared" si="129"/>
        <v>#DIV/0!</v>
      </c>
      <c r="AA147" s="37" t="e">
        <f t="shared" si="129"/>
        <v>#DIV/0!</v>
      </c>
      <c r="AB147" s="37" t="e">
        <f t="shared" si="129"/>
        <v>#DIV/0!</v>
      </c>
      <c r="AC147" s="37" t="e">
        <f t="shared" si="129"/>
        <v>#DIV/0!</v>
      </c>
      <c r="AD147" s="37" t="e">
        <f t="shared" si="129"/>
        <v>#DIV/0!</v>
      </c>
      <c r="AE147" s="37" t="e">
        <f t="shared" si="129"/>
        <v>#DIV/0!</v>
      </c>
      <c r="AF147" s="37" t="e">
        <f t="shared" si="129"/>
        <v>#DIV/0!</v>
      </c>
      <c r="AG147" s="37" t="e">
        <f t="shared" si="129"/>
        <v>#DIV/0!</v>
      </c>
      <c r="AH147" s="37" t="e">
        <f t="shared" si="129"/>
        <v>#DIV/0!</v>
      </c>
      <c r="AI147" s="37" t="e">
        <f t="shared" si="129"/>
        <v>#DIV/0!</v>
      </c>
      <c r="AJ147" s="37">
        <f t="shared" si="129"/>
        <v>1.53</v>
      </c>
      <c r="AK147" s="37">
        <f t="shared" si="129"/>
        <v>25.533333333333331</v>
      </c>
      <c r="AL147" s="37">
        <f t="shared" si="129"/>
        <v>26.066666666666666</v>
      </c>
      <c r="AM147" s="37">
        <f t="shared" si="129"/>
        <v>10.700000000000001</v>
      </c>
      <c r="AN147" s="37">
        <f t="shared" si="129"/>
        <v>4.51</v>
      </c>
      <c r="AO147" s="37">
        <f t="shared" si="129"/>
        <v>1.1045</v>
      </c>
      <c r="AP147" s="37">
        <f t="shared" si="129"/>
        <v>146.03966666666668</v>
      </c>
      <c r="AQ147" s="37">
        <f t="shared" si="129"/>
        <v>76.963333333333338</v>
      </c>
      <c r="AR147" s="37">
        <f t="shared" si="129"/>
        <v>69.076333333333324</v>
      </c>
      <c r="AS147" s="37">
        <f t="shared" ref="AS147:AV147" si="130">AVERAGE(AS135:AS138)</f>
        <v>0</v>
      </c>
      <c r="AT147" s="37">
        <f t="shared" si="130"/>
        <v>0</v>
      </c>
      <c r="AU147" s="37">
        <f t="shared" si="130"/>
        <v>57.722500000000004</v>
      </c>
      <c r="AV147" s="37">
        <f t="shared" si="130"/>
        <v>51.807249999999996</v>
      </c>
      <c r="AW147" s="37">
        <f>_xlfn.STDEV.P(AP135:AP138)</f>
        <v>35.437226662869001</v>
      </c>
      <c r="AX147" s="37">
        <f>_xlfn.STDEV.P(AQ135:AQ138)</f>
        <v>16.200642648432858</v>
      </c>
      <c r="AY147" s="37">
        <f>_xlfn.STDEV.P(AR135:AR138)</f>
        <v>19.236609720934613</v>
      </c>
      <c r="AZ147" s="37">
        <f t="shared" ref="AZ147:BC147" si="131">_xlfn.STDEV.P(AS135:AS138)</f>
        <v>0</v>
      </c>
      <c r="BA147" s="37">
        <f t="shared" si="131"/>
        <v>0</v>
      </c>
      <c r="BB147" s="37">
        <f t="shared" si="131"/>
        <v>36.159018498156172</v>
      </c>
      <c r="BC147" s="37">
        <f t="shared" si="131"/>
        <v>34.237393047478079</v>
      </c>
    </row>
    <row r="148" spans="3:55" s="35" customFormat="1" x14ac:dyDescent="0.25">
      <c r="C148" s="35">
        <v>136</v>
      </c>
      <c r="D148" s="37" t="e">
        <f>AVERAGE(D139:D142)</f>
        <v>#DIV/0!</v>
      </c>
      <c r="E148" s="37" t="e">
        <f t="shared" ref="E148:AR148" si="132">AVERAGE(E139:E142)</f>
        <v>#DIV/0!</v>
      </c>
      <c r="F148" s="37" t="e">
        <f t="shared" si="132"/>
        <v>#DIV/0!</v>
      </c>
      <c r="G148" s="37" t="e">
        <f t="shared" si="132"/>
        <v>#DIV/0!</v>
      </c>
      <c r="H148" s="37" t="e">
        <f t="shared" si="132"/>
        <v>#DIV/0!</v>
      </c>
      <c r="I148" s="37" t="e">
        <f t="shared" si="132"/>
        <v>#DIV/0!</v>
      </c>
      <c r="J148" s="37" t="e">
        <f t="shared" si="132"/>
        <v>#DIV/0!</v>
      </c>
      <c r="K148" s="37" t="e">
        <f t="shared" si="132"/>
        <v>#DIV/0!</v>
      </c>
      <c r="L148" s="37" t="e">
        <f t="shared" si="132"/>
        <v>#DIV/0!</v>
      </c>
      <c r="M148" s="37" t="e">
        <f t="shared" si="132"/>
        <v>#DIV/0!</v>
      </c>
      <c r="N148" s="37" t="e">
        <f t="shared" si="132"/>
        <v>#DIV/0!</v>
      </c>
      <c r="O148" s="37" t="e">
        <f t="shared" si="132"/>
        <v>#DIV/0!</v>
      </c>
      <c r="P148" s="37" t="e">
        <f t="shared" si="132"/>
        <v>#DIV/0!</v>
      </c>
      <c r="Q148" s="37" t="e">
        <f t="shared" si="132"/>
        <v>#DIV/0!</v>
      </c>
      <c r="R148" s="37" t="e">
        <f t="shared" si="132"/>
        <v>#DIV/0!</v>
      </c>
      <c r="S148" s="37">
        <f t="shared" si="132"/>
        <v>2.8233333333333337</v>
      </c>
      <c r="T148" s="37">
        <f t="shared" si="132"/>
        <v>1.6406666666666665</v>
      </c>
      <c r="U148" s="37">
        <f t="shared" si="132"/>
        <v>1.3199999999999998</v>
      </c>
      <c r="V148" s="37" t="e">
        <f t="shared" si="132"/>
        <v>#DIV/0!</v>
      </c>
      <c r="W148" s="37" t="e">
        <f t="shared" si="132"/>
        <v>#DIV/0!</v>
      </c>
      <c r="X148" s="37" t="e">
        <f t="shared" si="132"/>
        <v>#DIV/0!</v>
      </c>
      <c r="Y148" s="37" t="e">
        <f t="shared" si="132"/>
        <v>#DIV/0!</v>
      </c>
      <c r="Z148" s="37" t="e">
        <f t="shared" si="132"/>
        <v>#DIV/0!</v>
      </c>
      <c r="AA148" s="37" t="e">
        <f t="shared" si="132"/>
        <v>#DIV/0!</v>
      </c>
      <c r="AB148" s="37" t="e">
        <f t="shared" si="132"/>
        <v>#DIV/0!</v>
      </c>
      <c r="AC148" s="37" t="e">
        <f t="shared" si="132"/>
        <v>#DIV/0!</v>
      </c>
      <c r="AD148" s="37" t="e">
        <f t="shared" si="132"/>
        <v>#DIV/0!</v>
      </c>
      <c r="AE148" s="37" t="e">
        <f t="shared" si="132"/>
        <v>#DIV/0!</v>
      </c>
      <c r="AF148" s="37" t="e">
        <f t="shared" si="132"/>
        <v>#DIV/0!</v>
      </c>
      <c r="AG148" s="37" t="e">
        <f t="shared" si="132"/>
        <v>#DIV/0!</v>
      </c>
      <c r="AH148" s="37" t="e">
        <f t="shared" si="132"/>
        <v>#DIV/0!</v>
      </c>
      <c r="AI148" s="37" t="e">
        <f t="shared" si="132"/>
        <v>#DIV/0!</v>
      </c>
      <c r="AJ148" s="37" t="e">
        <f t="shared" si="132"/>
        <v>#DIV/0!</v>
      </c>
      <c r="AK148" s="37">
        <f t="shared" si="132"/>
        <v>3.1233333333333335</v>
      </c>
      <c r="AL148" s="37">
        <f t="shared" si="132"/>
        <v>1.2925</v>
      </c>
      <c r="AM148" s="37" t="e">
        <f t="shared" si="132"/>
        <v>#DIV/0!</v>
      </c>
      <c r="AN148" s="37" t="e">
        <f t="shared" si="132"/>
        <v>#DIV/0!</v>
      </c>
      <c r="AO148" s="37" t="e">
        <f t="shared" si="132"/>
        <v>#DIV/0!</v>
      </c>
      <c r="AP148" s="37">
        <f t="shared" si="132"/>
        <v>9.3290000000000006</v>
      </c>
      <c r="AQ148" s="37">
        <f t="shared" si="132"/>
        <v>5.3440000000000003</v>
      </c>
      <c r="AR148" s="37">
        <f t="shared" si="132"/>
        <v>3.9850000000000008</v>
      </c>
      <c r="AS148" s="37">
        <f t="shared" ref="AS148:AV148" si="133">AVERAGE(AS139:AS142)</f>
        <v>0</v>
      </c>
      <c r="AT148" s="37">
        <f t="shared" si="133"/>
        <v>0</v>
      </c>
      <c r="AU148" s="37">
        <f t="shared" si="133"/>
        <v>4.008</v>
      </c>
      <c r="AV148" s="37">
        <f t="shared" si="133"/>
        <v>2.9887500000000005</v>
      </c>
      <c r="AW148" s="37">
        <f>_xlfn.STDEV.P(AP139:AP142)</f>
        <v>4.5158899455146155</v>
      </c>
      <c r="AX148" s="37">
        <f>_xlfn.STDEV.P(AQ139:AQ142)</f>
        <v>2.3721028645486695</v>
      </c>
      <c r="AY148" s="37">
        <f>_xlfn.STDEV.P(AR139:AR142)</f>
        <v>2.1437933669082945</v>
      </c>
      <c r="AZ148" s="37">
        <f t="shared" ref="AZ148:BC148" si="134">_xlfn.STDEV.P(AS139:AS142)</f>
        <v>0</v>
      </c>
      <c r="BA148" s="37">
        <f t="shared" si="134"/>
        <v>0</v>
      </c>
      <c r="BB148" s="37">
        <f t="shared" si="134"/>
        <v>3.0943241588430905</v>
      </c>
      <c r="BC148" s="37">
        <f t="shared" si="134"/>
        <v>2.53464587023513</v>
      </c>
    </row>
  </sheetData>
  <conditionalFormatting sqref="D77:AC79 AH53:AO79">
    <cfRule type="notContainsText" dxfId="12" priority="7" operator="notContains" text="&lt;">
      <formula>ISERROR(SEARCH("&lt;",D53))</formula>
    </cfRule>
  </conditionalFormatting>
  <conditionalFormatting sqref="D53:AC55">
    <cfRule type="notContainsText" dxfId="11" priority="15" operator="notContains" text="&lt;">
      <formula>ISERROR(SEARCH("&lt;",D53))</formula>
    </cfRule>
  </conditionalFormatting>
  <conditionalFormatting sqref="D56:AC58">
    <cfRule type="notContainsText" dxfId="10" priority="14" operator="notContains" text="&lt;">
      <formula>ISERROR(SEARCH("&lt;",D56))</formula>
    </cfRule>
  </conditionalFormatting>
  <conditionalFormatting sqref="D59:AC61">
    <cfRule type="notContainsText" dxfId="9" priority="13" operator="notContains" text="&lt;">
      <formula>ISERROR(SEARCH("&lt;",D59))</formula>
    </cfRule>
  </conditionalFormatting>
  <conditionalFormatting sqref="D62:AC64">
    <cfRule type="notContainsText" dxfId="8" priority="12" operator="notContains" text="&lt;">
      <formula>ISERROR(SEARCH("&lt;",D62))</formula>
    </cfRule>
  </conditionalFormatting>
  <conditionalFormatting sqref="D65:AC67">
    <cfRule type="notContainsText" dxfId="7" priority="11" operator="notContains" text="&lt;">
      <formula>ISERROR(SEARCH("&lt;",D65))</formula>
    </cfRule>
  </conditionalFormatting>
  <conditionalFormatting sqref="D68:AC70">
    <cfRule type="notContainsText" dxfId="6" priority="10" operator="notContains" text="&lt;">
      <formula>ISERROR(SEARCH("&lt;",D68))</formula>
    </cfRule>
  </conditionalFormatting>
  <conditionalFormatting sqref="D71:AC73">
    <cfRule type="notContainsText" dxfId="5" priority="9" operator="notContains" text="&lt;">
      <formula>ISERROR(SEARCH("&lt;",D71))</formula>
    </cfRule>
  </conditionalFormatting>
  <conditionalFormatting sqref="D74:AC76">
    <cfRule type="notContainsText" dxfId="4" priority="8" operator="notContains" text="&lt;">
      <formula>ISERROR(SEARCH("&lt;",D74))</formula>
    </cfRule>
  </conditionalFormatting>
  <conditionalFormatting sqref="D89:AO112">
    <cfRule type="notContainsText" dxfId="3" priority="6" operator="notContains" text="&lt;">
      <formula>ISERROR(SEARCH("&lt;",D89))</formula>
    </cfRule>
  </conditionalFormatting>
  <conditionalFormatting sqref="D119:AO142">
    <cfRule type="notContainsText" dxfId="2" priority="5" operator="notContains" text="&lt;">
      <formula>ISERROR(SEARCH("&lt;",D119))</formula>
    </cfRule>
  </conditionalFormatting>
  <conditionalFormatting sqref="D43:AO52">
    <cfRule type="colorScale" priority="4">
      <colorScale>
        <cfvo type="min"/>
        <cfvo type="percentile" val="50"/>
        <cfvo type="max"/>
        <color rgb="FF63BE7B"/>
        <color rgb="FFFFEB84"/>
        <color rgb="FFF8696B"/>
      </colorScale>
    </cfRule>
  </conditionalFormatting>
  <conditionalFormatting sqref="D80:AO88">
    <cfRule type="colorScale" priority="3">
      <colorScale>
        <cfvo type="min"/>
        <cfvo type="percentile" val="50"/>
        <cfvo type="max"/>
        <color rgb="FF63BE7B"/>
        <color rgb="FFFFEB84"/>
        <color rgb="FFF8696B"/>
      </colorScale>
    </cfRule>
  </conditionalFormatting>
  <conditionalFormatting sqref="D113:AO118">
    <cfRule type="colorScale" priority="2">
      <colorScale>
        <cfvo type="min"/>
        <cfvo type="percentile" val="50"/>
        <cfvo type="max"/>
        <color rgb="FF63BE7B"/>
        <color rgb="FFFFEB84"/>
        <color rgb="FFF8696B"/>
      </colorScale>
    </cfRule>
  </conditionalFormatting>
  <conditionalFormatting sqref="D143:AO148">
    <cfRule type="colorScale" priority="1">
      <colorScale>
        <cfvo type="min"/>
        <cfvo type="percentile" val="50"/>
        <cfvo type="max"/>
        <color rgb="FF63BE7B"/>
        <color rgb="FFFFEB84"/>
        <color rgb="FFF8696B"/>
      </colorScale>
    </cfRule>
  </conditionalFormatting>
  <pageMargins left="0.7" right="0.7" top="0.78740157499999996" bottom="0.78740157499999996"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ADAAD-0255-4101-969C-CDDA9388641C}">
  <dimension ref="A1:AH103"/>
  <sheetViews>
    <sheetView zoomScale="70" zoomScaleNormal="70" workbookViewId="0">
      <pane xSplit="1" ySplit="2" topLeftCell="B3" activePane="bottomRight" state="frozen"/>
      <selection pane="topRight" activeCell="B1" sqref="B1"/>
      <selection pane="bottomLeft" activeCell="A3" sqref="A3"/>
      <selection pane="bottomRight" activeCell="A2" activeCellId="1" sqref="J2:M40 A2:A40"/>
    </sheetView>
  </sheetViews>
  <sheetFormatPr baseColWidth="10" defaultRowHeight="15" x14ac:dyDescent="0.25"/>
  <sheetData>
    <row r="1" spans="1:34" x14ac:dyDescent="0.25">
      <c r="B1" t="s">
        <v>147</v>
      </c>
      <c r="F1" t="s">
        <v>148</v>
      </c>
      <c r="J1" t="s">
        <v>111</v>
      </c>
      <c r="P1" t="s">
        <v>165</v>
      </c>
      <c r="W1" t="s">
        <v>73</v>
      </c>
      <c r="AA1" t="s">
        <v>66</v>
      </c>
      <c r="AE1" t="s">
        <v>63</v>
      </c>
    </row>
    <row r="2" spans="1:34" x14ac:dyDescent="0.25">
      <c r="A2" t="s">
        <v>35</v>
      </c>
      <c r="B2" t="s">
        <v>102</v>
      </c>
      <c r="C2" t="s">
        <v>39</v>
      </c>
      <c r="D2" t="s">
        <v>40</v>
      </c>
      <c r="E2" t="s">
        <v>41</v>
      </c>
      <c r="F2" t="s">
        <v>36</v>
      </c>
      <c r="G2" t="s">
        <v>39</v>
      </c>
      <c r="H2" t="s">
        <v>40</v>
      </c>
      <c r="I2" t="s">
        <v>41</v>
      </c>
      <c r="J2" t="s">
        <v>102</v>
      </c>
      <c r="K2" t="s">
        <v>39</v>
      </c>
      <c r="L2" t="s">
        <v>40</v>
      </c>
      <c r="M2" t="s">
        <v>41</v>
      </c>
      <c r="N2" t="s">
        <v>89</v>
      </c>
      <c r="O2" t="s">
        <v>90</v>
      </c>
      <c r="P2" t="s">
        <v>36</v>
      </c>
      <c r="Q2" t="s">
        <v>39</v>
      </c>
      <c r="R2" t="s">
        <v>40</v>
      </c>
      <c r="S2" t="s">
        <v>41</v>
      </c>
      <c r="T2" t="s">
        <v>144</v>
      </c>
      <c r="U2" t="s">
        <v>145</v>
      </c>
      <c r="V2" t="s">
        <v>146</v>
      </c>
      <c r="W2" t="s">
        <v>36</v>
      </c>
      <c r="X2" t="s">
        <v>39</v>
      </c>
      <c r="Y2" t="s">
        <v>40</v>
      </c>
      <c r="Z2" t="s">
        <v>41</v>
      </c>
      <c r="AA2" t="s">
        <v>36</v>
      </c>
      <c r="AB2" t="s">
        <v>39</v>
      </c>
      <c r="AC2" t="s">
        <v>40</v>
      </c>
      <c r="AD2" t="s">
        <v>41</v>
      </c>
      <c r="AE2" t="s">
        <v>36</v>
      </c>
      <c r="AF2" t="s">
        <v>39</v>
      </c>
      <c r="AG2" t="s">
        <v>40</v>
      </c>
      <c r="AH2" t="s">
        <v>41</v>
      </c>
    </row>
    <row r="3" spans="1:34" x14ac:dyDescent="0.25">
      <c r="A3" t="s">
        <v>78</v>
      </c>
      <c r="B3">
        <v>18378.220423850435</v>
      </c>
      <c r="C3">
        <v>19017.782898375524</v>
      </c>
      <c r="D3">
        <v>18437.589075629898</v>
      </c>
      <c r="E3">
        <v>18312.086630385314</v>
      </c>
      <c r="F3" s="4">
        <v>39.31327237713937</v>
      </c>
      <c r="G3" s="4">
        <v>76.096075111641625</v>
      </c>
      <c r="H3" s="4">
        <v>54.07624142485723</v>
      </c>
      <c r="I3" s="4">
        <v>44.226433125174147</v>
      </c>
      <c r="J3" s="4">
        <f t="shared" ref="J3:J14" si="0">F3/B3*100</f>
        <v>0.2139122911276021</v>
      </c>
      <c r="K3" s="4">
        <f t="shared" ref="K3:K14" si="1">G3/C3*100</f>
        <v>0.40013115891727669</v>
      </c>
      <c r="L3" s="4">
        <f t="shared" ref="L3:L14" si="2">H3/D3*100</f>
        <v>0.29329345177962096</v>
      </c>
      <c r="M3" s="4">
        <f t="shared" ref="M3:M14" si="3">I3/E3*100</f>
        <v>0.24151498416236772</v>
      </c>
      <c r="N3" s="4">
        <f>AVERAGE(J3:M3)</f>
        <v>0.28721297149671687</v>
      </c>
      <c r="O3" s="4">
        <f>_xlfn.STDEV.P(J3:M3)</f>
        <v>7.1149112924548966E-2</v>
      </c>
      <c r="P3" s="4"/>
      <c r="Q3" s="4">
        <v>0</v>
      </c>
      <c r="R3" s="4">
        <v>0</v>
      </c>
      <c r="S3" s="4">
        <v>0</v>
      </c>
      <c r="T3" s="4">
        <f t="shared" ref="T3:T14" si="4">Q3/C3*1000</f>
        <v>0</v>
      </c>
      <c r="U3" s="4">
        <f t="shared" ref="U3:U14" si="5">R3/D3*1000</f>
        <v>0</v>
      </c>
      <c r="V3" s="4">
        <f t="shared" ref="V3:V14" si="6">S3/E3*1000</f>
        <v>0</v>
      </c>
    </row>
    <row r="4" spans="1:34" x14ac:dyDescent="0.25">
      <c r="A4" t="s">
        <v>79</v>
      </c>
      <c r="B4">
        <v>4633.1294697466765</v>
      </c>
      <c r="C4">
        <v>4758.7289182245959</v>
      </c>
      <c r="D4">
        <v>4630.4233780656414</v>
      </c>
      <c r="E4">
        <v>4539.3692403451705</v>
      </c>
      <c r="F4" s="4">
        <v>1.104000355979341</v>
      </c>
      <c r="G4" s="4">
        <v>1.1503879454133057</v>
      </c>
      <c r="H4" s="4">
        <v>0.87147810274602622</v>
      </c>
      <c r="I4" s="4">
        <v>0.97494758237598145</v>
      </c>
      <c r="J4" s="4">
        <f t="shared" si="0"/>
        <v>2.3828394246010652E-2</v>
      </c>
      <c r="K4" s="4">
        <f t="shared" si="1"/>
        <v>2.4174269330779544E-2</v>
      </c>
      <c r="L4" s="4">
        <f t="shared" si="2"/>
        <v>1.8820700216620065E-2</v>
      </c>
      <c r="M4" s="4">
        <f t="shared" si="3"/>
        <v>2.1477600317480389E-2</v>
      </c>
      <c r="N4" s="4">
        <f t="shared" ref="N4:N40" si="7">AVERAGE(J4:M4)</f>
        <v>2.2075241027722663E-2</v>
      </c>
      <c r="O4" s="4">
        <f t="shared" ref="O4:O40" si="8">_xlfn.STDEV.P(J4:M4)</f>
        <v>2.1464317094598323E-3</v>
      </c>
      <c r="P4" s="4"/>
      <c r="Q4" s="4">
        <v>0</v>
      </c>
      <c r="R4" s="4">
        <v>0</v>
      </c>
      <c r="S4" s="4">
        <v>0</v>
      </c>
      <c r="T4" s="4">
        <f t="shared" si="4"/>
        <v>0</v>
      </c>
      <c r="U4" s="4">
        <f t="shared" si="5"/>
        <v>0</v>
      </c>
      <c r="V4" s="4">
        <f t="shared" si="6"/>
        <v>0</v>
      </c>
    </row>
    <row r="5" spans="1:34" x14ac:dyDescent="0.25">
      <c r="A5" t="s">
        <v>80</v>
      </c>
      <c r="B5">
        <v>1029.6912189135369</v>
      </c>
      <c r="C5">
        <v>1071.4456249454811</v>
      </c>
      <c r="D5">
        <v>1046.0274645831789</v>
      </c>
      <c r="E5">
        <v>1004.9813613050534</v>
      </c>
      <c r="F5" s="4">
        <v>0</v>
      </c>
      <c r="G5" s="4">
        <v>0</v>
      </c>
      <c r="H5" s="4">
        <v>0</v>
      </c>
      <c r="I5" s="4">
        <v>0</v>
      </c>
      <c r="J5" s="4">
        <f t="shared" si="0"/>
        <v>0</v>
      </c>
      <c r="K5" s="4">
        <f t="shared" si="1"/>
        <v>0</v>
      </c>
      <c r="L5" s="4">
        <f t="shared" si="2"/>
        <v>0</v>
      </c>
      <c r="M5" s="4">
        <f t="shared" si="3"/>
        <v>0</v>
      </c>
      <c r="N5" s="4">
        <f t="shared" si="7"/>
        <v>0</v>
      </c>
      <c r="O5" s="4">
        <f t="shared" si="8"/>
        <v>0</v>
      </c>
      <c r="P5" s="4"/>
      <c r="Q5" s="4">
        <v>0</v>
      </c>
      <c r="R5" s="4">
        <v>0</v>
      </c>
      <c r="S5" s="4">
        <v>0</v>
      </c>
      <c r="T5" s="4">
        <f t="shared" si="4"/>
        <v>0</v>
      </c>
      <c r="U5" s="4">
        <f t="shared" si="5"/>
        <v>0</v>
      </c>
      <c r="V5" s="4">
        <f t="shared" si="6"/>
        <v>0</v>
      </c>
    </row>
    <row r="6" spans="1:34" x14ac:dyDescent="0.25">
      <c r="A6" t="s">
        <v>1</v>
      </c>
      <c r="B6">
        <v>256.51563980517454</v>
      </c>
      <c r="C6">
        <v>271.63242342103973</v>
      </c>
      <c r="D6">
        <v>263.14871357895083</v>
      </c>
      <c r="E6">
        <v>246.76570700514623</v>
      </c>
      <c r="F6" s="4">
        <v>0</v>
      </c>
      <c r="G6" s="4">
        <v>0</v>
      </c>
      <c r="H6" s="4">
        <v>0</v>
      </c>
      <c r="I6" s="4">
        <v>0</v>
      </c>
      <c r="J6" s="4">
        <f t="shared" si="0"/>
        <v>0</v>
      </c>
      <c r="K6" s="4">
        <f t="shared" si="1"/>
        <v>0</v>
      </c>
      <c r="L6" s="4">
        <f t="shared" si="2"/>
        <v>0</v>
      </c>
      <c r="M6" s="4">
        <f t="shared" si="3"/>
        <v>0</v>
      </c>
      <c r="N6" s="4">
        <f t="shared" si="7"/>
        <v>0</v>
      </c>
      <c r="O6" s="4">
        <f t="shared" si="8"/>
        <v>0</v>
      </c>
      <c r="P6" s="4"/>
      <c r="Q6" s="4">
        <v>0</v>
      </c>
      <c r="R6" s="4">
        <v>0</v>
      </c>
      <c r="S6" s="4">
        <v>0</v>
      </c>
      <c r="T6" s="4">
        <f t="shared" si="4"/>
        <v>0</v>
      </c>
      <c r="U6" s="4">
        <f t="shared" si="5"/>
        <v>0</v>
      </c>
      <c r="V6" s="4">
        <f t="shared" si="6"/>
        <v>0</v>
      </c>
    </row>
    <row r="7" spans="1:34" x14ac:dyDescent="0.25">
      <c r="A7" t="s">
        <v>2</v>
      </c>
      <c r="B7">
        <v>4883.8465559339602</v>
      </c>
      <c r="C7">
        <v>5190.1492241029</v>
      </c>
      <c r="D7">
        <v>4935.0720496858758</v>
      </c>
      <c r="E7">
        <v>4613.9246888941816</v>
      </c>
      <c r="F7" s="4">
        <v>1.50251516997352</v>
      </c>
      <c r="G7" s="4">
        <v>5.0424018732407339</v>
      </c>
      <c r="H7" s="4">
        <v>3.0830748472993532</v>
      </c>
      <c r="I7" s="4">
        <v>2.8848535268218769</v>
      </c>
      <c r="J7" s="4">
        <f t="shared" si="0"/>
        <v>3.0764995434754958E-2</v>
      </c>
      <c r="K7" s="4">
        <f t="shared" si="1"/>
        <v>9.7153312082511392E-2</v>
      </c>
      <c r="L7" s="4">
        <f t="shared" si="2"/>
        <v>6.2472742368484678E-2</v>
      </c>
      <c r="M7" s="4">
        <f t="shared" si="3"/>
        <v>6.252493747385568E-2</v>
      </c>
      <c r="N7" s="4">
        <f t="shared" si="7"/>
        <v>6.3228996839901686E-2</v>
      </c>
      <c r="O7" s="4">
        <f t="shared" si="8"/>
        <v>2.3483175745253135E-2</v>
      </c>
      <c r="P7" s="4"/>
      <c r="Q7" s="4">
        <v>1.274</v>
      </c>
      <c r="R7" s="4">
        <v>0.47321000000000002</v>
      </c>
      <c r="S7" s="4">
        <v>0</v>
      </c>
      <c r="T7" s="4">
        <f t="shared" si="4"/>
        <v>0.24546500398940005</v>
      </c>
      <c r="U7" s="4">
        <f t="shared" si="5"/>
        <v>9.5887151238272295E-2</v>
      </c>
      <c r="V7" s="4">
        <f t="shared" si="6"/>
        <v>0</v>
      </c>
    </row>
    <row r="8" spans="1:34" x14ac:dyDescent="0.25">
      <c r="A8" t="s">
        <v>3</v>
      </c>
      <c r="B8">
        <v>28.140765221764234</v>
      </c>
      <c r="C8">
        <v>30.069833731106421</v>
      </c>
      <c r="D8">
        <v>28.149818930796933</v>
      </c>
      <c r="E8">
        <v>26.171084312167906</v>
      </c>
      <c r="F8" s="4">
        <v>0.13881283204547301</v>
      </c>
      <c r="G8" s="4">
        <v>0.50752776639728947</v>
      </c>
      <c r="H8" s="4">
        <v>0.20862418039231698</v>
      </c>
      <c r="I8" s="4">
        <v>0.35543663480160026</v>
      </c>
      <c r="J8" s="4">
        <f t="shared" si="0"/>
        <v>0.49328023225933582</v>
      </c>
      <c r="K8" s="4">
        <f t="shared" si="1"/>
        <v>1.6878303050683843</v>
      </c>
      <c r="L8" s="4">
        <f t="shared" si="2"/>
        <v>0.74112086086661999</v>
      </c>
      <c r="M8" s="4">
        <f t="shared" si="3"/>
        <v>1.3581272772727442</v>
      </c>
      <c r="N8" s="4">
        <f t="shared" si="7"/>
        <v>1.0700896688667709</v>
      </c>
      <c r="O8" s="4">
        <f t="shared" si="8"/>
        <v>0.4757884929954263</v>
      </c>
      <c r="P8" s="4"/>
      <c r="Q8" s="4">
        <v>0</v>
      </c>
      <c r="R8" s="4">
        <v>0</v>
      </c>
      <c r="S8" s="4">
        <v>0</v>
      </c>
      <c r="T8" s="4">
        <f t="shared" si="4"/>
        <v>0</v>
      </c>
      <c r="U8" s="4">
        <f t="shared" si="5"/>
        <v>0</v>
      </c>
      <c r="V8" s="4">
        <f t="shared" si="6"/>
        <v>0</v>
      </c>
    </row>
    <row r="9" spans="1:34" x14ac:dyDescent="0.25">
      <c r="A9" t="s">
        <v>4</v>
      </c>
      <c r="B9">
        <v>58.677429022178714</v>
      </c>
      <c r="C9">
        <v>58.715615000506865</v>
      </c>
      <c r="D9">
        <v>55.12454801843694</v>
      </c>
      <c r="E9">
        <v>51.506090677413383</v>
      </c>
      <c r="F9" s="4">
        <v>3.290417859376205</v>
      </c>
      <c r="G9" s="4">
        <v>6.4574403007742767</v>
      </c>
      <c r="H9" s="4">
        <v>3.8447687685042817</v>
      </c>
      <c r="I9" s="4">
        <v>6.239056378361874</v>
      </c>
      <c r="J9" s="4">
        <f t="shared" si="0"/>
        <v>5.6076380887998738</v>
      </c>
      <c r="K9" s="4">
        <f t="shared" si="1"/>
        <v>10.997824515196736</v>
      </c>
      <c r="L9" s="4">
        <f t="shared" si="2"/>
        <v>6.9746944087747647</v>
      </c>
      <c r="M9" s="4">
        <f t="shared" si="3"/>
        <v>12.113239999978964</v>
      </c>
      <c r="N9" s="4">
        <f t="shared" si="7"/>
        <v>8.9233492531875847</v>
      </c>
      <c r="O9" s="4">
        <f t="shared" si="8"/>
        <v>2.7050899623419205</v>
      </c>
      <c r="P9" s="4"/>
      <c r="Q9" s="4">
        <v>0.61129285</v>
      </c>
      <c r="R9" s="4">
        <v>0.3907426</v>
      </c>
      <c r="S9" s="4">
        <v>0</v>
      </c>
      <c r="T9" s="4">
        <f t="shared" si="4"/>
        <v>10.411078041075154</v>
      </c>
      <c r="U9" s="4">
        <f t="shared" si="5"/>
        <v>7.0883592527472938</v>
      </c>
      <c r="V9" s="4">
        <f t="shared" si="6"/>
        <v>0</v>
      </c>
    </row>
    <row r="10" spans="1:34" x14ac:dyDescent="0.25">
      <c r="A10" t="s">
        <v>5</v>
      </c>
      <c r="B10">
        <v>30.312504756673171</v>
      </c>
      <c r="C10">
        <v>31.614922414551692</v>
      </c>
      <c r="D10">
        <v>30.234400640238789</v>
      </c>
      <c r="E10">
        <v>28.534238827299614</v>
      </c>
      <c r="F10" s="4">
        <v>1.5888039705716031</v>
      </c>
      <c r="G10" s="4">
        <v>2.8436162064115558</v>
      </c>
      <c r="H10" s="4">
        <v>1.4727996728619785</v>
      </c>
      <c r="I10" s="4">
        <v>2.7325247477733297</v>
      </c>
      <c r="J10" s="4">
        <f t="shared" si="0"/>
        <v>5.2414143381596814</v>
      </c>
      <c r="K10" s="4">
        <f t="shared" si="1"/>
        <v>8.9945379878670781</v>
      </c>
      <c r="L10" s="4">
        <f t="shared" si="2"/>
        <v>4.8712712727033125</v>
      </c>
      <c r="M10" s="4">
        <f t="shared" si="3"/>
        <v>9.5763015243253538</v>
      </c>
      <c r="N10" s="4">
        <f t="shared" si="7"/>
        <v>7.1708812807638562</v>
      </c>
      <c r="O10" s="4">
        <f t="shared" si="8"/>
        <v>2.1285452312126556</v>
      </c>
      <c r="P10" s="4"/>
      <c r="Q10" s="4">
        <v>0</v>
      </c>
      <c r="R10" s="4">
        <v>0</v>
      </c>
      <c r="S10" s="4">
        <v>0</v>
      </c>
      <c r="T10" s="4">
        <f t="shared" si="4"/>
        <v>0</v>
      </c>
      <c r="U10" s="4">
        <f t="shared" si="5"/>
        <v>0</v>
      </c>
      <c r="V10" s="4">
        <f t="shared" si="6"/>
        <v>0</v>
      </c>
    </row>
    <row r="11" spans="1:34" x14ac:dyDescent="0.25">
      <c r="A11" t="s">
        <v>6</v>
      </c>
      <c r="B11">
        <v>42.346609455507966</v>
      </c>
      <c r="C11">
        <v>45.232336633273405</v>
      </c>
      <c r="D11">
        <v>44.454752263024929</v>
      </c>
      <c r="E11">
        <v>41.891614946110906</v>
      </c>
      <c r="F11" s="4">
        <v>1.2130018099747106</v>
      </c>
      <c r="G11" s="4">
        <v>1.8223401748083183</v>
      </c>
      <c r="H11" s="4">
        <v>0.94418213395246597</v>
      </c>
      <c r="I11" s="4">
        <v>1.5821501087344578</v>
      </c>
      <c r="J11" s="4">
        <f t="shared" si="0"/>
        <v>2.8644602851833212</v>
      </c>
      <c r="K11" s="4">
        <f t="shared" si="1"/>
        <v>4.0288437663151475</v>
      </c>
      <c r="L11" s="4">
        <f t="shared" si="2"/>
        <v>2.1239172099442469</v>
      </c>
      <c r="M11" s="4">
        <f t="shared" si="3"/>
        <v>3.7767703889423339</v>
      </c>
      <c r="N11" s="4">
        <f t="shared" si="7"/>
        <v>3.1984979125962623</v>
      </c>
      <c r="O11" s="4">
        <f t="shared" si="8"/>
        <v>0.75666672266053381</v>
      </c>
      <c r="P11" s="4"/>
      <c r="Q11" s="4">
        <v>0</v>
      </c>
      <c r="R11" s="4">
        <v>0</v>
      </c>
      <c r="S11" s="4">
        <v>0</v>
      </c>
      <c r="T11" s="4">
        <f t="shared" si="4"/>
        <v>0</v>
      </c>
      <c r="U11" s="4">
        <f t="shared" si="5"/>
        <v>0</v>
      </c>
      <c r="V11" s="4">
        <f t="shared" si="6"/>
        <v>0</v>
      </c>
    </row>
    <row r="12" spans="1:34" x14ac:dyDescent="0.25">
      <c r="A12" t="s">
        <v>7</v>
      </c>
      <c r="B12">
        <v>24.871143021256284</v>
      </c>
      <c r="C12">
        <v>26.662182460845699</v>
      </c>
      <c r="D12">
        <v>26.735544470886403</v>
      </c>
      <c r="E12">
        <v>25.046699093873702</v>
      </c>
      <c r="F12" s="4">
        <v>0.25264140649866546</v>
      </c>
      <c r="G12" s="4">
        <v>0.51411561060150868</v>
      </c>
      <c r="H12" s="4">
        <v>0.23414070764699599</v>
      </c>
      <c r="I12" s="4">
        <v>0.54643774735055273</v>
      </c>
      <c r="J12" s="4">
        <f t="shared" si="0"/>
        <v>1.0158013497117677</v>
      </c>
      <c r="K12" s="4">
        <f t="shared" si="1"/>
        <v>1.9282577911860912</v>
      </c>
      <c r="L12" s="4">
        <f t="shared" si="2"/>
        <v>0.87576562318363427</v>
      </c>
      <c r="M12" s="4">
        <f t="shared" si="3"/>
        <v>2.1816756982727865</v>
      </c>
      <c r="N12" s="4">
        <f t="shared" si="7"/>
        <v>1.5003751155885698</v>
      </c>
      <c r="O12" s="4">
        <f t="shared" si="8"/>
        <v>0.56395984356617213</v>
      </c>
      <c r="P12" s="4"/>
      <c r="Q12" s="4">
        <v>0</v>
      </c>
      <c r="R12" s="4">
        <v>0</v>
      </c>
      <c r="S12" s="4">
        <v>0</v>
      </c>
      <c r="T12" s="4">
        <f t="shared" si="4"/>
        <v>0</v>
      </c>
      <c r="U12" s="4">
        <f t="shared" si="5"/>
        <v>0</v>
      </c>
      <c r="V12" s="4">
        <f t="shared" si="6"/>
        <v>0</v>
      </c>
    </row>
    <row r="13" spans="1:34" x14ac:dyDescent="0.25">
      <c r="A13" t="s">
        <v>8</v>
      </c>
      <c r="B13">
        <v>19.066581046111502</v>
      </c>
      <c r="C13">
        <v>20.590655068571863</v>
      </c>
      <c r="D13">
        <v>20.567822917080136</v>
      </c>
      <c r="E13">
        <v>18.916280034384783</v>
      </c>
      <c r="F13" s="4">
        <v>8.6100779020644603E-3</v>
      </c>
      <c r="G13" s="4">
        <v>0.15480581143578515</v>
      </c>
      <c r="H13" s="4">
        <v>1.6292627124156984E-2</v>
      </c>
      <c r="I13" s="4">
        <v>0.13955003891493717</v>
      </c>
      <c r="J13" s="4">
        <f t="shared" si="0"/>
        <v>4.5157954020395422E-2</v>
      </c>
      <c r="K13" s="4">
        <f t="shared" si="1"/>
        <v>0.75182557776935388</v>
      </c>
      <c r="L13" s="4">
        <f t="shared" si="2"/>
        <v>7.9214154992685679E-2</v>
      </c>
      <c r="M13" s="4">
        <f t="shared" si="3"/>
        <v>0.73772453495757195</v>
      </c>
      <c r="N13" s="4">
        <f t="shared" si="7"/>
        <v>0.40348055543500172</v>
      </c>
      <c r="O13" s="4">
        <f t="shared" si="8"/>
        <v>0.34154321746030614</v>
      </c>
      <c r="P13" s="4"/>
      <c r="Q13" s="4">
        <v>0</v>
      </c>
      <c r="R13" s="4">
        <v>0</v>
      </c>
      <c r="S13" s="4">
        <v>0</v>
      </c>
      <c r="T13" s="4">
        <f t="shared" si="4"/>
        <v>0</v>
      </c>
      <c r="U13" s="4">
        <f t="shared" si="5"/>
        <v>0</v>
      </c>
      <c r="V13" s="4">
        <f t="shared" si="6"/>
        <v>0</v>
      </c>
    </row>
    <row r="14" spans="1:34" x14ac:dyDescent="0.25">
      <c r="A14" t="s">
        <v>81</v>
      </c>
      <c r="B14">
        <v>62.444322039196223</v>
      </c>
      <c r="C14">
        <v>67.751188617924782</v>
      </c>
      <c r="D14">
        <v>72.750043098917757</v>
      </c>
      <c r="E14">
        <v>62.747047735465692</v>
      </c>
      <c r="F14" s="4">
        <v>0</v>
      </c>
      <c r="G14" s="4">
        <v>0</v>
      </c>
      <c r="H14" s="4">
        <v>0</v>
      </c>
      <c r="I14" s="4">
        <v>0</v>
      </c>
      <c r="J14" s="4">
        <f t="shared" si="0"/>
        <v>0</v>
      </c>
      <c r="K14" s="4">
        <f t="shared" si="1"/>
        <v>0</v>
      </c>
      <c r="L14" s="4">
        <f t="shared" si="2"/>
        <v>0</v>
      </c>
      <c r="M14" s="4">
        <f t="shared" si="3"/>
        <v>0</v>
      </c>
      <c r="N14" s="4">
        <f t="shared" si="7"/>
        <v>0</v>
      </c>
      <c r="O14" s="4">
        <f t="shared" si="8"/>
        <v>0</v>
      </c>
      <c r="P14" s="4"/>
      <c r="Q14" s="4">
        <v>0</v>
      </c>
      <c r="R14" s="4">
        <v>0</v>
      </c>
      <c r="S14" s="4">
        <v>0</v>
      </c>
      <c r="T14" s="4">
        <f t="shared" si="4"/>
        <v>0</v>
      </c>
      <c r="U14" s="4">
        <f t="shared" si="5"/>
        <v>0</v>
      </c>
      <c r="V14" s="4">
        <f t="shared" si="6"/>
        <v>0</v>
      </c>
    </row>
    <row r="15" spans="1:34" x14ac:dyDescent="0.25">
      <c r="A15" t="s">
        <v>82</v>
      </c>
      <c r="B15">
        <v>1.2738868095762699</v>
      </c>
      <c r="C15">
        <v>0</v>
      </c>
      <c r="D15">
        <v>0</v>
      </c>
      <c r="E15">
        <v>0</v>
      </c>
      <c r="F15" s="4">
        <v>0</v>
      </c>
      <c r="G15" s="4">
        <v>0</v>
      </c>
      <c r="H15" s="4">
        <v>0</v>
      </c>
      <c r="I15" s="4">
        <v>0</v>
      </c>
      <c r="J15" s="4">
        <f t="shared" ref="J15" si="9">F15/B15*100</f>
        <v>0</v>
      </c>
      <c r="K15" s="4"/>
      <c r="L15" s="4"/>
      <c r="M15" s="4"/>
      <c r="N15" s="4"/>
      <c r="O15" s="4">
        <f t="shared" ref="O15" si="10">_xlfn.STDEV.P(J15:M15)</f>
        <v>0</v>
      </c>
      <c r="P15" s="4"/>
      <c r="Q15" s="4">
        <v>0</v>
      </c>
      <c r="R15" s="4">
        <v>0</v>
      </c>
      <c r="S15" s="4">
        <v>0</v>
      </c>
      <c r="T15" s="4"/>
      <c r="U15" s="4"/>
      <c r="V15" s="4"/>
    </row>
    <row r="16" spans="1:34" x14ac:dyDescent="0.25">
      <c r="A16" t="s">
        <v>9</v>
      </c>
      <c r="B16">
        <v>104.93234472808719</v>
      </c>
      <c r="C16">
        <v>114.81342234550957</v>
      </c>
      <c r="D16">
        <v>110.55713012911579</v>
      </c>
      <c r="E16">
        <v>103.11499394423127</v>
      </c>
      <c r="F16" s="4">
        <v>0.40839132103585063</v>
      </c>
      <c r="G16" s="4">
        <v>0.80043543427320285</v>
      </c>
      <c r="H16" s="4">
        <v>0.49005588164788388</v>
      </c>
      <c r="I16" s="4">
        <v>0.63262856830745706</v>
      </c>
      <c r="J16" s="4">
        <f t="shared" ref="J16:M23" si="11">F16/B16*100</f>
        <v>0.3891948875193072</v>
      </c>
      <c r="K16" s="4">
        <f t="shared" si="11"/>
        <v>0.69716189790462113</v>
      </c>
      <c r="L16" s="4">
        <f t="shared" si="11"/>
        <v>0.44326031353705075</v>
      </c>
      <c r="M16" s="4">
        <f t="shared" si="11"/>
        <v>0.61351753426820543</v>
      </c>
      <c r="N16" s="4">
        <f t="shared" si="7"/>
        <v>0.53578365830729613</v>
      </c>
      <c r="O16" s="4">
        <f t="shared" si="8"/>
        <v>0.12463379230373753</v>
      </c>
      <c r="P16" s="4"/>
      <c r="Q16" s="4">
        <v>0</v>
      </c>
      <c r="R16" s="4">
        <v>0</v>
      </c>
      <c r="S16" s="4">
        <v>0</v>
      </c>
      <c r="T16" s="4">
        <f t="shared" ref="T16:V23" si="12">Q16/C16*1000</f>
        <v>0</v>
      </c>
      <c r="U16" s="4">
        <f t="shared" si="12"/>
        <v>0</v>
      </c>
      <c r="V16" s="4">
        <f t="shared" si="12"/>
        <v>0</v>
      </c>
    </row>
    <row r="17" spans="1:22" x14ac:dyDescent="0.25">
      <c r="A17" t="s">
        <v>10</v>
      </c>
      <c r="B17">
        <v>26.056054608020439</v>
      </c>
      <c r="C17">
        <v>27.813586754741756</v>
      </c>
      <c r="D17">
        <v>25.779914856944714</v>
      </c>
      <c r="E17">
        <v>24.22863152274962</v>
      </c>
      <c r="F17" s="4">
        <v>0.59956511889317743</v>
      </c>
      <c r="G17" s="4">
        <v>0.97019339132138005</v>
      </c>
      <c r="H17" s="4">
        <v>0.36896472150011672</v>
      </c>
      <c r="I17" s="4">
        <v>0.75646282249384189</v>
      </c>
      <c r="J17" s="4">
        <f t="shared" si="11"/>
        <v>2.3010587286251023</v>
      </c>
      <c r="K17" s="4">
        <f t="shared" si="11"/>
        <v>3.4881994899704125</v>
      </c>
      <c r="L17" s="4">
        <f t="shared" si="11"/>
        <v>1.4312100080529291</v>
      </c>
      <c r="M17" s="4">
        <f t="shared" si="11"/>
        <v>3.1221855092540265</v>
      </c>
      <c r="N17" s="4">
        <f t="shared" si="7"/>
        <v>2.5856634339756175</v>
      </c>
      <c r="O17" s="4">
        <f t="shared" si="8"/>
        <v>0.79312511947421893</v>
      </c>
      <c r="P17" s="4"/>
      <c r="Q17" s="4">
        <v>0</v>
      </c>
      <c r="R17" s="4">
        <v>0</v>
      </c>
      <c r="S17" s="4">
        <v>0</v>
      </c>
      <c r="T17" s="4">
        <f t="shared" si="12"/>
        <v>0</v>
      </c>
      <c r="U17" s="4">
        <f t="shared" si="12"/>
        <v>0</v>
      </c>
      <c r="V17" s="4">
        <f t="shared" si="12"/>
        <v>0</v>
      </c>
    </row>
    <row r="18" spans="1:22" x14ac:dyDescent="0.25">
      <c r="A18" t="s">
        <v>11</v>
      </c>
      <c r="B18">
        <v>7251.8432661013676</v>
      </c>
      <c r="C18">
        <v>7409.2506572251141</v>
      </c>
      <c r="D18">
        <v>6930.2407451948566</v>
      </c>
      <c r="E18">
        <v>6660.950101876595</v>
      </c>
      <c r="F18" s="4">
        <v>581.80975325507654</v>
      </c>
      <c r="G18" s="4">
        <v>961.5973179914306</v>
      </c>
      <c r="H18" s="4">
        <v>533.77739610877973</v>
      </c>
      <c r="I18" s="4">
        <v>851.36356833447951</v>
      </c>
      <c r="J18" s="4">
        <f t="shared" si="11"/>
        <v>8.022922337204081</v>
      </c>
      <c r="K18" s="4">
        <f t="shared" si="11"/>
        <v>12.978334280724207</v>
      </c>
      <c r="L18" s="4">
        <f t="shared" si="11"/>
        <v>7.7021479589851047</v>
      </c>
      <c r="M18" s="4">
        <f t="shared" si="11"/>
        <v>12.781413391681529</v>
      </c>
      <c r="N18" s="4">
        <f t="shared" si="7"/>
        <v>10.371204492148731</v>
      </c>
      <c r="O18" s="4">
        <f t="shared" si="8"/>
        <v>2.512196475712019</v>
      </c>
      <c r="P18" s="4"/>
      <c r="Q18" s="4">
        <v>152.597408</v>
      </c>
      <c r="R18" s="4">
        <v>98.071580999999995</v>
      </c>
      <c r="S18" s="4">
        <v>92.094239999999999</v>
      </c>
      <c r="T18" s="4">
        <f t="shared" si="12"/>
        <v>20.595525115781442</v>
      </c>
      <c r="U18" s="4">
        <f t="shared" si="12"/>
        <v>14.151251681696452</v>
      </c>
      <c r="V18" s="4">
        <f t="shared" si="12"/>
        <v>13.825991576495102</v>
      </c>
    </row>
    <row r="19" spans="1:22" x14ac:dyDescent="0.25">
      <c r="A19" t="s">
        <v>12</v>
      </c>
      <c r="B19">
        <v>7415.4854706151636</v>
      </c>
      <c r="C19">
        <v>7817.2585308414782</v>
      </c>
      <c r="D19">
        <v>7306.1506898717544</v>
      </c>
      <c r="E19">
        <v>6621.5813164558467</v>
      </c>
      <c r="F19" s="4">
        <v>343.93214783951555</v>
      </c>
      <c r="G19" s="4">
        <v>591.84829400989577</v>
      </c>
      <c r="H19" s="4">
        <v>291.4370264811871</v>
      </c>
      <c r="I19" s="4">
        <v>561.43837419122633</v>
      </c>
      <c r="J19" s="4">
        <f t="shared" si="11"/>
        <v>4.6380260497089756</v>
      </c>
      <c r="K19" s="4">
        <f t="shared" si="11"/>
        <v>7.5710466997461197</v>
      </c>
      <c r="L19" s="4">
        <f t="shared" si="11"/>
        <v>3.9889271225297263</v>
      </c>
      <c r="M19" s="4">
        <f t="shared" si="11"/>
        <v>8.4789168532288315</v>
      </c>
      <c r="N19" s="4">
        <f t="shared" si="7"/>
        <v>6.1692291813034137</v>
      </c>
      <c r="O19" s="4">
        <f t="shared" si="8"/>
        <v>1.8972380975087506</v>
      </c>
      <c r="P19" s="4"/>
      <c r="Q19" s="4">
        <v>38.127173099999993</v>
      </c>
      <c r="R19" s="4">
        <v>23.297284000000001</v>
      </c>
      <c r="S19" s="4">
        <v>15.682276000000002</v>
      </c>
      <c r="T19" s="4">
        <f t="shared" si="12"/>
        <v>4.8773074281190301</v>
      </c>
      <c r="U19" s="4">
        <f t="shared" si="12"/>
        <v>3.1887220766327968</v>
      </c>
      <c r="V19" s="4">
        <f t="shared" si="12"/>
        <v>2.368358138414258</v>
      </c>
    </row>
    <row r="20" spans="1:22" x14ac:dyDescent="0.25">
      <c r="A20" t="s">
        <v>13</v>
      </c>
      <c r="B20">
        <v>11488.165457861925</v>
      </c>
      <c r="C20">
        <v>12082.864846651164</v>
      </c>
      <c r="D20">
        <v>11673.928734647629</v>
      </c>
      <c r="E20">
        <v>11123.658659166613</v>
      </c>
      <c r="F20" s="4">
        <v>159.63562791439864</v>
      </c>
      <c r="G20" s="4">
        <v>214.57041473676051</v>
      </c>
      <c r="H20" s="4">
        <v>117.22321789552572</v>
      </c>
      <c r="I20" s="4">
        <v>192.95594145062253</v>
      </c>
      <c r="J20" s="4">
        <f t="shared" si="11"/>
        <v>1.3895658841260161</v>
      </c>
      <c r="K20" s="4">
        <f t="shared" si="11"/>
        <v>1.7758240074681457</v>
      </c>
      <c r="L20" s="4">
        <f t="shared" si="11"/>
        <v>1.0041453957793416</v>
      </c>
      <c r="M20" s="4">
        <f t="shared" si="11"/>
        <v>1.7346445748010648</v>
      </c>
      <c r="N20" s="4">
        <f t="shared" si="7"/>
        <v>1.4760449655436421</v>
      </c>
      <c r="O20" s="4">
        <f t="shared" si="8"/>
        <v>0.3110100751389871</v>
      </c>
      <c r="P20" s="4"/>
      <c r="Q20" s="4">
        <v>15.0114289</v>
      </c>
      <c r="R20" s="4">
        <v>5.4100609000000004</v>
      </c>
      <c r="S20" s="4">
        <v>2.8994090000000003</v>
      </c>
      <c r="T20" s="4">
        <f t="shared" si="12"/>
        <v>1.2423733187879282</v>
      </c>
      <c r="U20" s="4">
        <f t="shared" si="12"/>
        <v>0.46343103705466471</v>
      </c>
      <c r="V20" s="4">
        <f t="shared" si="12"/>
        <v>0.26065246056527458</v>
      </c>
    </row>
    <row r="21" spans="1:22" x14ac:dyDescent="0.25">
      <c r="A21" t="s">
        <v>14</v>
      </c>
      <c r="B21">
        <v>1148.3333770015984</v>
      </c>
      <c r="C21">
        <v>1187.4908112301032</v>
      </c>
      <c r="D21">
        <v>1222.3636079887538</v>
      </c>
      <c r="E21">
        <v>1108.2605379820154</v>
      </c>
      <c r="F21" s="4">
        <v>8.0089835107843399</v>
      </c>
      <c r="G21" s="4">
        <v>17.888934603163616</v>
      </c>
      <c r="H21" s="4">
        <v>8.8159119377444828</v>
      </c>
      <c r="I21" s="4">
        <v>16.300941570184417</v>
      </c>
      <c r="J21" s="4">
        <f t="shared" si="11"/>
        <v>0.69744411084667035</v>
      </c>
      <c r="K21" s="4">
        <f t="shared" si="11"/>
        <v>1.5064482549244105</v>
      </c>
      <c r="L21" s="4">
        <f t="shared" si="11"/>
        <v>0.72121845579565003</v>
      </c>
      <c r="M21" s="4">
        <f t="shared" si="11"/>
        <v>1.4708582514239936</v>
      </c>
      <c r="N21" s="4">
        <f t="shared" si="7"/>
        <v>1.0989922682476811</v>
      </c>
      <c r="O21" s="4">
        <f t="shared" si="8"/>
        <v>0.38995469820515083</v>
      </c>
      <c r="P21" s="4"/>
      <c r="Q21" s="4">
        <v>0.17562999999999998</v>
      </c>
      <c r="R21" s="4">
        <v>5.4588999999999999E-2</v>
      </c>
      <c r="S21" s="4">
        <v>6.3062999999999994E-2</v>
      </c>
      <c r="T21" s="4">
        <f t="shared" si="12"/>
        <v>0.14790009180624109</v>
      </c>
      <c r="U21" s="4">
        <f t="shared" si="12"/>
        <v>4.4658561203257154E-2</v>
      </c>
      <c r="V21" s="4">
        <f t="shared" si="12"/>
        <v>5.6902684737677962E-2</v>
      </c>
    </row>
    <row r="22" spans="1:22" x14ac:dyDescent="0.25">
      <c r="A22" t="s">
        <v>15</v>
      </c>
      <c r="B22">
        <v>1042.7883302786561</v>
      </c>
      <c r="C22">
        <v>1052.3192012948748</v>
      </c>
      <c r="D22">
        <v>1086.2358892975703</v>
      </c>
      <c r="E22">
        <v>1004.6270573596986</v>
      </c>
      <c r="F22" s="4">
        <v>5.2139516546222344</v>
      </c>
      <c r="G22" s="4">
        <v>8.0481024715156426</v>
      </c>
      <c r="H22" s="4">
        <v>3.8046315377223996</v>
      </c>
      <c r="I22" s="4">
        <v>7.5495547220076329</v>
      </c>
      <c r="J22" s="4">
        <f t="shared" si="11"/>
        <v>0.50000095927703292</v>
      </c>
      <c r="K22" s="4">
        <f t="shared" si="11"/>
        <v>0.76479669492037039</v>
      </c>
      <c r="L22" s="4">
        <f t="shared" si="11"/>
        <v>0.35025831637571075</v>
      </c>
      <c r="M22" s="4">
        <f t="shared" si="11"/>
        <v>0.75147833882246073</v>
      </c>
      <c r="N22" s="4">
        <f t="shared" si="7"/>
        <v>0.59163357734889366</v>
      </c>
      <c r="O22" s="4">
        <f t="shared" si="8"/>
        <v>0.17478155391959307</v>
      </c>
      <c r="P22" s="4"/>
      <c r="Q22" s="4">
        <v>0.25844</v>
      </c>
      <c r="R22" s="4">
        <v>9.6379999999999993E-2</v>
      </c>
      <c r="S22" s="4">
        <v>0.11374999999999999</v>
      </c>
      <c r="T22" s="4">
        <f t="shared" si="12"/>
        <v>0.24559088124781014</v>
      </c>
      <c r="U22" s="4">
        <f t="shared" si="12"/>
        <v>8.8728425335242306E-2</v>
      </c>
      <c r="V22" s="4">
        <f t="shared" si="12"/>
        <v>0.1132260963575389</v>
      </c>
    </row>
    <row r="23" spans="1:22" x14ac:dyDescent="0.25">
      <c r="A23" t="s">
        <v>16</v>
      </c>
      <c r="B23">
        <v>220.27426517879027</v>
      </c>
      <c r="C23">
        <v>220.02819009224947</v>
      </c>
      <c r="D23">
        <v>229.68442172447661</v>
      </c>
      <c r="E23">
        <v>207.34280041531542</v>
      </c>
      <c r="F23" s="4">
        <v>0.81994794740064281</v>
      </c>
      <c r="G23" s="4">
        <v>1.0805876352939054</v>
      </c>
      <c r="H23" s="4">
        <v>0.58845046753850505</v>
      </c>
      <c r="I23" s="4">
        <v>0.98684124437528375</v>
      </c>
      <c r="J23" s="4">
        <f t="shared" si="11"/>
        <v>0.37223955632543582</v>
      </c>
      <c r="K23" s="4">
        <f t="shared" si="11"/>
        <v>0.4911132681866156</v>
      </c>
      <c r="L23" s="4">
        <f t="shared" si="11"/>
        <v>0.25619955551203849</v>
      </c>
      <c r="M23" s="4">
        <f t="shared" si="11"/>
        <v>0.47594671355774287</v>
      </c>
      <c r="N23" s="4">
        <f t="shared" si="7"/>
        <v>0.39887477339545818</v>
      </c>
      <c r="O23" s="4">
        <f t="shared" si="8"/>
        <v>9.4225363448709812E-2</v>
      </c>
      <c r="P23" s="4"/>
      <c r="Q23" s="4">
        <v>5.3780999999999995E-2</v>
      </c>
      <c r="R23" s="4">
        <v>0</v>
      </c>
      <c r="S23" s="4">
        <v>0</v>
      </c>
      <c r="T23" s="4">
        <f t="shared" si="12"/>
        <v>0.24442777072088656</v>
      </c>
      <c r="U23" s="4">
        <f t="shared" si="12"/>
        <v>0</v>
      </c>
      <c r="V23" s="4">
        <f t="shared" si="12"/>
        <v>0</v>
      </c>
    </row>
    <row r="24" spans="1:22" x14ac:dyDescent="0.25">
      <c r="A24" t="s">
        <v>76</v>
      </c>
      <c r="B24">
        <v>0</v>
      </c>
      <c r="C24">
        <v>0</v>
      </c>
      <c r="D24">
        <v>0</v>
      </c>
      <c r="E24">
        <v>0</v>
      </c>
      <c r="F24" s="4">
        <v>0</v>
      </c>
      <c r="G24" s="4">
        <v>0</v>
      </c>
      <c r="H24" s="4">
        <v>0</v>
      </c>
      <c r="I24" s="4">
        <v>0</v>
      </c>
      <c r="J24" s="4"/>
      <c r="K24" s="4"/>
      <c r="L24" s="4"/>
      <c r="M24" s="4"/>
      <c r="N24" s="4"/>
      <c r="O24" s="4"/>
      <c r="P24" s="4"/>
      <c r="Q24" s="4">
        <v>0</v>
      </c>
      <c r="R24" s="4">
        <v>0</v>
      </c>
      <c r="S24" s="4">
        <v>0</v>
      </c>
      <c r="T24" s="4"/>
      <c r="U24" s="4"/>
      <c r="V24" s="4"/>
    </row>
    <row r="25" spans="1:22" x14ac:dyDescent="0.25">
      <c r="A25" t="s">
        <v>18</v>
      </c>
      <c r="B25">
        <v>40.526649834288747</v>
      </c>
      <c r="C25">
        <v>42.422959052247151</v>
      </c>
      <c r="D25">
        <v>42.132201983398957</v>
      </c>
      <c r="E25">
        <v>38.23283798221091</v>
      </c>
      <c r="F25" s="4">
        <v>0</v>
      </c>
      <c r="G25" s="4">
        <v>0</v>
      </c>
      <c r="H25" s="4">
        <v>0</v>
      </c>
      <c r="I25" s="4">
        <v>0</v>
      </c>
      <c r="J25" s="4">
        <f t="shared" ref="J25:J33" si="13">F25/B25*100</f>
        <v>0</v>
      </c>
      <c r="K25" s="4">
        <f t="shared" ref="K25:K33" si="14">G25/C25*100</f>
        <v>0</v>
      </c>
      <c r="L25" s="4">
        <f t="shared" ref="L25:L33" si="15">H25/D25*100</f>
        <v>0</v>
      </c>
      <c r="M25" s="4">
        <f t="shared" ref="M25:M33" si="16">I25/E25*100</f>
        <v>0</v>
      </c>
      <c r="N25" s="4">
        <f t="shared" si="7"/>
        <v>0</v>
      </c>
      <c r="O25" s="4">
        <f t="shared" si="8"/>
        <v>0</v>
      </c>
      <c r="P25" s="4"/>
      <c r="Q25" s="4">
        <v>0</v>
      </c>
      <c r="R25" s="4">
        <v>0</v>
      </c>
      <c r="S25" s="4">
        <v>0</v>
      </c>
      <c r="T25" s="4">
        <f t="shared" ref="T25:T33" si="17">Q25/C25*1000</f>
        <v>0</v>
      </c>
      <c r="U25" s="4">
        <f t="shared" ref="U25:U33" si="18">R25/D25*1000</f>
        <v>0</v>
      </c>
      <c r="V25" s="4">
        <f t="shared" ref="V25:V33" si="19">S25/E25*1000</f>
        <v>0</v>
      </c>
    </row>
    <row r="26" spans="1:22" x14ac:dyDescent="0.25">
      <c r="A26" t="s">
        <v>19</v>
      </c>
      <c r="B26">
        <v>1081.2592351925859</v>
      </c>
      <c r="C26">
        <v>1173.4147192954233</v>
      </c>
      <c r="D26">
        <v>1114.436123172628</v>
      </c>
      <c r="E26">
        <v>1049.0252031587331</v>
      </c>
      <c r="F26" s="4">
        <v>0.15059052766661743</v>
      </c>
      <c r="G26" s="4">
        <v>0.56803094138826515</v>
      </c>
      <c r="H26" s="4">
        <v>0.36666845228928979</v>
      </c>
      <c r="I26" s="4">
        <v>0.31207141538773675</v>
      </c>
      <c r="J26" s="4">
        <f t="shared" si="13"/>
        <v>1.3927328689108986E-2</v>
      </c>
      <c r="K26" s="4">
        <f t="shared" si="14"/>
        <v>4.8408370207707913E-2</v>
      </c>
      <c r="L26" s="4">
        <f t="shared" si="15"/>
        <v>3.2901702005624263E-2</v>
      </c>
      <c r="M26" s="4">
        <f t="shared" si="16"/>
        <v>2.9748705221576615E-2</v>
      </c>
      <c r="N26" s="4">
        <f t="shared" si="7"/>
        <v>3.1246526531004445E-2</v>
      </c>
      <c r="O26" s="4">
        <f t="shared" si="8"/>
        <v>1.2242003173470859E-2</v>
      </c>
      <c r="P26" s="4"/>
      <c r="Q26" s="4">
        <v>0</v>
      </c>
      <c r="R26" s="4">
        <v>0</v>
      </c>
      <c r="S26" s="4">
        <v>0</v>
      </c>
      <c r="T26" s="4">
        <f t="shared" si="17"/>
        <v>0</v>
      </c>
      <c r="U26" s="4">
        <f t="shared" si="18"/>
        <v>0</v>
      </c>
      <c r="V26" s="4">
        <f t="shared" si="19"/>
        <v>0</v>
      </c>
    </row>
    <row r="27" spans="1:22" x14ac:dyDescent="0.25">
      <c r="A27" t="s">
        <v>20</v>
      </c>
      <c r="B27">
        <v>10.022587396140798</v>
      </c>
      <c r="C27">
        <v>11.409850175420864</v>
      </c>
      <c r="D27">
        <v>9.0147444938685748</v>
      </c>
      <c r="E27">
        <v>8.1515553529164002</v>
      </c>
      <c r="F27" s="4">
        <v>1.674753984716041E-2</v>
      </c>
      <c r="G27" s="4">
        <v>4.464811654157301E-2</v>
      </c>
      <c r="H27" s="4">
        <v>1.6747257080652139E-2</v>
      </c>
      <c r="I27" s="4">
        <v>2.4387900250829115E-2</v>
      </c>
      <c r="J27" s="4">
        <f t="shared" si="13"/>
        <v>0.1670979676725898</v>
      </c>
      <c r="K27" s="4">
        <f t="shared" si="14"/>
        <v>0.39131203175440571</v>
      </c>
      <c r="L27" s="4">
        <f t="shared" si="15"/>
        <v>0.18577628120289902</v>
      </c>
      <c r="M27" s="4">
        <f t="shared" si="16"/>
        <v>0.29918094394223554</v>
      </c>
      <c r="N27" s="4">
        <f t="shared" si="7"/>
        <v>0.26084180614303254</v>
      </c>
      <c r="O27" s="4">
        <f t="shared" si="8"/>
        <v>9.0712608748700338E-2</v>
      </c>
      <c r="P27" s="4"/>
      <c r="Q27" s="4">
        <v>0</v>
      </c>
      <c r="R27" s="4">
        <v>0</v>
      </c>
      <c r="S27" s="4">
        <v>0</v>
      </c>
      <c r="T27" s="4">
        <f t="shared" si="17"/>
        <v>0</v>
      </c>
      <c r="U27" s="4">
        <f t="shared" si="18"/>
        <v>0</v>
      </c>
      <c r="V27" s="4">
        <f t="shared" si="19"/>
        <v>0</v>
      </c>
    </row>
    <row r="28" spans="1:22" x14ac:dyDescent="0.25">
      <c r="A28" t="s">
        <v>21</v>
      </c>
      <c r="B28">
        <v>4.6574514246208816</v>
      </c>
      <c r="C28">
        <v>4.931238066884112</v>
      </c>
      <c r="D28">
        <v>3.7968303200376985</v>
      </c>
      <c r="E28">
        <v>3.4394420371085968</v>
      </c>
      <c r="F28" s="4">
        <v>0.20202404520603273</v>
      </c>
      <c r="G28" s="4">
        <v>0.11981115879597655</v>
      </c>
      <c r="H28" s="4">
        <v>0</v>
      </c>
      <c r="I28" s="4">
        <v>0</v>
      </c>
      <c r="J28" s="4">
        <f t="shared" si="13"/>
        <v>4.3376522219440554</v>
      </c>
      <c r="K28" s="4">
        <f t="shared" si="14"/>
        <v>2.4296364760925302</v>
      </c>
      <c r="L28" s="4">
        <f t="shared" si="15"/>
        <v>0</v>
      </c>
      <c r="M28" s="4">
        <f t="shared" si="16"/>
        <v>0</v>
      </c>
      <c r="N28" s="4">
        <f t="shared" si="7"/>
        <v>1.6918221745091464</v>
      </c>
      <c r="O28" s="4">
        <f t="shared" si="8"/>
        <v>1.8213532828539951</v>
      </c>
      <c r="P28" s="4"/>
      <c r="Q28" s="4">
        <v>0</v>
      </c>
      <c r="R28" s="4">
        <v>0</v>
      </c>
      <c r="S28" s="4">
        <v>0</v>
      </c>
      <c r="T28" s="4">
        <f t="shared" si="17"/>
        <v>0</v>
      </c>
      <c r="U28" s="4">
        <f t="shared" si="18"/>
        <v>0</v>
      </c>
      <c r="V28" s="4">
        <f t="shared" si="19"/>
        <v>0</v>
      </c>
    </row>
    <row r="29" spans="1:22" x14ac:dyDescent="0.25">
      <c r="A29" t="s">
        <v>22</v>
      </c>
      <c r="B29">
        <v>21.925859914699394</v>
      </c>
      <c r="C29">
        <v>23.332190632582058</v>
      </c>
      <c r="D29">
        <v>20.055586168604307</v>
      </c>
      <c r="E29">
        <v>19.338374297425236</v>
      </c>
      <c r="F29" s="4">
        <v>0.86545021225051477</v>
      </c>
      <c r="G29" s="4">
        <v>1.1888272055543321</v>
      </c>
      <c r="H29" s="4">
        <v>0.64366143823997302</v>
      </c>
      <c r="I29" s="4">
        <v>1.2010357464274941</v>
      </c>
      <c r="J29" s="4">
        <f t="shared" si="13"/>
        <v>3.9471665677764602</v>
      </c>
      <c r="K29" s="4">
        <f t="shared" si="14"/>
        <v>5.0952232658951591</v>
      </c>
      <c r="L29" s="4">
        <f t="shared" si="15"/>
        <v>3.2093873139822877</v>
      </c>
      <c r="M29" s="4">
        <f t="shared" si="16"/>
        <v>6.2106345029602785</v>
      </c>
      <c r="N29" s="4">
        <f t="shared" si="7"/>
        <v>4.6156029126535465</v>
      </c>
      <c r="O29" s="4">
        <f t="shared" si="8"/>
        <v>1.1400011967558459</v>
      </c>
      <c r="P29" s="4"/>
      <c r="Q29" s="4">
        <v>0</v>
      </c>
      <c r="R29" s="4">
        <v>0</v>
      </c>
      <c r="S29" s="4">
        <v>0</v>
      </c>
      <c r="T29" s="4">
        <f t="shared" si="17"/>
        <v>0</v>
      </c>
      <c r="U29" s="4">
        <f t="shared" si="18"/>
        <v>0</v>
      </c>
      <c r="V29" s="4">
        <f t="shared" si="19"/>
        <v>0</v>
      </c>
    </row>
    <row r="30" spans="1:22" x14ac:dyDescent="0.25">
      <c r="A30" t="s">
        <v>23</v>
      </c>
      <c r="B30">
        <v>109.3063326923432</v>
      </c>
      <c r="C30">
        <v>115.50864900103315</v>
      </c>
      <c r="D30">
        <v>123.0815044310435</v>
      </c>
      <c r="E30">
        <v>110.02896753630503</v>
      </c>
      <c r="F30" s="4">
        <v>1.8738029822414279</v>
      </c>
      <c r="G30" s="4">
        <v>2.9716106250196237</v>
      </c>
      <c r="H30" s="4">
        <v>1.3219029977540919</v>
      </c>
      <c r="I30" s="4">
        <v>3.073045898534851</v>
      </c>
      <c r="J30" s="4">
        <f t="shared" si="13"/>
        <v>1.7142675415847026</v>
      </c>
      <c r="K30" s="4">
        <f t="shared" si="14"/>
        <v>2.5726304053586881</v>
      </c>
      <c r="L30" s="4">
        <f t="shared" si="15"/>
        <v>1.074006207402745</v>
      </c>
      <c r="M30" s="4">
        <f t="shared" si="16"/>
        <v>2.7929425926139606</v>
      </c>
      <c r="N30" s="4">
        <f t="shared" si="7"/>
        <v>2.0384616867400238</v>
      </c>
      <c r="O30" s="4">
        <f t="shared" si="8"/>
        <v>0.68735978072908732</v>
      </c>
      <c r="P30" s="4"/>
      <c r="Q30" s="4">
        <v>0</v>
      </c>
      <c r="R30" s="4">
        <v>0</v>
      </c>
      <c r="S30" s="4">
        <v>0</v>
      </c>
      <c r="T30" s="4">
        <f t="shared" si="17"/>
        <v>0</v>
      </c>
      <c r="U30" s="4">
        <f t="shared" si="18"/>
        <v>0</v>
      </c>
      <c r="V30" s="4">
        <f t="shared" si="19"/>
        <v>0</v>
      </c>
    </row>
    <row r="31" spans="1:22" x14ac:dyDescent="0.25">
      <c r="A31" t="s">
        <v>24</v>
      </c>
      <c r="B31">
        <v>65.412467013571899</v>
      </c>
      <c r="C31">
        <v>68.060506550126249</v>
      </c>
      <c r="D31">
        <v>68.237128923501501</v>
      </c>
      <c r="E31">
        <v>65.564108574180409</v>
      </c>
      <c r="F31" s="4">
        <v>0.47913188665282819</v>
      </c>
      <c r="G31" s="4">
        <v>0.96394201144044789</v>
      </c>
      <c r="H31" s="4">
        <v>0.39137013415713029</v>
      </c>
      <c r="I31" s="4">
        <v>1.0926791138961085</v>
      </c>
      <c r="J31" s="4">
        <f t="shared" si="13"/>
        <v>0.73247793353125945</v>
      </c>
      <c r="K31" s="4">
        <f t="shared" si="14"/>
        <v>1.4163015532811367</v>
      </c>
      <c r="L31" s="4">
        <f t="shared" si="15"/>
        <v>0.57354425710947343</v>
      </c>
      <c r="M31" s="4">
        <f t="shared" si="16"/>
        <v>1.6665812098395751</v>
      </c>
      <c r="N31" s="4">
        <f t="shared" si="7"/>
        <v>1.097226238440361</v>
      </c>
      <c r="O31" s="4">
        <f t="shared" si="8"/>
        <v>0.4564149108822062</v>
      </c>
      <c r="P31" s="4"/>
      <c r="Q31" s="4">
        <v>0</v>
      </c>
      <c r="R31" s="4">
        <v>0</v>
      </c>
      <c r="S31" s="4">
        <v>0</v>
      </c>
      <c r="T31" s="4">
        <f t="shared" si="17"/>
        <v>0</v>
      </c>
      <c r="U31" s="4">
        <f t="shared" si="18"/>
        <v>0</v>
      </c>
      <c r="V31" s="4">
        <f t="shared" si="19"/>
        <v>0</v>
      </c>
    </row>
    <row r="32" spans="1:22" x14ac:dyDescent="0.25">
      <c r="A32" t="s">
        <v>25</v>
      </c>
      <c r="B32">
        <v>102.80945065725697</v>
      </c>
      <c r="C32">
        <v>107.59397514737461</v>
      </c>
      <c r="D32">
        <v>108.54403698829296</v>
      </c>
      <c r="E32">
        <v>103.16530582329705</v>
      </c>
      <c r="F32" s="4">
        <v>0.30626613505018568</v>
      </c>
      <c r="G32" s="4">
        <v>0.47239041758156464</v>
      </c>
      <c r="H32" s="4">
        <v>0.1779613483848132</v>
      </c>
      <c r="I32" s="4">
        <v>0.50300598657646822</v>
      </c>
      <c r="J32" s="4">
        <f t="shared" si="13"/>
        <v>0.29789686949228666</v>
      </c>
      <c r="K32" s="4">
        <f t="shared" si="14"/>
        <v>0.43904913535773515</v>
      </c>
      <c r="L32" s="4">
        <f t="shared" si="15"/>
        <v>0.16395313213199106</v>
      </c>
      <c r="M32" s="4">
        <f t="shared" si="16"/>
        <v>0.48757281584375256</v>
      </c>
      <c r="N32" s="4">
        <f t="shared" si="7"/>
        <v>0.34711798820644135</v>
      </c>
      <c r="O32" s="4">
        <f t="shared" si="8"/>
        <v>0.1266402162145053</v>
      </c>
      <c r="P32" s="4"/>
      <c r="Q32" s="4">
        <v>0</v>
      </c>
      <c r="R32" s="4">
        <v>0</v>
      </c>
      <c r="S32" s="4">
        <v>0</v>
      </c>
      <c r="T32" s="4">
        <f t="shared" si="17"/>
        <v>0</v>
      </c>
      <c r="U32" s="4">
        <f t="shared" si="18"/>
        <v>0</v>
      </c>
      <c r="V32" s="4">
        <f t="shared" si="19"/>
        <v>0</v>
      </c>
    </row>
    <row r="33" spans="1:22" x14ac:dyDescent="0.25">
      <c r="A33" t="s">
        <v>26</v>
      </c>
      <c r="B33">
        <v>22.654262266283421</v>
      </c>
      <c r="C33">
        <v>24.350235735752079</v>
      </c>
      <c r="D33">
        <v>23.420027258703019</v>
      </c>
      <c r="E33">
        <v>21.653772609176553</v>
      </c>
      <c r="F33" s="4">
        <v>0</v>
      </c>
      <c r="G33" s="4">
        <v>0</v>
      </c>
      <c r="H33" s="4">
        <v>0</v>
      </c>
      <c r="I33" s="4">
        <v>0</v>
      </c>
      <c r="J33" s="4">
        <f t="shared" si="13"/>
        <v>0</v>
      </c>
      <c r="K33" s="4">
        <f t="shared" si="14"/>
        <v>0</v>
      </c>
      <c r="L33" s="4">
        <f t="shared" si="15"/>
        <v>0</v>
      </c>
      <c r="M33" s="4">
        <f t="shared" si="16"/>
        <v>0</v>
      </c>
      <c r="N33" s="4">
        <f t="shared" si="7"/>
        <v>0</v>
      </c>
      <c r="O33" s="4">
        <f t="shared" si="8"/>
        <v>0</v>
      </c>
      <c r="P33" s="4"/>
      <c r="Q33" s="4">
        <v>0</v>
      </c>
      <c r="R33" s="4">
        <v>0</v>
      </c>
      <c r="S33" s="4">
        <v>0</v>
      </c>
      <c r="T33" s="4">
        <f t="shared" si="17"/>
        <v>0</v>
      </c>
      <c r="U33" s="4">
        <f t="shared" si="18"/>
        <v>0</v>
      </c>
      <c r="V33" s="4">
        <f t="shared" si="19"/>
        <v>0</v>
      </c>
    </row>
    <row r="34" spans="1:22" x14ac:dyDescent="0.25">
      <c r="A34" t="s">
        <v>77</v>
      </c>
      <c r="B34">
        <v>0</v>
      </c>
      <c r="C34">
        <v>0</v>
      </c>
      <c r="D34">
        <v>0</v>
      </c>
      <c r="E34">
        <v>0</v>
      </c>
      <c r="F34" s="4">
        <v>0</v>
      </c>
      <c r="G34" s="4">
        <v>0</v>
      </c>
      <c r="H34" s="4">
        <v>0</v>
      </c>
      <c r="I34" s="4">
        <v>0</v>
      </c>
      <c r="J34" s="4"/>
      <c r="K34" s="4"/>
      <c r="L34" s="4"/>
      <c r="M34" s="4"/>
      <c r="N34" s="4"/>
      <c r="O34" s="4"/>
      <c r="P34" s="4"/>
      <c r="Q34" s="4">
        <v>0</v>
      </c>
      <c r="R34" s="4">
        <v>0</v>
      </c>
      <c r="S34" s="4">
        <v>0</v>
      </c>
      <c r="T34" s="4"/>
      <c r="U34" s="4"/>
      <c r="V34" s="4"/>
    </row>
    <row r="35" spans="1:22" x14ac:dyDescent="0.25">
      <c r="A35" t="s">
        <v>27</v>
      </c>
      <c r="B35">
        <v>1084.4868814446186</v>
      </c>
      <c r="C35">
        <v>1175.2239962447945</v>
      </c>
      <c r="D35">
        <v>1063.9243156684256</v>
      </c>
      <c r="E35">
        <v>1018.5408169208748</v>
      </c>
      <c r="F35" s="4">
        <v>78.407182992917427</v>
      </c>
      <c r="G35" s="4">
        <v>160.11663598345604</v>
      </c>
      <c r="H35" s="4">
        <v>75.421327579581487</v>
      </c>
      <c r="I35" s="4">
        <v>138.04422239238326</v>
      </c>
      <c r="J35" s="4">
        <f t="shared" ref="J35:M40" si="20">F35/B35*100</f>
        <v>7.2298876394404257</v>
      </c>
      <c r="K35" s="4">
        <f t="shared" si="20"/>
        <v>13.624350463833141</v>
      </c>
      <c r="L35" s="4">
        <f t="shared" si="20"/>
        <v>7.0889748893648479</v>
      </c>
      <c r="M35" s="4">
        <f t="shared" si="20"/>
        <v>13.553136025486076</v>
      </c>
      <c r="N35" s="4">
        <f t="shared" si="7"/>
        <v>10.374087254531123</v>
      </c>
      <c r="O35" s="4">
        <f t="shared" si="8"/>
        <v>3.2151406069236401</v>
      </c>
      <c r="P35" s="4"/>
      <c r="Q35" s="4">
        <v>0</v>
      </c>
      <c r="R35" s="4">
        <v>0</v>
      </c>
      <c r="S35" s="4">
        <v>0</v>
      </c>
      <c r="T35" s="4">
        <f t="shared" ref="T35:V40" si="21">Q35/C35*1000</f>
        <v>0</v>
      </c>
      <c r="U35" s="4">
        <f t="shared" si="21"/>
        <v>0</v>
      </c>
      <c r="V35" s="4">
        <f t="shared" si="21"/>
        <v>0</v>
      </c>
    </row>
    <row r="36" spans="1:22" x14ac:dyDescent="0.25">
      <c r="A36" t="s">
        <v>28</v>
      </c>
      <c r="B36">
        <v>14954.969904976648</v>
      </c>
      <c r="C36">
        <v>15426.489334897935</v>
      </c>
      <c r="D36">
        <v>14020.334553719331</v>
      </c>
      <c r="E36">
        <v>13263.540364485189</v>
      </c>
      <c r="F36" s="4">
        <v>738.94477954659635</v>
      </c>
      <c r="G36" s="4">
        <v>1315.3561413596435</v>
      </c>
      <c r="H36" s="4">
        <v>591.64643573235901</v>
      </c>
      <c r="I36" s="4">
        <v>1171.588998610893</v>
      </c>
      <c r="J36" s="4">
        <f t="shared" si="20"/>
        <v>4.9411318393940302</v>
      </c>
      <c r="K36" s="4">
        <f t="shared" si="20"/>
        <v>8.5266071418079132</v>
      </c>
      <c r="L36" s="4">
        <f t="shared" si="20"/>
        <v>4.2199166750654067</v>
      </c>
      <c r="M36" s="4">
        <f t="shared" si="20"/>
        <v>8.833154394794704</v>
      </c>
      <c r="N36" s="4">
        <f t="shared" si="7"/>
        <v>6.6302025127655133</v>
      </c>
      <c r="O36" s="4">
        <f t="shared" si="8"/>
        <v>2.068319672502942</v>
      </c>
      <c r="P36" s="4"/>
      <c r="Q36" s="4">
        <v>39.193914100000001</v>
      </c>
      <c r="R36" s="4">
        <v>23.247001899999997</v>
      </c>
      <c r="S36" s="4">
        <v>18.354929000000002</v>
      </c>
      <c r="T36" s="4">
        <f t="shared" si="21"/>
        <v>2.5406891515709407</v>
      </c>
      <c r="U36" s="4">
        <f t="shared" si="21"/>
        <v>1.6580918102152566</v>
      </c>
      <c r="V36" s="4">
        <f t="shared" si="21"/>
        <v>1.3838634705065362</v>
      </c>
    </row>
    <row r="37" spans="1:22" x14ac:dyDescent="0.25">
      <c r="A37" t="s">
        <v>29</v>
      </c>
      <c r="B37">
        <v>9587.1412014545713</v>
      </c>
      <c r="C37">
        <v>10191.297259961926</v>
      </c>
      <c r="D37">
        <v>9486.3866853053132</v>
      </c>
      <c r="E37">
        <v>8983.535973685588</v>
      </c>
      <c r="F37" s="4">
        <v>102.80520017998241</v>
      </c>
      <c r="G37" s="4">
        <v>145.40752318820648</v>
      </c>
      <c r="H37" s="4">
        <v>67.64838918458922</v>
      </c>
      <c r="I37" s="4">
        <v>131.34260905708399</v>
      </c>
      <c r="J37" s="4">
        <f t="shared" si="20"/>
        <v>1.0723238348089073</v>
      </c>
      <c r="K37" s="4">
        <f t="shared" si="20"/>
        <v>1.4267812966212088</v>
      </c>
      <c r="L37" s="4">
        <f t="shared" si="20"/>
        <v>0.71311018018460637</v>
      </c>
      <c r="M37" s="4">
        <f t="shared" si="20"/>
        <v>1.4620368799302457</v>
      </c>
      <c r="N37" s="4">
        <f t="shared" si="7"/>
        <v>1.1685630478862419</v>
      </c>
      <c r="O37" s="4">
        <f t="shared" si="8"/>
        <v>0.30393373245895822</v>
      </c>
      <c r="P37" s="4"/>
      <c r="Q37" s="4">
        <v>173.30929</v>
      </c>
      <c r="R37" s="4">
        <v>109.60682000000001</v>
      </c>
      <c r="S37" s="4">
        <v>85.912252000000009</v>
      </c>
      <c r="T37" s="4">
        <f t="shared" si="21"/>
        <v>17.00561622129031</v>
      </c>
      <c r="U37" s="4">
        <f t="shared" si="21"/>
        <v>11.554116824036294</v>
      </c>
      <c r="V37" s="4">
        <f t="shared" si="21"/>
        <v>9.5633002696992175</v>
      </c>
    </row>
    <row r="38" spans="1:22" x14ac:dyDescent="0.25">
      <c r="A38" t="s">
        <v>30</v>
      </c>
      <c r="B38">
        <v>6736.9382713762507</v>
      </c>
      <c r="C38">
        <v>7114.6612534723527</v>
      </c>
      <c r="D38">
        <v>6836.1911042780839</v>
      </c>
      <c r="E38">
        <v>6469.4986250435431</v>
      </c>
      <c r="F38" s="4">
        <v>25.357911570978505</v>
      </c>
      <c r="G38" s="4">
        <v>52.180217047989608</v>
      </c>
      <c r="H38" s="4">
        <v>22.86699612266462</v>
      </c>
      <c r="I38" s="4">
        <v>51.971590377939236</v>
      </c>
      <c r="J38" s="4">
        <f t="shared" si="20"/>
        <v>0.37640112688457633</v>
      </c>
      <c r="K38" s="4">
        <f t="shared" si="20"/>
        <v>0.73341815146185274</v>
      </c>
      <c r="L38" s="4">
        <f t="shared" si="20"/>
        <v>0.33449907666206802</v>
      </c>
      <c r="M38" s="4">
        <f t="shared" si="20"/>
        <v>0.80333258247797279</v>
      </c>
      <c r="N38" s="4">
        <f t="shared" si="7"/>
        <v>0.56191273437161748</v>
      </c>
      <c r="O38" s="4">
        <f t="shared" si="8"/>
        <v>0.20846413323174637</v>
      </c>
      <c r="P38" s="4"/>
      <c r="Q38" s="4">
        <v>28.60771205</v>
      </c>
      <c r="R38" s="4">
        <v>15.9620266</v>
      </c>
      <c r="S38" s="4">
        <v>9.2411700000000021</v>
      </c>
      <c r="T38" s="4">
        <f t="shared" si="21"/>
        <v>4.0209520918564934</v>
      </c>
      <c r="U38" s="4">
        <f t="shared" si="21"/>
        <v>2.3349298398066982</v>
      </c>
      <c r="V38" s="4">
        <f t="shared" si="21"/>
        <v>1.4284213562125618</v>
      </c>
    </row>
    <row r="39" spans="1:22" x14ac:dyDescent="0.25">
      <c r="A39" t="s">
        <v>31</v>
      </c>
      <c r="B39">
        <v>3924.8610913779139</v>
      </c>
      <c r="C39">
        <v>4097.5613356685299</v>
      </c>
      <c r="D39">
        <v>4080.3115145620754</v>
      </c>
      <c r="E39">
        <v>3840.1637326061482</v>
      </c>
      <c r="F39" s="4">
        <v>5.205877429428142</v>
      </c>
      <c r="G39" s="4">
        <v>10.009113086605467</v>
      </c>
      <c r="H39" s="4">
        <v>4.211377322639537</v>
      </c>
      <c r="I39" s="4">
        <v>9.7119634507039798</v>
      </c>
      <c r="J39" s="4">
        <f t="shared" si="20"/>
        <v>0.13263851403211058</v>
      </c>
      <c r="K39" s="4">
        <f t="shared" si="20"/>
        <v>0.24427000029207491</v>
      </c>
      <c r="L39" s="4">
        <f t="shared" si="20"/>
        <v>0.10321215200382876</v>
      </c>
      <c r="M39" s="4">
        <f t="shared" si="20"/>
        <v>0.25290493132470954</v>
      </c>
      <c r="N39" s="4">
        <f t="shared" si="7"/>
        <v>0.18325639941318095</v>
      </c>
      <c r="O39" s="4">
        <f t="shared" si="8"/>
        <v>6.6224673184208577E-2</v>
      </c>
      <c r="P39" s="4"/>
      <c r="Q39" s="4">
        <v>1.0251495000000002</v>
      </c>
      <c r="R39" s="4">
        <v>0.4305466</v>
      </c>
      <c r="S39" s="4">
        <v>0</v>
      </c>
      <c r="T39" s="4">
        <f t="shared" si="21"/>
        <v>0.25018527265870538</v>
      </c>
      <c r="U39" s="4">
        <f t="shared" si="21"/>
        <v>0.10551807097655115</v>
      </c>
      <c r="V39" s="4">
        <f t="shared" si="21"/>
        <v>0</v>
      </c>
    </row>
    <row r="40" spans="1:22" x14ac:dyDescent="0.25">
      <c r="A40" t="s">
        <v>32</v>
      </c>
      <c r="B40">
        <v>4277.7824543136239</v>
      </c>
      <c r="C40">
        <v>4411.8920652076995</v>
      </c>
      <c r="D40">
        <v>4444.8250439489411</v>
      </c>
      <c r="E40">
        <v>4179.0555224357731</v>
      </c>
      <c r="F40" s="4">
        <v>2.1544345834843805</v>
      </c>
      <c r="G40" s="4">
        <v>3.9692272060366989</v>
      </c>
      <c r="H40" s="4">
        <v>1.6765860476854275</v>
      </c>
      <c r="I40" s="4">
        <v>4.103315640269658</v>
      </c>
      <c r="J40" s="4">
        <f t="shared" si="20"/>
        <v>5.0363350789657264E-2</v>
      </c>
      <c r="K40" s="4">
        <f t="shared" si="20"/>
        <v>8.9966552838817895E-2</v>
      </c>
      <c r="L40" s="4">
        <f t="shared" si="20"/>
        <v>3.7719955928701497E-2</v>
      </c>
      <c r="M40" s="4">
        <f t="shared" si="20"/>
        <v>9.8187631589015847E-2</v>
      </c>
      <c r="N40" s="4">
        <f t="shared" si="7"/>
        <v>6.9059372786548126E-2</v>
      </c>
      <c r="O40" s="4">
        <f t="shared" si="8"/>
        <v>2.5579610660151148E-2</v>
      </c>
      <c r="P40" s="4"/>
      <c r="Q40" s="4">
        <v>0</v>
      </c>
      <c r="R40" s="4">
        <v>0</v>
      </c>
      <c r="S40" s="4">
        <v>0</v>
      </c>
      <c r="T40" s="4">
        <f t="shared" si="21"/>
        <v>0</v>
      </c>
      <c r="U40" s="4">
        <f t="shared" si="21"/>
        <v>0</v>
      </c>
      <c r="V40" s="4">
        <f t="shared" si="21"/>
        <v>0</v>
      </c>
    </row>
    <row r="41" spans="1:22" x14ac:dyDescent="0.25">
      <c r="B41" s="4">
        <f>SUM(F3:F40)/SUM(B3:B40)*100</f>
        <v>2.1020118468270699</v>
      </c>
      <c r="C41" s="4">
        <f>SUM(G3:G40)/SUM(C3:C40)*100</f>
        <v>3.4307097327329892</v>
      </c>
      <c r="D41" s="4">
        <f>SUM(H3:H40)/SUM(D3:D40)*100</f>
        <v>1.7944672691230961</v>
      </c>
      <c r="E41" s="4">
        <f>SUM(I3:I40)/SUM(E3:E40)*100</f>
        <v>3.3733479228082328</v>
      </c>
      <c r="F41" s="4"/>
      <c r="G41" s="4"/>
      <c r="H41" s="4"/>
      <c r="I41" s="4"/>
      <c r="J41" s="4"/>
      <c r="K41" s="4"/>
      <c r="L41" s="4"/>
      <c r="M41" s="4"/>
      <c r="N41" s="4"/>
      <c r="O41" s="4"/>
      <c r="P41" s="4"/>
      <c r="Q41" s="4"/>
      <c r="R41" s="4"/>
      <c r="S41" s="4"/>
      <c r="T41" s="4"/>
      <c r="U41" s="4"/>
      <c r="V41" s="4"/>
    </row>
    <row r="42" spans="1:22" x14ac:dyDescent="0.25">
      <c r="C42">
        <f>_xlfn.STDEV.P(B41:E41)</f>
        <v>0.73526190286677739</v>
      </c>
      <c r="E42" s="4"/>
      <c r="G42" t="s">
        <v>353</v>
      </c>
      <c r="H42">
        <f>(SUM(F3:F13,F24:F32)/SUM(B3:B13,B24:B32))*100</f>
        <v>0.16971069463726793</v>
      </c>
      <c r="I42">
        <f t="shared" ref="I42:K42" si="22">SUM(G3:G13,G24:G32)/SUM(C3:C13,C24:C32)*100</f>
        <v>0.31468717838495336</v>
      </c>
      <c r="J42">
        <f t="shared" si="22"/>
        <v>0.21824199191777016</v>
      </c>
      <c r="K42">
        <f t="shared" si="22"/>
        <v>0.21740682643623427</v>
      </c>
      <c r="L42" s="4">
        <f>AVERAGE(H42:K42)</f>
        <v>0.23001167284405644</v>
      </c>
      <c r="M42" t="s">
        <v>142</v>
      </c>
      <c r="N42">
        <f>SUM(F3:F23)/SUM(B3:B23)*100</f>
        <v>1.975771751584992</v>
      </c>
      <c r="O42">
        <f t="shared" ref="O42:Q42" si="23">SUM(G3:G23)/SUM(C3:C23)*100</f>
        <v>3.1261549497052967</v>
      </c>
      <c r="P42">
        <f t="shared" si="23"/>
        <v>1.7554850321458859</v>
      </c>
      <c r="Q42">
        <f t="shared" si="23"/>
        <v>3.0302630470879914</v>
      </c>
      <c r="R42" s="4">
        <f>AVERAGE(N42:Q42)</f>
        <v>2.4719186951310417</v>
      </c>
      <c r="U42" s="4"/>
      <c r="V42" s="4"/>
    </row>
    <row r="43" spans="1:22" x14ac:dyDescent="0.25">
      <c r="G43" t="s">
        <v>222</v>
      </c>
      <c r="H43">
        <f>SUM(F14:F23,F33:F40)/SUM(B14:B23,B33:B40)*100</f>
        <v>2.9607656793514741</v>
      </c>
      <c r="I43">
        <f t="shared" ref="I43" si="24">SUM(G4:G14,G25:G33)/SUM(C4:C14,C25:C33)*100</f>
        <v>0.18885133138411545</v>
      </c>
      <c r="J43">
        <f t="shared" ref="J43" si="25">SUM(H4:H14,H25:H33)/SUM(D4:D14,D25:D33)*100</f>
        <v>0.1073291444085652</v>
      </c>
      <c r="K43">
        <f t="shared" ref="K43" si="26">SUM(I4:I14,I25:I33)/SUM(E4:E14,E25:E33)*100</f>
        <v>0.17933738462478774</v>
      </c>
      <c r="L43" s="4">
        <f>AVERAGE(H43:K43)</f>
        <v>0.8590708849422356</v>
      </c>
      <c r="M43" t="s">
        <v>137</v>
      </c>
      <c r="N43">
        <f>SUM(F24:F40)/SUM(B24:B40)*100</f>
        <v>2.2766805424374845</v>
      </c>
      <c r="O43">
        <f t="shared" ref="O43:Q43" si="27">SUM(G24:G40)/SUM(C24:C40)*100</f>
        <v>3.8496007104999905</v>
      </c>
      <c r="P43">
        <f t="shared" si="27"/>
        <v>1.8491859818621397</v>
      </c>
      <c r="Q43">
        <f t="shared" si="27"/>
        <v>3.8622812943197715</v>
      </c>
      <c r="R43" s="4">
        <f>AVERAGE(N43:Q43)</f>
        <v>2.9594371322798465</v>
      </c>
    </row>
    <row r="44" spans="1:22" x14ac:dyDescent="0.25">
      <c r="A44" t="s">
        <v>103</v>
      </c>
      <c r="B44" t="s">
        <v>104</v>
      </c>
    </row>
    <row r="47" spans="1:22" x14ac:dyDescent="0.25">
      <c r="B47" s="5"/>
      <c r="C47" s="5" t="s">
        <v>112</v>
      </c>
      <c r="D47" s="1"/>
      <c r="E47" s="1"/>
      <c r="F47" s="1"/>
    </row>
    <row r="48" spans="1:22" x14ac:dyDescent="0.25">
      <c r="B48" s="7"/>
      <c r="C48" s="7" t="s">
        <v>113</v>
      </c>
      <c r="D48" s="60" t="s">
        <v>114</v>
      </c>
      <c r="E48" s="60" t="s">
        <v>115</v>
      </c>
      <c r="F48" s="60" t="s">
        <v>114</v>
      </c>
    </row>
    <row r="49" spans="2:6" x14ac:dyDescent="0.25">
      <c r="B49" s="7">
        <v>4</v>
      </c>
      <c r="C49" s="56">
        <f t="shared" ref="C49:C54" si="28">N3</f>
        <v>0.28721297149671687</v>
      </c>
      <c r="D49" s="3"/>
      <c r="E49" s="3">
        <f>N14</f>
        <v>0</v>
      </c>
      <c r="F49" s="3"/>
    </row>
    <row r="50" spans="2:6" x14ac:dyDescent="0.25">
      <c r="B50" s="7">
        <v>5</v>
      </c>
      <c r="C50" s="25">
        <f t="shared" si="28"/>
        <v>2.2075241027722663E-2</v>
      </c>
      <c r="D50" s="47"/>
      <c r="E50" s="47"/>
      <c r="F50" s="47"/>
    </row>
    <row r="51" spans="2:6" x14ac:dyDescent="0.25">
      <c r="B51" s="7">
        <v>6</v>
      </c>
      <c r="C51" s="25">
        <f t="shared" si="28"/>
        <v>0</v>
      </c>
      <c r="D51" s="47"/>
      <c r="E51" s="47">
        <f t="shared" ref="E51:E58" si="29">N16</f>
        <v>0.53578365830729613</v>
      </c>
      <c r="F51" s="47">
        <f>N33</f>
        <v>0</v>
      </c>
    </row>
    <row r="52" spans="2:6" x14ac:dyDescent="0.25">
      <c r="B52" s="7">
        <v>7</v>
      </c>
      <c r="C52" s="25">
        <f t="shared" si="28"/>
        <v>0</v>
      </c>
      <c r="D52" s="47">
        <f t="shared" ref="D52:D59" si="30">N25</f>
        <v>0</v>
      </c>
      <c r="E52" s="47">
        <f t="shared" si="29"/>
        <v>2.5856634339756175</v>
      </c>
      <c r="F52" s="47"/>
    </row>
    <row r="53" spans="2:6" x14ac:dyDescent="0.25">
      <c r="B53" s="7">
        <v>8</v>
      </c>
      <c r="C53" s="25">
        <f t="shared" si="28"/>
        <v>6.3228996839901686E-2</v>
      </c>
      <c r="D53" s="47">
        <f t="shared" si="30"/>
        <v>3.1246526531004445E-2</v>
      </c>
      <c r="E53" s="47">
        <f t="shared" si="29"/>
        <v>10.371204492148731</v>
      </c>
      <c r="F53" s="6">
        <f t="shared" ref="F53:F58" si="31">N35</f>
        <v>10.374087254531123</v>
      </c>
    </row>
    <row r="54" spans="2:6" x14ac:dyDescent="0.25">
      <c r="B54" s="7">
        <v>9</v>
      </c>
      <c r="C54" s="25">
        <f t="shared" si="28"/>
        <v>1.0700896688667709</v>
      </c>
      <c r="D54" s="47">
        <f t="shared" si="30"/>
        <v>0.26084180614303254</v>
      </c>
      <c r="E54" s="47">
        <f t="shared" si="29"/>
        <v>6.1692291813034137</v>
      </c>
      <c r="F54" s="6">
        <f t="shared" si="31"/>
        <v>6.6302025127655133</v>
      </c>
    </row>
    <row r="55" spans="2:6" x14ac:dyDescent="0.25">
      <c r="B55" s="7">
        <v>10</v>
      </c>
      <c r="C55" s="47">
        <f>N9</f>
        <v>8.9233492531875847</v>
      </c>
      <c r="D55" s="47">
        <f t="shared" si="30"/>
        <v>1.6918221745091464</v>
      </c>
      <c r="E55" s="47">
        <f t="shared" si="29"/>
        <v>1.4760449655436421</v>
      </c>
      <c r="F55" s="6">
        <f t="shared" si="31"/>
        <v>1.1685630478862419</v>
      </c>
    </row>
    <row r="56" spans="2:6" x14ac:dyDescent="0.25">
      <c r="B56" s="7">
        <v>11</v>
      </c>
      <c r="C56" s="47">
        <f>N10</f>
        <v>7.1708812807638562</v>
      </c>
      <c r="D56" s="47">
        <f t="shared" si="30"/>
        <v>4.6156029126535465</v>
      </c>
      <c r="E56" s="47">
        <f t="shared" si="29"/>
        <v>1.0989922682476811</v>
      </c>
      <c r="F56" s="6">
        <f t="shared" si="31"/>
        <v>0.56191273437161748</v>
      </c>
    </row>
    <row r="57" spans="2:6" x14ac:dyDescent="0.25">
      <c r="B57" s="7">
        <v>12</v>
      </c>
      <c r="C57" s="47">
        <f>N11</f>
        <v>3.1984979125962623</v>
      </c>
      <c r="D57" s="47">
        <f t="shared" si="30"/>
        <v>2.0384616867400238</v>
      </c>
      <c r="E57" s="47">
        <f t="shared" si="29"/>
        <v>0.59163357734889366</v>
      </c>
      <c r="F57" s="6">
        <f t="shared" si="31"/>
        <v>0.18325639941318095</v>
      </c>
    </row>
    <row r="58" spans="2:6" x14ac:dyDescent="0.25">
      <c r="B58" s="7">
        <v>13</v>
      </c>
      <c r="C58" s="47">
        <f>N12</f>
        <v>1.5003751155885698</v>
      </c>
      <c r="D58" s="47">
        <f t="shared" si="30"/>
        <v>1.097226238440361</v>
      </c>
      <c r="E58" s="47">
        <f t="shared" si="29"/>
        <v>0.39887477339545818</v>
      </c>
      <c r="F58" s="6">
        <f t="shared" si="31"/>
        <v>6.9059372786548126E-2</v>
      </c>
    </row>
    <row r="59" spans="2:6" x14ac:dyDescent="0.25">
      <c r="B59" s="26">
        <v>14</v>
      </c>
      <c r="C59" s="48">
        <f>N13</f>
        <v>0.40348055543500172</v>
      </c>
      <c r="D59" s="48">
        <f t="shared" si="30"/>
        <v>0.34711798820644135</v>
      </c>
      <c r="E59" s="9"/>
      <c r="F59" s="9"/>
    </row>
    <row r="84" spans="2:9" x14ac:dyDescent="0.25">
      <c r="I84" t="s">
        <v>224</v>
      </c>
    </row>
    <row r="91" spans="2:9" x14ac:dyDescent="0.25">
      <c r="C91" t="s">
        <v>112</v>
      </c>
    </row>
    <row r="92" spans="2:9" x14ac:dyDescent="0.25">
      <c r="C92" t="s">
        <v>113</v>
      </c>
      <c r="D92" t="s">
        <v>114</v>
      </c>
      <c r="E92" t="s">
        <v>115</v>
      </c>
      <c r="F92" t="s">
        <v>116</v>
      </c>
    </row>
    <row r="93" spans="2:9" x14ac:dyDescent="0.25">
      <c r="B93">
        <v>4</v>
      </c>
      <c r="C93" s="4">
        <f>N3</f>
        <v>0.28721297149671687</v>
      </c>
      <c r="D93" s="4"/>
      <c r="E93" s="4">
        <v>0</v>
      </c>
      <c r="F93" s="4"/>
    </row>
    <row r="94" spans="2:9" x14ac:dyDescent="0.25">
      <c r="B94">
        <v>5</v>
      </c>
      <c r="C94" s="4">
        <f>N4</f>
        <v>2.2075241027722663E-2</v>
      </c>
      <c r="D94" s="4"/>
      <c r="E94" s="4"/>
      <c r="F94" s="4"/>
    </row>
    <row r="95" spans="2:9" x14ac:dyDescent="0.25">
      <c r="B95">
        <v>6</v>
      </c>
      <c r="C95" s="4">
        <f t="shared" ref="C95:C103" si="32">N5</f>
        <v>0</v>
      </c>
      <c r="D95" s="4"/>
      <c r="E95" s="4">
        <f>N16</f>
        <v>0.53578365830729613</v>
      </c>
      <c r="F95" s="4">
        <v>0</v>
      </c>
    </row>
    <row r="96" spans="2:9" x14ac:dyDescent="0.25">
      <c r="B96">
        <v>7</v>
      </c>
      <c r="C96" s="4">
        <f t="shared" si="32"/>
        <v>0</v>
      </c>
      <c r="D96" s="4">
        <f>N25</f>
        <v>0</v>
      </c>
      <c r="E96" s="4">
        <f t="shared" ref="E96:E102" si="33">N17</f>
        <v>2.5856634339756175</v>
      </c>
      <c r="F96" s="4"/>
    </row>
    <row r="97" spans="2:6" x14ac:dyDescent="0.25">
      <c r="B97">
        <v>8</v>
      </c>
      <c r="C97" s="4">
        <f t="shared" si="32"/>
        <v>6.3228996839901686E-2</v>
      </c>
      <c r="D97" s="4">
        <f t="shared" ref="D97:D103" si="34">N26</f>
        <v>3.1246526531004445E-2</v>
      </c>
      <c r="E97" s="4">
        <f t="shared" si="33"/>
        <v>10.371204492148731</v>
      </c>
      <c r="F97" s="4">
        <f>N35</f>
        <v>10.374087254531123</v>
      </c>
    </row>
    <row r="98" spans="2:6" x14ac:dyDescent="0.25">
      <c r="B98">
        <v>9</v>
      </c>
      <c r="C98" s="4">
        <f t="shared" si="32"/>
        <v>1.0700896688667709</v>
      </c>
      <c r="D98" s="4">
        <f t="shared" si="34"/>
        <v>0.26084180614303254</v>
      </c>
      <c r="E98" s="4">
        <f t="shared" si="33"/>
        <v>6.1692291813034137</v>
      </c>
      <c r="F98" s="4">
        <f t="shared" ref="F98:F102" si="35">N36</f>
        <v>6.6302025127655133</v>
      </c>
    </row>
    <row r="99" spans="2:6" x14ac:dyDescent="0.25">
      <c r="B99">
        <v>10</v>
      </c>
      <c r="C99" s="4">
        <f t="shared" si="32"/>
        <v>8.9233492531875847</v>
      </c>
      <c r="D99" s="4">
        <f t="shared" si="34"/>
        <v>1.6918221745091464</v>
      </c>
      <c r="E99" s="4">
        <f t="shared" si="33"/>
        <v>1.4760449655436421</v>
      </c>
      <c r="F99" s="4">
        <f t="shared" si="35"/>
        <v>1.1685630478862419</v>
      </c>
    </row>
    <row r="100" spans="2:6" x14ac:dyDescent="0.25">
      <c r="B100">
        <v>11</v>
      </c>
      <c r="C100" s="4">
        <f t="shared" si="32"/>
        <v>7.1708812807638562</v>
      </c>
      <c r="D100" s="4">
        <f t="shared" si="34"/>
        <v>4.6156029126535465</v>
      </c>
      <c r="E100" s="4">
        <f t="shared" si="33"/>
        <v>1.0989922682476811</v>
      </c>
      <c r="F100" s="4">
        <f t="shared" si="35"/>
        <v>0.56191273437161748</v>
      </c>
    </row>
    <row r="101" spans="2:6" x14ac:dyDescent="0.25">
      <c r="B101">
        <v>12</v>
      </c>
      <c r="C101" s="4">
        <f t="shared" si="32"/>
        <v>3.1984979125962623</v>
      </c>
      <c r="D101" s="4">
        <f t="shared" si="34"/>
        <v>2.0384616867400238</v>
      </c>
      <c r="E101" s="4">
        <f t="shared" si="33"/>
        <v>0.59163357734889366</v>
      </c>
      <c r="F101" s="4">
        <f t="shared" si="35"/>
        <v>0.18325639941318095</v>
      </c>
    </row>
    <row r="102" spans="2:6" x14ac:dyDescent="0.25">
      <c r="B102">
        <v>13</v>
      </c>
      <c r="C102" s="4">
        <f t="shared" si="32"/>
        <v>1.5003751155885698</v>
      </c>
      <c r="D102" s="4">
        <f t="shared" si="34"/>
        <v>1.097226238440361</v>
      </c>
      <c r="E102" s="4">
        <f t="shared" si="33"/>
        <v>0.39887477339545818</v>
      </c>
      <c r="F102" s="4">
        <f t="shared" si="35"/>
        <v>6.9059372786548126E-2</v>
      </c>
    </row>
    <row r="103" spans="2:6" x14ac:dyDescent="0.25">
      <c r="B103">
        <v>14</v>
      </c>
      <c r="C103" s="4">
        <f t="shared" si="32"/>
        <v>0.40348055543500172</v>
      </c>
      <c r="D103" s="4">
        <f t="shared" si="34"/>
        <v>0.34711798820644135</v>
      </c>
      <c r="F103" s="4"/>
    </row>
  </sheetData>
  <conditionalFormatting sqref="J25:O33 J35:O41 P41:V41 J3:O23 L42:L43 U42:V42">
    <cfRule type="colorScale" priority="12">
      <colorScale>
        <cfvo type="min"/>
        <cfvo type="percentile" val="50"/>
        <cfvo type="max"/>
        <color rgb="FF63BE7B"/>
        <color rgb="FFFFEB84"/>
        <color rgb="FFF8696B"/>
      </colorScale>
    </cfRule>
  </conditionalFormatting>
  <conditionalFormatting sqref="R42:R43">
    <cfRule type="colorScale" priority="1">
      <colorScale>
        <cfvo type="min"/>
        <cfvo type="percentile" val="50"/>
        <cfvo type="max"/>
        <color rgb="FF63BE7B"/>
        <color rgb="FFFFEB84"/>
        <color rgb="FFF8696B"/>
      </colorScale>
    </cfRule>
  </conditionalFormatting>
  <pageMargins left="0.7" right="0.7" top="0.78740157499999996" bottom="0.78740157499999996"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1DC19-B29C-48F0-8D3D-A1AFCD274145}">
  <dimension ref="A1:F153"/>
  <sheetViews>
    <sheetView topLeftCell="A111" workbookViewId="0">
      <selection activeCell="M133" sqref="M133"/>
    </sheetView>
  </sheetViews>
  <sheetFormatPr baseColWidth="10" defaultRowHeight="15" x14ac:dyDescent="0.25"/>
  <sheetData>
    <row r="1" spans="1:6" x14ac:dyDescent="0.25">
      <c r="A1" t="s">
        <v>35</v>
      </c>
      <c r="B1" t="s">
        <v>35</v>
      </c>
      <c r="C1" t="s">
        <v>359</v>
      </c>
      <c r="D1" t="s">
        <v>356</v>
      </c>
      <c r="E1" t="s">
        <v>357</v>
      </c>
      <c r="F1" t="s">
        <v>358</v>
      </c>
    </row>
    <row r="2" spans="1:6" x14ac:dyDescent="0.25">
      <c r="A2">
        <v>1</v>
      </c>
      <c r="B2" t="s">
        <v>227</v>
      </c>
      <c r="C2" t="s">
        <v>142</v>
      </c>
      <c r="D2">
        <v>0.2139122911276021</v>
      </c>
    </row>
    <row r="3" spans="1:6" x14ac:dyDescent="0.25">
      <c r="A3">
        <v>1</v>
      </c>
      <c r="B3" t="s">
        <v>236</v>
      </c>
      <c r="C3" t="s">
        <v>142</v>
      </c>
      <c r="D3">
        <v>2.3828394246010652E-2</v>
      </c>
    </row>
    <row r="4" spans="1:6" x14ac:dyDescent="0.25">
      <c r="A4">
        <v>1</v>
      </c>
      <c r="B4" t="s">
        <v>237</v>
      </c>
      <c r="C4" t="s">
        <v>142</v>
      </c>
      <c r="D4">
        <v>0</v>
      </c>
    </row>
    <row r="5" spans="1:6" x14ac:dyDescent="0.25">
      <c r="A5">
        <v>1</v>
      </c>
      <c r="B5" t="s">
        <v>238</v>
      </c>
      <c r="C5" t="s">
        <v>142</v>
      </c>
      <c r="D5">
        <v>0</v>
      </c>
    </row>
    <row r="6" spans="1:6" x14ac:dyDescent="0.25">
      <c r="A6">
        <v>1</v>
      </c>
      <c r="B6" t="s">
        <v>239</v>
      </c>
      <c r="C6" t="s">
        <v>142</v>
      </c>
      <c r="D6">
        <v>3.0764995434754958E-2</v>
      </c>
    </row>
    <row r="7" spans="1:6" x14ac:dyDescent="0.25">
      <c r="A7">
        <v>1</v>
      </c>
      <c r="B7" t="s">
        <v>240</v>
      </c>
      <c r="C7" t="s">
        <v>142</v>
      </c>
      <c r="D7">
        <v>0.49328023225933582</v>
      </c>
    </row>
    <row r="8" spans="1:6" x14ac:dyDescent="0.25">
      <c r="A8">
        <v>1</v>
      </c>
      <c r="B8" t="s">
        <v>241</v>
      </c>
      <c r="C8" t="s">
        <v>142</v>
      </c>
      <c r="D8">
        <v>5.6076380887998738</v>
      </c>
      <c r="E8">
        <v>38.723306176533256</v>
      </c>
    </row>
    <row r="9" spans="1:6" x14ac:dyDescent="0.25">
      <c r="A9">
        <v>1</v>
      </c>
      <c r="B9" t="s">
        <v>242</v>
      </c>
      <c r="C9" t="s">
        <v>142</v>
      </c>
      <c r="D9">
        <v>5.2414143381596814</v>
      </c>
      <c r="E9">
        <v>27.949483087094571</v>
      </c>
    </row>
    <row r="10" spans="1:6" x14ac:dyDescent="0.25">
      <c r="A10">
        <v>1</v>
      </c>
      <c r="B10" t="s">
        <v>243</v>
      </c>
      <c r="C10" t="s">
        <v>142</v>
      </c>
      <c r="D10">
        <v>2.8644602851833212</v>
      </c>
      <c r="E10">
        <v>22.800894097366623</v>
      </c>
    </row>
    <row r="11" spans="1:6" x14ac:dyDescent="0.25">
      <c r="A11">
        <v>1</v>
      </c>
      <c r="B11" t="s">
        <v>244</v>
      </c>
      <c r="C11" t="s">
        <v>142</v>
      </c>
      <c r="D11">
        <v>1.0158013497117677</v>
      </c>
    </row>
    <row r="12" spans="1:6" x14ac:dyDescent="0.25">
      <c r="A12">
        <v>1</v>
      </c>
      <c r="B12" t="s">
        <v>245</v>
      </c>
      <c r="C12" t="s">
        <v>142</v>
      </c>
      <c r="D12">
        <v>4.5157954020395422E-2</v>
      </c>
    </row>
    <row r="13" spans="1:6" x14ac:dyDescent="0.25">
      <c r="A13">
        <v>1</v>
      </c>
      <c r="B13" t="s">
        <v>246</v>
      </c>
      <c r="C13" t="s">
        <v>142</v>
      </c>
      <c r="D13">
        <v>0</v>
      </c>
    </row>
    <row r="14" spans="1:6" x14ac:dyDescent="0.25">
      <c r="A14">
        <v>1</v>
      </c>
      <c r="B14" t="s">
        <v>247</v>
      </c>
      <c r="C14" t="s">
        <v>142</v>
      </c>
      <c r="D14">
        <v>0</v>
      </c>
    </row>
    <row r="15" spans="1:6" x14ac:dyDescent="0.25">
      <c r="A15">
        <v>1</v>
      </c>
      <c r="B15" t="s">
        <v>248</v>
      </c>
      <c r="C15" t="s">
        <v>142</v>
      </c>
      <c r="D15">
        <v>0.3891948875193072</v>
      </c>
      <c r="E15">
        <v>3.6948143953088772</v>
      </c>
    </row>
    <row r="16" spans="1:6" x14ac:dyDescent="0.25">
      <c r="A16">
        <v>1</v>
      </c>
      <c r="B16" t="s">
        <v>249</v>
      </c>
      <c r="C16" t="s">
        <v>142</v>
      </c>
      <c r="D16">
        <v>2.3010587286251023</v>
      </c>
      <c r="E16">
        <v>21.865841658042438</v>
      </c>
    </row>
    <row r="17" spans="1:5" x14ac:dyDescent="0.25">
      <c r="A17">
        <v>1</v>
      </c>
      <c r="B17" t="s">
        <v>250</v>
      </c>
      <c r="C17" t="s">
        <v>142</v>
      </c>
      <c r="D17">
        <v>8.022922337204081</v>
      </c>
      <c r="E17">
        <v>37.066694147590653</v>
      </c>
    </row>
    <row r="18" spans="1:5" x14ac:dyDescent="0.25">
      <c r="A18">
        <v>1</v>
      </c>
      <c r="B18" t="s">
        <v>251</v>
      </c>
      <c r="C18" t="s">
        <v>142</v>
      </c>
      <c r="D18">
        <v>4.6380260497089756</v>
      </c>
      <c r="E18">
        <v>21.327605555690624</v>
      </c>
    </row>
    <row r="19" spans="1:5" x14ac:dyDescent="0.25">
      <c r="A19">
        <v>1</v>
      </c>
      <c r="B19" t="s">
        <v>252</v>
      </c>
      <c r="C19" t="s">
        <v>142</v>
      </c>
      <c r="D19">
        <v>1.3895658841260161</v>
      </c>
      <c r="E19">
        <v>15.576341136178547</v>
      </c>
    </row>
    <row r="20" spans="1:5" x14ac:dyDescent="0.25">
      <c r="A20">
        <v>1</v>
      </c>
      <c r="B20" t="s">
        <v>253</v>
      </c>
      <c r="C20" t="s">
        <v>142</v>
      </c>
      <c r="D20">
        <v>0.69744411084667035</v>
      </c>
      <c r="E20">
        <v>12.859873479776349</v>
      </c>
    </row>
    <row r="21" spans="1:5" x14ac:dyDescent="0.25">
      <c r="A21">
        <v>1</v>
      </c>
      <c r="B21" t="s">
        <v>254</v>
      </c>
      <c r="C21" t="s">
        <v>142</v>
      </c>
      <c r="D21">
        <v>0.50000095927703292</v>
      </c>
      <c r="E21">
        <v>10.360944402988718</v>
      </c>
    </row>
    <row r="22" spans="1:5" x14ac:dyDescent="0.25">
      <c r="A22">
        <v>1</v>
      </c>
      <c r="B22" t="s">
        <v>255</v>
      </c>
      <c r="C22" t="s">
        <v>137</v>
      </c>
      <c r="D22">
        <v>0.37223955632543582</v>
      </c>
      <c r="E22">
        <v>14.747812352339261</v>
      </c>
    </row>
    <row r="23" spans="1:5" x14ac:dyDescent="0.25">
      <c r="A23">
        <v>1</v>
      </c>
      <c r="B23" t="s">
        <v>256</v>
      </c>
      <c r="C23" t="s">
        <v>137</v>
      </c>
    </row>
    <row r="24" spans="1:5" x14ac:dyDescent="0.25">
      <c r="A24">
        <v>1</v>
      </c>
      <c r="B24" t="s">
        <v>238</v>
      </c>
      <c r="C24" t="s">
        <v>137</v>
      </c>
      <c r="D24">
        <v>0</v>
      </c>
    </row>
    <row r="25" spans="1:5" x14ac:dyDescent="0.25">
      <c r="A25">
        <v>1</v>
      </c>
      <c r="B25" t="s">
        <v>239</v>
      </c>
      <c r="C25" t="s">
        <v>137</v>
      </c>
      <c r="D25">
        <v>1.3927328689108986E-2</v>
      </c>
      <c r="E25">
        <v>48.471830808387779</v>
      </c>
    </row>
    <row r="26" spans="1:5" x14ac:dyDescent="0.25">
      <c r="A26">
        <v>1</v>
      </c>
      <c r="B26" t="s">
        <v>240</v>
      </c>
      <c r="C26" t="s">
        <v>137</v>
      </c>
      <c r="D26">
        <v>0.1670979676725898</v>
      </c>
    </row>
    <row r="27" spans="1:5" x14ac:dyDescent="0.25">
      <c r="A27">
        <v>1</v>
      </c>
      <c r="B27" t="s">
        <v>241</v>
      </c>
      <c r="C27" t="s">
        <v>137</v>
      </c>
      <c r="D27">
        <v>4.3376522219440554</v>
      </c>
      <c r="E27">
        <v>22.951893396024676</v>
      </c>
    </row>
    <row r="28" spans="1:5" x14ac:dyDescent="0.25">
      <c r="A28">
        <v>1</v>
      </c>
      <c r="B28" t="s">
        <v>242</v>
      </c>
      <c r="C28" t="s">
        <v>137</v>
      </c>
      <c r="D28">
        <v>3.9471665677764602</v>
      </c>
      <c r="E28">
        <v>70.729304138769933</v>
      </c>
    </row>
    <row r="29" spans="1:5" x14ac:dyDescent="0.25">
      <c r="A29">
        <v>1</v>
      </c>
      <c r="B29" t="s">
        <v>243</v>
      </c>
      <c r="C29" t="s">
        <v>137</v>
      </c>
      <c r="D29">
        <v>1.7142675415847026</v>
      </c>
      <c r="E29">
        <v>25.767553180667111</v>
      </c>
    </row>
    <row r="30" spans="1:5" x14ac:dyDescent="0.25">
      <c r="A30">
        <v>1</v>
      </c>
      <c r="B30" t="s">
        <v>244</v>
      </c>
      <c r="C30" t="s">
        <v>137</v>
      </c>
      <c r="D30">
        <v>0.73247793353125945</v>
      </c>
      <c r="E30">
        <v>10.50223000848402</v>
      </c>
    </row>
    <row r="31" spans="1:5" x14ac:dyDescent="0.25">
      <c r="A31">
        <v>1</v>
      </c>
      <c r="B31" t="s">
        <v>245</v>
      </c>
      <c r="C31" t="s">
        <v>137</v>
      </c>
      <c r="D31">
        <v>0.29789686949228666</v>
      </c>
      <c r="E31">
        <v>4.1283334160806753</v>
      </c>
    </row>
    <row r="32" spans="1:5" x14ac:dyDescent="0.25">
      <c r="A32">
        <v>1</v>
      </c>
      <c r="B32" t="s">
        <v>257</v>
      </c>
      <c r="C32" t="s">
        <v>137</v>
      </c>
      <c r="D32">
        <v>0</v>
      </c>
    </row>
    <row r="33" spans="1:6" x14ac:dyDescent="0.25">
      <c r="A33">
        <v>1</v>
      </c>
      <c r="B33" t="s">
        <v>258</v>
      </c>
      <c r="C33" t="s">
        <v>137</v>
      </c>
    </row>
    <row r="34" spans="1:6" x14ac:dyDescent="0.25">
      <c r="A34">
        <v>1</v>
      </c>
      <c r="B34" t="s">
        <v>250</v>
      </c>
      <c r="C34" t="s">
        <v>137</v>
      </c>
      <c r="D34">
        <v>7.2298876394404257</v>
      </c>
      <c r="E34">
        <v>42.786862997527486</v>
      </c>
    </row>
    <row r="35" spans="1:6" x14ac:dyDescent="0.25">
      <c r="A35">
        <v>1</v>
      </c>
      <c r="B35" t="s">
        <v>251</v>
      </c>
      <c r="C35" t="s">
        <v>137</v>
      </c>
      <c r="D35">
        <v>4.9411318393940302</v>
      </c>
      <c r="E35">
        <v>27.182242374899818</v>
      </c>
    </row>
    <row r="36" spans="1:6" x14ac:dyDescent="0.25">
      <c r="A36">
        <v>1</v>
      </c>
      <c r="B36" t="s">
        <v>252</v>
      </c>
      <c r="C36" t="s">
        <v>137</v>
      </c>
      <c r="D36">
        <v>1.0723238348089073</v>
      </c>
      <c r="E36">
        <v>16.582468434448455</v>
      </c>
    </row>
    <row r="37" spans="1:6" x14ac:dyDescent="0.25">
      <c r="A37">
        <v>1</v>
      </c>
      <c r="B37" t="s">
        <v>253</v>
      </c>
      <c r="C37" t="s">
        <v>137</v>
      </c>
      <c r="D37">
        <v>0.37640112688457633</v>
      </c>
      <c r="E37">
        <v>7.4853907187899056</v>
      </c>
    </row>
    <row r="38" spans="1:6" x14ac:dyDescent="0.25">
      <c r="A38">
        <v>1</v>
      </c>
      <c r="B38" t="s">
        <v>254</v>
      </c>
      <c r="C38" t="s">
        <v>137</v>
      </c>
      <c r="D38">
        <v>0.13263851403211058</v>
      </c>
      <c r="E38">
        <v>3.3729789808269848</v>
      </c>
    </row>
    <row r="39" spans="1:6" x14ac:dyDescent="0.25">
      <c r="A39">
        <v>1</v>
      </c>
      <c r="B39" t="s">
        <v>255</v>
      </c>
      <c r="C39" t="s">
        <v>137</v>
      </c>
      <c r="D39">
        <v>5.0363350789657264E-2</v>
      </c>
      <c r="E39">
        <v>4.7935489665279754</v>
      </c>
    </row>
    <row r="40" spans="1:6" x14ac:dyDescent="0.25">
      <c r="A40">
        <v>2</v>
      </c>
      <c r="B40" t="s">
        <v>227</v>
      </c>
      <c r="C40" t="s">
        <v>142</v>
      </c>
      <c r="D40">
        <v>0.40013115891727669</v>
      </c>
      <c r="E40">
        <v>27.39712176126266</v>
      </c>
    </row>
    <row r="41" spans="1:6" x14ac:dyDescent="0.25">
      <c r="A41">
        <v>2</v>
      </c>
      <c r="B41" t="s">
        <v>236</v>
      </c>
      <c r="C41" t="s">
        <v>142</v>
      </c>
      <c r="D41">
        <v>2.4174269330779544E-2</v>
      </c>
    </row>
    <row r="42" spans="1:6" x14ac:dyDescent="0.25">
      <c r="A42">
        <v>2</v>
      </c>
      <c r="B42" t="s">
        <v>237</v>
      </c>
      <c r="C42" t="s">
        <v>142</v>
      </c>
      <c r="D42">
        <v>0</v>
      </c>
    </row>
    <row r="43" spans="1:6" x14ac:dyDescent="0.25">
      <c r="A43">
        <v>2</v>
      </c>
      <c r="B43" t="s">
        <v>238</v>
      </c>
      <c r="C43" t="s">
        <v>142</v>
      </c>
      <c r="D43">
        <v>0</v>
      </c>
    </row>
    <row r="44" spans="1:6" x14ac:dyDescent="0.25">
      <c r="A44">
        <v>2</v>
      </c>
      <c r="B44" t="s">
        <v>239</v>
      </c>
      <c r="C44" t="s">
        <v>142</v>
      </c>
      <c r="D44">
        <v>9.7153312082511392E-2</v>
      </c>
      <c r="E44">
        <v>19.975423070891793</v>
      </c>
    </row>
    <row r="45" spans="1:6" x14ac:dyDescent="0.25">
      <c r="A45">
        <v>2</v>
      </c>
      <c r="B45" t="s">
        <v>240</v>
      </c>
      <c r="C45" t="s">
        <v>142</v>
      </c>
      <c r="D45">
        <v>1.6878303050683843</v>
      </c>
      <c r="E45">
        <v>39.836044859766972</v>
      </c>
    </row>
    <row r="46" spans="1:6" x14ac:dyDescent="0.25">
      <c r="A46">
        <v>2</v>
      </c>
      <c r="B46" t="s">
        <v>241</v>
      </c>
      <c r="C46" t="s">
        <v>142</v>
      </c>
      <c r="D46">
        <v>10.997824515196736</v>
      </c>
      <c r="E46">
        <v>29.748806032615676</v>
      </c>
      <c r="F46">
        <v>22.504778589608613</v>
      </c>
    </row>
    <row r="47" spans="1:6" x14ac:dyDescent="0.25">
      <c r="A47">
        <v>2</v>
      </c>
      <c r="B47" t="s">
        <v>242</v>
      </c>
      <c r="C47" t="s">
        <v>142</v>
      </c>
      <c r="D47">
        <v>8.9945379878670781</v>
      </c>
      <c r="E47">
        <v>20.877927125299557</v>
      </c>
      <c r="F47">
        <v>19.635897466287403</v>
      </c>
    </row>
    <row r="48" spans="1:6" x14ac:dyDescent="0.25">
      <c r="A48">
        <v>2</v>
      </c>
      <c r="B48" t="s">
        <v>243</v>
      </c>
      <c r="C48" t="s">
        <v>142</v>
      </c>
      <c r="D48">
        <v>4.0288437663151475</v>
      </c>
      <c r="E48">
        <v>24.320953703857729</v>
      </c>
      <c r="F48">
        <v>14.088357328454173</v>
      </c>
    </row>
    <row r="49" spans="1:6" x14ac:dyDescent="0.25">
      <c r="A49">
        <v>2</v>
      </c>
      <c r="B49" t="s">
        <v>244</v>
      </c>
      <c r="C49" t="s">
        <v>142</v>
      </c>
      <c r="D49">
        <v>1.9282577911860912</v>
      </c>
      <c r="E49">
        <v>11.571739241401424</v>
      </c>
      <c r="F49">
        <v>5.9754067289650452</v>
      </c>
    </row>
    <row r="50" spans="1:6" x14ac:dyDescent="0.25">
      <c r="A50">
        <v>2</v>
      </c>
      <c r="B50" t="s">
        <v>245</v>
      </c>
      <c r="C50" t="s">
        <v>142</v>
      </c>
      <c r="D50">
        <v>0.75182557776935388</v>
      </c>
      <c r="E50">
        <v>9.8318749015595088</v>
      </c>
    </row>
    <row r="51" spans="1:6" x14ac:dyDescent="0.25">
      <c r="A51">
        <v>2</v>
      </c>
      <c r="B51" t="s">
        <v>246</v>
      </c>
      <c r="C51" t="s">
        <v>142</v>
      </c>
      <c r="D51">
        <v>0</v>
      </c>
    </row>
    <row r="52" spans="1:6" x14ac:dyDescent="0.25">
      <c r="A52">
        <v>2</v>
      </c>
      <c r="B52" t="s">
        <v>247</v>
      </c>
      <c r="C52" t="s">
        <v>142</v>
      </c>
    </row>
    <row r="53" spans="1:6" x14ac:dyDescent="0.25">
      <c r="A53">
        <v>2</v>
      </c>
      <c r="B53" t="s">
        <v>248</v>
      </c>
      <c r="C53" t="s">
        <v>142</v>
      </c>
      <c r="D53">
        <v>0.69716189790462113</v>
      </c>
      <c r="E53">
        <v>5.4321879354227693</v>
      </c>
      <c r="F53">
        <v>6.7230570374388483</v>
      </c>
    </row>
    <row r="54" spans="1:6" x14ac:dyDescent="0.25">
      <c r="A54">
        <v>2</v>
      </c>
      <c r="B54" t="s">
        <v>249</v>
      </c>
      <c r="C54" t="s">
        <v>142</v>
      </c>
      <c r="D54">
        <v>3.4881994899704125</v>
      </c>
      <c r="E54">
        <v>33.647921386405109</v>
      </c>
      <c r="F54">
        <v>14.747812352339261</v>
      </c>
    </row>
    <row r="55" spans="1:6" x14ac:dyDescent="0.25">
      <c r="A55">
        <v>2</v>
      </c>
      <c r="B55" t="s">
        <v>250</v>
      </c>
      <c r="C55" t="s">
        <v>142</v>
      </c>
      <c r="D55">
        <v>12.978334280724207</v>
      </c>
      <c r="E55">
        <v>28.64244547768369</v>
      </c>
      <c r="F55">
        <v>24.492833235333755</v>
      </c>
    </row>
    <row r="56" spans="1:6" x14ac:dyDescent="0.25">
      <c r="A56">
        <v>2</v>
      </c>
      <c r="B56" t="s">
        <v>251</v>
      </c>
      <c r="C56" t="s">
        <v>142</v>
      </c>
      <c r="D56">
        <v>7.5710466997461197</v>
      </c>
      <c r="E56">
        <v>16.464303576245733</v>
      </c>
      <c r="F56">
        <v>16.119701873487102</v>
      </c>
    </row>
    <row r="57" spans="1:6" x14ac:dyDescent="0.25">
      <c r="A57">
        <v>2</v>
      </c>
      <c r="B57" t="s">
        <v>252</v>
      </c>
      <c r="C57" t="s">
        <v>142</v>
      </c>
      <c r="D57">
        <v>1.7758240074681457</v>
      </c>
      <c r="E57">
        <v>13.004637533957698</v>
      </c>
      <c r="F57">
        <v>11.848669753161458</v>
      </c>
    </row>
    <row r="58" spans="1:6" x14ac:dyDescent="0.25">
      <c r="A58">
        <v>2</v>
      </c>
      <c r="B58" t="s">
        <v>253</v>
      </c>
      <c r="C58" t="s">
        <v>142</v>
      </c>
      <c r="D58">
        <v>1.5064482549244105</v>
      </c>
      <c r="E58">
        <v>11.270685862763338</v>
      </c>
      <c r="F58">
        <v>8.3011638390412603</v>
      </c>
    </row>
    <row r="59" spans="1:6" x14ac:dyDescent="0.25">
      <c r="A59">
        <v>2</v>
      </c>
      <c r="B59" t="s">
        <v>254</v>
      </c>
      <c r="C59" t="s">
        <v>142</v>
      </c>
      <c r="D59">
        <v>0.76479669492037039</v>
      </c>
      <c r="E59">
        <v>8.7629226366617612</v>
      </c>
      <c r="F59">
        <v>8.3511708501198214</v>
      </c>
    </row>
    <row r="60" spans="1:6" x14ac:dyDescent="0.25">
      <c r="A60">
        <v>2</v>
      </c>
      <c r="B60" t="s">
        <v>255</v>
      </c>
      <c r="C60" t="s">
        <v>137</v>
      </c>
      <c r="D60">
        <v>0.4911132681866156</v>
      </c>
      <c r="E60">
        <v>7.1384879563331127</v>
      </c>
    </row>
    <row r="61" spans="1:6" x14ac:dyDescent="0.25">
      <c r="A61">
        <v>2</v>
      </c>
      <c r="B61" t="s">
        <v>256</v>
      </c>
      <c r="C61" t="s">
        <v>137</v>
      </c>
    </row>
    <row r="62" spans="1:6" x14ac:dyDescent="0.25">
      <c r="A62">
        <v>2</v>
      </c>
      <c r="B62" t="s">
        <v>238</v>
      </c>
      <c r="C62" t="s">
        <v>137</v>
      </c>
      <c r="D62">
        <v>0</v>
      </c>
    </row>
    <row r="63" spans="1:6" x14ac:dyDescent="0.25">
      <c r="A63">
        <v>2</v>
      </c>
      <c r="B63" t="s">
        <v>239</v>
      </c>
      <c r="C63" t="s">
        <v>137</v>
      </c>
      <c r="D63">
        <v>4.8408370207707913E-2</v>
      </c>
    </row>
    <row r="64" spans="1:6" x14ac:dyDescent="0.25">
      <c r="A64">
        <v>2</v>
      </c>
      <c r="B64" t="s">
        <v>240</v>
      </c>
      <c r="C64" t="s">
        <v>137</v>
      </c>
      <c r="D64">
        <v>0.39131203175440571</v>
      </c>
    </row>
    <row r="65" spans="1:6" x14ac:dyDescent="0.25">
      <c r="A65">
        <v>2</v>
      </c>
      <c r="B65" t="s">
        <v>241</v>
      </c>
      <c r="C65" t="s">
        <v>137</v>
      </c>
      <c r="D65">
        <v>2.4296364760925302</v>
      </c>
    </row>
    <row r="66" spans="1:6" x14ac:dyDescent="0.25">
      <c r="A66">
        <v>2</v>
      </c>
      <c r="B66" t="s">
        <v>242</v>
      </c>
      <c r="C66" t="s">
        <v>137</v>
      </c>
      <c r="D66">
        <v>5.0952232658951591</v>
      </c>
      <c r="E66">
        <v>128.36058899258245</v>
      </c>
    </row>
    <row r="67" spans="1:6" x14ac:dyDescent="0.25">
      <c r="A67">
        <v>2</v>
      </c>
      <c r="B67" t="s">
        <v>243</v>
      </c>
      <c r="C67" t="s">
        <v>137</v>
      </c>
      <c r="D67">
        <v>2.5726304053586881</v>
      </c>
      <c r="E67">
        <v>23.819490740891588</v>
      </c>
    </row>
    <row r="68" spans="1:6" x14ac:dyDescent="0.25">
      <c r="A68">
        <v>2</v>
      </c>
      <c r="B68" t="s">
        <v>244</v>
      </c>
      <c r="C68" t="s">
        <v>137</v>
      </c>
      <c r="D68">
        <v>1.4163015532811367</v>
      </c>
      <c r="E68">
        <v>7.8410314542980233</v>
      </c>
    </row>
    <row r="69" spans="1:6" x14ac:dyDescent="0.25">
      <c r="A69">
        <v>2</v>
      </c>
      <c r="B69" t="s">
        <v>245</v>
      </c>
      <c r="C69" t="s">
        <v>137</v>
      </c>
      <c r="D69">
        <v>0.43904913535773515</v>
      </c>
    </row>
    <row r="70" spans="1:6" x14ac:dyDescent="0.25">
      <c r="A70">
        <v>2</v>
      </c>
      <c r="B70" t="s">
        <v>257</v>
      </c>
      <c r="C70" t="s">
        <v>137</v>
      </c>
      <c r="D70">
        <v>0</v>
      </c>
    </row>
    <row r="71" spans="1:6" x14ac:dyDescent="0.25">
      <c r="A71">
        <v>2</v>
      </c>
      <c r="B71" t="s">
        <v>258</v>
      </c>
      <c r="C71" t="s">
        <v>137</v>
      </c>
      <c r="F71">
        <v>11.289042028663603</v>
      </c>
    </row>
    <row r="72" spans="1:6" x14ac:dyDescent="0.25">
      <c r="A72">
        <v>2</v>
      </c>
      <c r="B72" t="s">
        <v>250</v>
      </c>
      <c r="C72" t="s">
        <v>137</v>
      </c>
      <c r="D72">
        <v>13.624350463833141</v>
      </c>
      <c r="E72">
        <v>28.176714656908345</v>
      </c>
      <c r="F72">
        <v>26.355406104940887</v>
      </c>
    </row>
    <row r="73" spans="1:6" x14ac:dyDescent="0.25">
      <c r="A73">
        <v>2</v>
      </c>
      <c r="B73" t="s">
        <v>251</v>
      </c>
      <c r="C73" t="s">
        <v>137</v>
      </c>
      <c r="D73">
        <v>8.5266071418079132</v>
      </c>
      <c r="E73">
        <v>19.254088348887372</v>
      </c>
      <c r="F73">
        <v>22.216255787177733</v>
      </c>
    </row>
    <row r="74" spans="1:6" x14ac:dyDescent="0.25">
      <c r="A74">
        <v>2</v>
      </c>
      <c r="B74" t="s">
        <v>252</v>
      </c>
      <c r="C74" t="s">
        <v>137</v>
      </c>
      <c r="D74">
        <v>1.4267812966212088</v>
      </c>
      <c r="E74">
        <v>12.012949403118636</v>
      </c>
      <c r="F74">
        <v>13.725686743761292</v>
      </c>
    </row>
    <row r="75" spans="1:6" x14ac:dyDescent="0.25">
      <c r="A75">
        <v>2</v>
      </c>
      <c r="B75" t="s">
        <v>253</v>
      </c>
      <c r="C75" t="s">
        <v>137</v>
      </c>
      <c r="D75">
        <v>0.73341815146185274</v>
      </c>
      <c r="E75">
        <v>4.1781023541889413</v>
      </c>
      <c r="F75">
        <v>14.203835667211992</v>
      </c>
    </row>
    <row r="76" spans="1:6" x14ac:dyDescent="0.25">
      <c r="A76">
        <v>2</v>
      </c>
      <c r="B76" t="s">
        <v>254</v>
      </c>
      <c r="C76" t="s">
        <v>137</v>
      </c>
      <c r="D76">
        <v>0.24427000029207491</v>
      </c>
      <c r="E76">
        <v>2.0928356900964533</v>
      </c>
      <c r="F76">
        <v>4.221359199512456</v>
      </c>
    </row>
    <row r="77" spans="1:6" x14ac:dyDescent="0.25">
      <c r="A77">
        <v>2</v>
      </c>
      <c r="B77" t="s">
        <v>255</v>
      </c>
      <c r="C77" t="s">
        <v>137</v>
      </c>
      <c r="D77">
        <v>8.9966552838817895E-2</v>
      </c>
      <c r="E77">
        <v>1.6294009886223444</v>
      </c>
      <c r="F77">
        <v>2.1627057115754922</v>
      </c>
    </row>
    <row r="78" spans="1:6" x14ac:dyDescent="0.25">
      <c r="A78">
        <v>3</v>
      </c>
      <c r="B78" t="s">
        <v>227</v>
      </c>
      <c r="C78" t="s">
        <v>142</v>
      </c>
      <c r="D78">
        <v>0.29329345177962096</v>
      </c>
      <c r="E78">
        <v>23.259972502011586</v>
      </c>
    </row>
    <row r="79" spans="1:6" x14ac:dyDescent="0.25">
      <c r="A79">
        <v>3</v>
      </c>
      <c r="B79" t="s">
        <v>236</v>
      </c>
      <c r="C79" t="s">
        <v>142</v>
      </c>
      <c r="D79">
        <v>1.8820700216620065E-2</v>
      </c>
    </row>
    <row r="80" spans="1:6" x14ac:dyDescent="0.25">
      <c r="A80">
        <v>3</v>
      </c>
      <c r="B80" t="s">
        <v>237</v>
      </c>
      <c r="C80" t="s">
        <v>142</v>
      </c>
      <c r="D80">
        <v>0</v>
      </c>
    </row>
    <row r="81" spans="1:6" x14ac:dyDescent="0.25">
      <c r="A81">
        <v>3</v>
      </c>
      <c r="B81" t="s">
        <v>238</v>
      </c>
      <c r="C81" t="s">
        <v>142</v>
      </c>
      <c r="D81">
        <v>0</v>
      </c>
    </row>
    <row r="82" spans="1:6" x14ac:dyDescent="0.25">
      <c r="A82">
        <v>3</v>
      </c>
      <c r="B82" t="s">
        <v>239</v>
      </c>
      <c r="C82" t="s">
        <v>142</v>
      </c>
      <c r="D82">
        <v>6.2472742368484678E-2</v>
      </c>
      <c r="E82">
        <v>8.3011638390412603</v>
      </c>
    </row>
    <row r="83" spans="1:6" x14ac:dyDescent="0.25">
      <c r="A83">
        <v>3</v>
      </c>
      <c r="B83" t="s">
        <v>240</v>
      </c>
      <c r="C83" t="s">
        <v>142</v>
      </c>
      <c r="D83">
        <v>0.74112086086661999</v>
      </c>
      <c r="E83">
        <v>44.432511574355466</v>
      </c>
    </row>
    <row r="84" spans="1:6" x14ac:dyDescent="0.25">
      <c r="A84">
        <v>3</v>
      </c>
      <c r="B84" t="s">
        <v>241</v>
      </c>
      <c r="C84" t="s">
        <v>142</v>
      </c>
      <c r="D84">
        <v>6.9746944087747647</v>
      </c>
      <c r="E84">
        <v>77.881705680892736</v>
      </c>
      <c r="F84">
        <v>22.651868645749847</v>
      </c>
    </row>
    <row r="85" spans="1:6" x14ac:dyDescent="0.25">
      <c r="A85">
        <v>3</v>
      </c>
      <c r="B85" t="s">
        <v>242</v>
      </c>
      <c r="C85" t="s">
        <v>142</v>
      </c>
      <c r="D85">
        <v>4.8712712727033125</v>
      </c>
      <c r="E85">
        <v>41.258760747615796</v>
      </c>
      <c r="F85">
        <v>15.403270679109896</v>
      </c>
    </row>
    <row r="86" spans="1:6" x14ac:dyDescent="0.25">
      <c r="A86">
        <v>3</v>
      </c>
      <c r="B86" t="s">
        <v>243</v>
      </c>
      <c r="C86" t="s">
        <v>142</v>
      </c>
      <c r="D86">
        <v>2.1239172099442469</v>
      </c>
      <c r="E86">
        <v>21.526309955277803</v>
      </c>
      <c r="F86">
        <v>13.355437005008579</v>
      </c>
    </row>
    <row r="87" spans="1:6" x14ac:dyDescent="0.25">
      <c r="A87">
        <v>3</v>
      </c>
      <c r="B87" t="s">
        <v>244</v>
      </c>
      <c r="C87" t="s">
        <v>142</v>
      </c>
      <c r="D87">
        <v>0.87576562318363427</v>
      </c>
      <c r="E87">
        <v>21.327605555690624</v>
      </c>
      <c r="F87">
        <v>5.2630765418370933</v>
      </c>
    </row>
    <row r="88" spans="1:6" x14ac:dyDescent="0.25">
      <c r="A88">
        <v>3</v>
      </c>
      <c r="B88" t="s">
        <v>245</v>
      </c>
      <c r="C88" t="s">
        <v>142</v>
      </c>
      <c r="D88">
        <v>7.9214154992685679E-2</v>
      </c>
    </row>
    <row r="89" spans="1:6" x14ac:dyDescent="0.25">
      <c r="A89">
        <v>3</v>
      </c>
      <c r="B89" t="s">
        <v>246</v>
      </c>
      <c r="C89" t="s">
        <v>142</v>
      </c>
      <c r="D89">
        <v>0</v>
      </c>
    </row>
    <row r="90" spans="1:6" x14ac:dyDescent="0.25">
      <c r="A90">
        <v>3</v>
      </c>
      <c r="B90" t="s">
        <v>247</v>
      </c>
      <c r="C90" t="s">
        <v>142</v>
      </c>
    </row>
    <row r="91" spans="1:6" x14ac:dyDescent="0.25">
      <c r="A91">
        <v>3</v>
      </c>
      <c r="B91" t="s">
        <v>248</v>
      </c>
      <c r="C91" t="s">
        <v>142</v>
      </c>
      <c r="D91">
        <v>0.44326031353705075</v>
      </c>
      <c r="E91">
        <v>3.6045095192924874</v>
      </c>
      <c r="F91">
        <v>7.6421960370446005</v>
      </c>
    </row>
    <row r="92" spans="1:6" x14ac:dyDescent="0.25">
      <c r="A92">
        <v>3</v>
      </c>
      <c r="B92" t="s">
        <v>249</v>
      </c>
      <c r="C92" t="s">
        <v>142</v>
      </c>
      <c r="D92">
        <v>1.4312100080529291</v>
      </c>
      <c r="E92">
        <v>48.471830808387779</v>
      </c>
      <c r="F92">
        <v>11.748257297626193</v>
      </c>
    </row>
    <row r="93" spans="1:6" x14ac:dyDescent="0.25">
      <c r="A93">
        <v>3</v>
      </c>
      <c r="B93" t="s">
        <v>250</v>
      </c>
      <c r="C93" t="s">
        <v>142</v>
      </c>
      <c r="D93">
        <v>7.7021479589851047</v>
      </c>
      <c r="E93">
        <v>28.524575331684993</v>
      </c>
      <c r="F93" s="58">
        <v>24.93335181870307</v>
      </c>
    </row>
    <row r="94" spans="1:6" x14ac:dyDescent="0.25">
      <c r="A94">
        <v>3</v>
      </c>
      <c r="B94" t="s">
        <v>251</v>
      </c>
      <c r="C94" t="s">
        <v>142</v>
      </c>
      <c r="D94">
        <v>3.9889271225297263</v>
      </c>
      <c r="E94">
        <v>15.646663218057457</v>
      </c>
      <c r="F94">
        <v>15.753345012726029</v>
      </c>
    </row>
    <row r="95" spans="1:6" x14ac:dyDescent="0.25">
      <c r="A95">
        <v>3</v>
      </c>
      <c r="B95" t="s">
        <v>252</v>
      </c>
      <c r="C95" t="s">
        <v>142</v>
      </c>
      <c r="D95">
        <v>1.0041453957793416</v>
      </c>
      <c r="E95">
        <v>10.915703630865281</v>
      </c>
      <c r="F95">
        <v>11.197854290144512</v>
      </c>
    </row>
    <row r="96" spans="1:6" x14ac:dyDescent="0.25">
      <c r="A96">
        <v>3</v>
      </c>
      <c r="B96" t="s">
        <v>253</v>
      </c>
      <c r="C96" t="s">
        <v>142</v>
      </c>
      <c r="D96">
        <v>0.72121845579565003</v>
      </c>
      <c r="E96">
        <v>11.649532446385635</v>
      </c>
      <c r="F96">
        <v>8.0411505865422885</v>
      </c>
    </row>
    <row r="97" spans="1:6" x14ac:dyDescent="0.25">
      <c r="A97">
        <v>3</v>
      </c>
      <c r="B97" t="s">
        <v>254</v>
      </c>
      <c r="C97" t="s">
        <v>142</v>
      </c>
      <c r="D97">
        <v>0.35025831637571075</v>
      </c>
      <c r="E97">
        <v>10.060191299854068</v>
      </c>
      <c r="F97">
        <v>4.0205752932711443</v>
      </c>
    </row>
    <row r="98" spans="1:6" x14ac:dyDescent="0.25">
      <c r="A98">
        <v>3</v>
      </c>
      <c r="B98" t="s">
        <v>255</v>
      </c>
      <c r="C98" t="s">
        <v>137</v>
      </c>
      <c r="D98">
        <v>0.25619955551203849</v>
      </c>
      <c r="E98">
        <v>8.9093467938296325</v>
      </c>
    </row>
    <row r="99" spans="1:6" x14ac:dyDescent="0.25">
      <c r="A99">
        <v>3</v>
      </c>
      <c r="B99" t="s">
        <v>256</v>
      </c>
      <c r="C99" t="s">
        <v>137</v>
      </c>
    </row>
    <row r="100" spans="1:6" x14ac:dyDescent="0.25">
      <c r="A100">
        <v>3</v>
      </c>
      <c r="B100" t="s">
        <v>238</v>
      </c>
      <c r="C100" t="s">
        <v>137</v>
      </c>
      <c r="D100">
        <v>0</v>
      </c>
    </row>
    <row r="101" spans="1:6" x14ac:dyDescent="0.25">
      <c r="A101">
        <v>3</v>
      </c>
      <c r="B101" t="s">
        <v>239</v>
      </c>
      <c r="C101" t="s">
        <v>137</v>
      </c>
      <c r="D101">
        <v>3.2901702005624263E-2</v>
      </c>
    </row>
    <row r="102" spans="1:6" x14ac:dyDescent="0.25">
      <c r="A102">
        <v>3</v>
      </c>
      <c r="B102" t="s">
        <v>240</v>
      </c>
      <c r="C102" t="s">
        <v>137</v>
      </c>
      <c r="D102">
        <v>0.18577628120289902</v>
      </c>
    </row>
    <row r="103" spans="1:6" x14ac:dyDescent="0.25">
      <c r="A103">
        <v>3</v>
      </c>
      <c r="B103" t="s">
        <v>241</v>
      </c>
      <c r="C103" t="s">
        <v>137</v>
      </c>
      <c r="D103">
        <v>0</v>
      </c>
    </row>
    <row r="104" spans="1:6" x14ac:dyDescent="0.25">
      <c r="A104">
        <v>3</v>
      </c>
      <c r="B104" t="s">
        <v>242</v>
      </c>
      <c r="C104" t="s">
        <v>137</v>
      </c>
      <c r="D104">
        <v>3.2093873139822877</v>
      </c>
      <c r="E104">
        <v>113.63068533769594</v>
      </c>
    </row>
    <row r="105" spans="1:6" x14ac:dyDescent="0.25">
      <c r="A105">
        <v>3</v>
      </c>
      <c r="B105" t="s">
        <v>243</v>
      </c>
      <c r="C105" t="s">
        <v>137</v>
      </c>
      <c r="D105">
        <v>1.074006207402745</v>
      </c>
      <c r="E105">
        <v>23.028145533553001</v>
      </c>
    </row>
    <row r="106" spans="1:6" x14ac:dyDescent="0.25">
      <c r="A106">
        <v>3</v>
      </c>
      <c r="B106" t="s">
        <v>244</v>
      </c>
      <c r="C106" t="s">
        <v>137</v>
      </c>
      <c r="D106">
        <v>0.57354425710947343</v>
      </c>
      <c r="E106">
        <v>11.788217356461654</v>
      </c>
    </row>
    <row r="107" spans="1:6" x14ac:dyDescent="0.25">
      <c r="A107">
        <v>3</v>
      </c>
      <c r="B107" t="s">
        <v>245</v>
      </c>
      <c r="C107" t="s">
        <v>137</v>
      </c>
      <c r="D107">
        <v>0.16395313213199106</v>
      </c>
    </row>
    <row r="108" spans="1:6" x14ac:dyDescent="0.25">
      <c r="A108">
        <v>3</v>
      </c>
      <c r="B108" t="s">
        <v>257</v>
      </c>
      <c r="C108" t="s">
        <v>137</v>
      </c>
      <c r="D108">
        <v>0</v>
      </c>
    </row>
    <row r="109" spans="1:6" x14ac:dyDescent="0.25">
      <c r="A109">
        <v>3</v>
      </c>
      <c r="B109" t="s">
        <v>258</v>
      </c>
      <c r="C109" t="s">
        <v>137</v>
      </c>
    </row>
    <row r="110" spans="1:6" x14ac:dyDescent="0.25">
      <c r="A110">
        <v>3</v>
      </c>
      <c r="B110" t="s">
        <v>250</v>
      </c>
      <c r="C110" t="s">
        <v>137</v>
      </c>
      <c r="D110">
        <v>7.0889748893648479</v>
      </c>
      <c r="E110">
        <v>29.246716479322586</v>
      </c>
      <c r="F110">
        <v>25.114028281157438</v>
      </c>
    </row>
    <row r="111" spans="1:6" x14ac:dyDescent="0.25">
      <c r="A111">
        <v>3</v>
      </c>
      <c r="B111" t="s">
        <v>251</v>
      </c>
      <c r="C111" t="s">
        <v>137</v>
      </c>
      <c r="D111">
        <v>4.2199166750654067</v>
      </c>
      <c r="E111">
        <v>19.470426420223184</v>
      </c>
      <c r="F111">
        <v>22.726137067539192</v>
      </c>
    </row>
    <row r="112" spans="1:6" x14ac:dyDescent="0.25">
      <c r="A112">
        <v>3</v>
      </c>
      <c r="B112" t="s">
        <v>252</v>
      </c>
      <c r="C112" t="s">
        <v>137</v>
      </c>
      <c r="D112">
        <v>0.71311018018460637</v>
      </c>
      <c r="E112">
        <v>12.42199248315314</v>
      </c>
      <c r="F112">
        <v>13.538030870311431</v>
      </c>
    </row>
    <row r="113" spans="1:6" x14ac:dyDescent="0.25">
      <c r="A113">
        <v>3</v>
      </c>
      <c r="B113" t="s">
        <v>253</v>
      </c>
      <c r="C113" t="s">
        <v>137</v>
      </c>
      <c r="D113">
        <v>0.33449907666206802</v>
      </c>
      <c r="E113">
        <v>4.1136331190501201</v>
      </c>
      <c r="F113">
        <v>9.8738914609678812</v>
      </c>
    </row>
    <row r="114" spans="1:6" x14ac:dyDescent="0.25">
      <c r="A114">
        <v>3</v>
      </c>
      <c r="B114" t="s">
        <v>254</v>
      </c>
      <c r="C114" t="s">
        <v>137</v>
      </c>
      <c r="D114">
        <v>0.10321215200382876</v>
      </c>
      <c r="E114">
        <v>1.7178368787111407</v>
      </c>
      <c r="F114">
        <v>4.2734104843399834</v>
      </c>
    </row>
    <row r="115" spans="1:6" x14ac:dyDescent="0.25">
      <c r="A115">
        <v>3</v>
      </c>
      <c r="B115" t="s">
        <v>255</v>
      </c>
      <c r="C115" t="s">
        <v>137</v>
      </c>
      <c r="D115">
        <v>3.7719955928701497E-2</v>
      </c>
      <c r="F115">
        <v>1.6413620188490299</v>
      </c>
    </row>
    <row r="116" spans="1:6" x14ac:dyDescent="0.25">
      <c r="A116">
        <v>4</v>
      </c>
      <c r="B116" t="s">
        <v>227</v>
      </c>
      <c r="C116" t="s">
        <v>142</v>
      </c>
      <c r="D116">
        <v>0.24151498416236772</v>
      </c>
      <c r="E116">
        <v>32.090147248145612</v>
      </c>
    </row>
    <row r="117" spans="1:6" x14ac:dyDescent="0.25">
      <c r="A117">
        <v>4</v>
      </c>
      <c r="B117" t="s">
        <v>236</v>
      </c>
      <c r="C117" t="s">
        <v>142</v>
      </c>
      <c r="D117">
        <v>2.1477600317480389E-2</v>
      </c>
    </row>
    <row r="118" spans="1:6" x14ac:dyDescent="0.25">
      <c r="A118">
        <v>4</v>
      </c>
      <c r="B118" t="s">
        <v>237</v>
      </c>
      <c r="C118" t="s">
        <v>142</v>
      </c>
      <c r="D118">
        <v>0</v>
      </c>
    </row>
    <row r="119" spans="1:6" x14ac:dyDescent="0.25">
      <c r="A119">
        <v>4</v>
      </c>
      <c r="B119" t="s">
        <v>238</v>
      </c>
      <c r="C119" t="s">
        <v>142</v>
      </c>
      <c r="D119">
        <v>0</v>
      </c>
    </row>
    <row r="120" spans="1:6" x14ac:dyDescent="0.25">
      <c r="A120">
        <v>4</v>
      </c>
      <c r="B120" t="s">
        <v>239</v>
      </c>
      <c r="C120" t="s">
        <v>142</v>
      </c>
      <c r="D120">
        <v>6.252493747385568E-2</v>
      </c>
      <c r="E120">
        <v>10.582399703205271</v>
      </c>
    </row>
    <row r="121" spans="1:6" x14ac:dyDescent="0.25">
      <c r="A121">
        <v>4</v>
      </c>
      <c r="B121" t="s">
        <v>240</v>
      </c>
      <c r="C121" t="s">
        <v>142</v>
      </c>
      <c r="D121">
        <v>1.3581272772727442</v>
      </c>
      <c r="E121">
        <v>30.40119212982216</v>
      </c>
    </row>
    <row r="122" spans="1:6" x14ac:dyDescent="0.25">
      <c r="A122">
        <v>4</v>
      </c>
      <c r="B122" t="s">
        <v>241</v>
      </c>
      <c r="C122" t="s">
        <v>142</v>
      </c>
      <c r="D122">
        <v>12.113239999978964</v>
      </c>
      <c r="E122">
        <v>23.576434712923309</v>
      </c>
      <c r="F122">
        <v>20.50731303431791</v>
      </c>
    </row>
    <row r="123" spans="1:6" x14ac:dyDescent="0.25">
      <c r="A123">
        <v>4</v>
      </c>
      <c r="B123" t="s">
        <v>242</v>
      </c>
      <c r="C123" t="s">
        <v>142</v>
      </c>
      <c r="D123">
        <v>9.5763015243253538</v>
      </c>
      <c r="E123">
        <v>22.216255787177733</v>
      </c>
      <c r="F123">
        <v>16.008018026788577</v>
      </c>
    </row>
    <row r="124" spans="1:6" x14ac:dyDescent="0.25">
      <c r="A124">
        <v>4</v>
      </c>
      <c r="B124" t="s">
        <v>243</v>
      </c>
      <c r="C124" t="s">
        <v>142</v>
      </c>
      <c r="D124">
        <v>3.7767703889423339</v>
      </c>
      <c r="E124">
        <v>15.10124576383323</v>
      </c>
      <c r="F124">
        <v>11.179793234837827</v>
      </c>
    </row>
    <row r="125" spans="1:6" x14ac:dyDescent="0.25">
      <c r="A125">
        <v>4</v>
      </c>
      <c r="B125" t="s">
        <v>244</v>
      </c>
      <c r="C125" t="s">
        <v>142</v>
      </c>
      <c r="D125">
        <v>2.1816756982727865</v>
      </c>
      <c r="E125">
        <v>11.143845346622914</v>
      </c>
      <c r="F125">
        <v>4.563180912178705</v>
      </c>
    </row>
    <row r="126" spans="1:6" x14ac:dyDescent="0.25">
      <c r="A126">
        <v>4</v>
      </c>
      <c r="B126" t="s">
        <v>245</v>
      </c>
      <c r="C126" t="s">
        <v>142</v>
      </c>
      <c r="D126">
        <v>0.73772453495757195</v>
      </c>
    </row>
    <row r="127" spans="1:6" x14ac:dyDescent="0.25">
      <c r="A127">
        <v>4</v>
      </c>
      <c r="B127" t="s">
        <v>246</v>
      </c>
      <c r="C127" t="s">
        <v>142</v>
      </c>
      <c r="D127">
        <v>0</v>
      </c>
    </row>
    <row r="128" spans="1:6" x14ac:dyDescent="0.25">
      <c r="A128">
        <v>4</v>
      </c>
      <c r="B128" t="s">
        <v>247</v>
      </c>
      <c r="C128" t="s">
        <v>142</v>
      </c>
    </row>
    <row r="129" spans="1:6" x14ac:dyDescent="0.25">
      <c r="A129">
        <v>4</v>
      </c>
      <c r="B129" t="s">
        <v>248</v>
      </c>
      <c r="C129" t="s">
        <v>142</v>
      </c>
      <c r="D129">
        <v>0.61351753426820543</v>
      </c>
      <c r="E129">
        <v>3.4657359027997261</v>
      </c>
      <c r="F129">
        <v>4.0558641343472512</v>
      </c>
    </row>
    <row r="130" spans="1:6" x14ac:dyDescent="0.25">
      <c r="A130">
        <v>4</v>
      </c>
      <c r="B130" t="s">
        <v>249</v>
      </c>
      <c r="C130" t="s">
        <v>142</v>
      </c>
      <c r="D130">
        <v>3.1221855092540265</v>
      </c>
      <c r="E130">
        <v>17.818693587659265</v>
      </c>
      <c r="F130">
        <v>10.470501216917603</v>
      </c>
    </row>
    <row r="131" spans="1:6" x14ac:dyDescent="0.25">
      <c r="A131">
        <v>4</v>
      </c>
      <c r="B131" t="s">
        <v>250</v>
      </c>
      <c r="C131" t="s">
        <v>142</v>
      </c>
      <c r="D131">
        <v>12.781413391681529</v>
      </c>
      <c r="E131">
        <v>26.05816468270471</v>
      </c>
      <c r="F131">
        <v>27.725887222397809</v>
      </c>
    </row>
    <row r="132" spans="1:6" x14ac:dyDescent="0.25">
      <c r="A132">
        <v>4</v>
      </c>
      <c r="B132" t="s">
        <v>251</v>
      </c>
      <c r="C132" t="s">
        <v>142</v>
      </c>
      <c r="D132">
        <v>8.4789168532288315</v>
      </c>
      <c r="E132">
        <v>14.145860827753985</v>
      </c>
      <c r="F132">
        <v>15.611422985584353</v>
      </c>
    </row>
    <row r="133" spans="1:6" x14ac:dyDescent="0.25">
      <c r="A133">
        <v>4</v>
      </c>
      <c r="B133" t="s">
        <v>252</v>
      </c>
      <c r="C133" t="s">
        <v>142</v>
      </c>
      <c r="D133">
        <v>1.7346445748010648</v>
      </c>
      <c r="E133">
        <v>10.598580742506808</v>
      </c>
      <c r="F133">
        <v>10.830424696249144</v>
      </c>
    </row>
    <row r="134" spans="1:6" x14ac:dyDescent="0.25">
      <c r="A134">
        <v>4</v>
      </c>
      <c r="B134" t="s">
        <v>253</v>
      </c>
      <c r="C134" t="s">
        <v>142</v>
      </c>
      <c r="D134">
        <v>1.4708582514239936</v>
      </c>
      <c r="E134">
        <v>8.3111172729010221</v>
      </c>
      <c r="F134">
        <v>5.2831339981703138</v>
      </c>
    </row>
    <row r="135" spans="1:6" x14ac:dyDescent="0.25">
      <c r="A135">
        <v>4</v>
      </c>
      <c r="B135" t="s">
        <v>254</v>
      </c>
      <c r="C135" t="s">
        <v>142</v>
      </c>
      <c r="D135">
        <v>0.75147833882246073</v>
      </c>
      <c r="E135">
        <v>8.7408219490535348</v>
      </c>
      <c r="F135">
        <v>6.890131019482558</v>
      </c>
    </row>
    <row r="136" spans="1:6" x14ac:dyDescent="0.25">
      <c r="A136">
        <v>4</v>
      </c>
      <c r="B136" t="s">
        <v>255</v>
      </c>
      <c r="C136" t="s">
        <v>137</v>
      </c>
      <c r="D136">
        <v>0.47594671355774287</v>
      </c>
      <c r="E136">
        <v>9.6808265441333141</v>
      </c>
    </row>
    <row r="137" spans="1:6" x14ac:dyDescent="0.25">
      <c r="A137">
        <v>4</v>
      </c>
      <c r="B137" t="s">
        <v>256</v>
      </c>
      <c r="C137" t="s">
        <v>137</v>
      </c>
    </row>
    <row r="138" spans="1:6" x14ac:dyDescent="0.25">
      <c r="A138">
        <v>4</v>
      </c>
      <c r="B138" t="s">
        <v>238</v>
      </c>
      <c r="C138" t="s">
        <v>137</v>
      </c>
      <c r="D138">
        <v>0</v>
      </c>
    </row>
    <row r="139" spans="1:6" x14ac:dyDescent="0.25">
      <c r="A139">
        <v>4</v>
      </c>
      <c r="B139" t="s">
        <v>239</v>
      </c>
      <c r="C139" t="s">
        <v>137</v>
      </c>
      <c r="D139">
        <v>2.9748705221576615E-2</v>
      </c>
    </row>
    <row r="140" spans="1:6" x14ac:dyDescent="0.25">
      <c r="A140">
        <v>4</v>
      </c>
      <c r="B140" t="s">
        <v>240</v>
      </c>
      <c r="C140" t="s">
        <v>137</v>
      </c>
      <c r="D140">
        <v>0.29918094394223554</v>
      </c>
    </row>
    <row r="141" spans="1:6" x14ac:dyDescent="0.25">
      <c r="A141">
        <v>4</v>
      </c>
      <c r="B141" t="s">
        <v>241</v>
      </c>
      <c r="C141" t="s">
        <v>137</v>
      </c>
      <c r="D141">
        <v>0</v>
      </c>
    </row>
    <row r="142" spans="1:6" x14ac:dyDescent="0.25">
      <c r="A142">
        <v>4</v>
      </c>
      <c r="B142" t="s">
        <v>242</v>
      </c>
      <c r="C142" t="s">
        <v>137</v>
      </c>
      <c r="D142">
        <v>6.2106345029602785</v>
      </c>
      <c r="E142">
        <v>45.601788194733246</v>
      </c>
    </row>
    <row r="143" spans="1:6" x14ac:dyDescent="0.25">
      <c r="A143">
        <v>4</v>
      </c>
      <c r="B143" t="s">
        <v>243</v>
      </c>
      <c r="C143" t="s">
        <v>137</v>
      </c>
      <c r="D143">
        <v>2.7929425926139606</v>
      </c>
      <c r="E143">
        <v>19.254088348887372</v>
      </c>
    </row>
    <row r="144" spans="1:6" x14ac:dyDescent="0.25">
      <c r="A144">
        <v>4</v>
      </c>
      <c r="B144" t="s">
        <v>244</v>
      </c>
      <c r="C144" t="s">
        <v>137</v>
      </c>
      <c r="D144">
        <v>1.6665812098395751</v>
      </c>
      <c r="E144">
        <v>2.82341010411383</v>
      </c>
    </row>
    <row r="145" spans="1:6" x14ac:dyDescent="0.25">
      <c r="A145">
        <v>4</v>
      </c>
      <c r="B145" t="s">
        <v>245</v>
      </c>
      <c r="C145" t="s">
        <v>137</v>
      </c>
      <c r="D145">
        <v>0.48757281584375256</v>
      </c>
    </row>
    <row r="146" spans="1:6" x14ac:dyDescent="0.25">
      <c r="A146">
        <v>4</v>
      </c>
      <c r="B146" t="s">
        <v>257</v>
      </c>
      <c r="C146" t="s">
        <v>137</v>
      </c>
      <c r="D146">
        <v>0</v>
      </c>
    </row>
    <row r="147" spans="1:6" x14ac:dyDescent="0.25">
      <c r="A147">
        <v>4</v>
      </c>
      <c r="B147" t="s">
        <v>258</v>
      </c>
      <c r="C147" t="s">
        <v>137</v>
      </c>
    </row>
    <row r="148" spans="1:6" x14ac:dyDescent="0.25">
      <c r="A148">
        <v>4</v>
      </c>
      <c r="B148" t="s">
        <v>250</v>
      </c>
      <c r="C148" t="s">
        <v>137</v>
      </c>
      <c r="D148">
        <v>13.553136025486076</v>
      </c>
      <c r="E148">
        <v>23.819490740891588</v>
      </c>
      <c r="F148">
        <v>26.557363239844644</v>
      </c>
    </row>
    <row r="149" spans="1:6" x14ac:dyDescent="0.25">
      <c r="A149">
        <v>4</v>
      </c>
      <c r="B149" t="s">
        <v>251</v>
      </c>
      <c r="C149" t="s">
        <v>137</v>
      </c>
      <c r="D149">
        <v>8.833154394794704</v>
      </c>
      <c r="E149">
        <v>18.050707827081911</v>
      </c>
      <c r="F149">
        <v>25.483352226468579</v>
      </c>
    </row>
    <row r="150" spans="1:6" x14ac:dyDescent="0.25">
      <c r="A150">
        <v>4</v>
      </c>
      <c r="B150" t="s">
        <v>252</v>
      </c>
      <c r="C150" t="s">
        <v>137</v>
      </c>
      <c r="D150">
        <v>1.4620368799302457</v>
      </c>
      <c r="E150">
        <v>12.289843626949384</v>
      </c>
      <c r="F150">
        <v>14.440566261665527</v>
      </c>
    </row>
    <row r="151" spans="1:6" x14ac:dyDescent="0.25">
      <c r="A151">
        <v>4</v>
      </c>
      <c r="B151" t="s">
        <v>253</v>
      </c>
      <c r="C151" t="s">
        <v>137</v>
      </c>
      <c r="D151">
        <v>0.80333258247797279</v>
      </c>
      <c r="E151">
        <v>2.1907306591654403</v>
      </c>
      <c r="F151">
        <v>10.53415168024233</v>
      </c>
    </row>
    <row r="152" spans="1:6" x14ac:dyDescent="0.25">
      <c r="A152">
        <v>4</v>
      </c>
      <c r="B152" t="s">
        <v>254</v>
      </c>
      <c r="C152" t="s">
        <v>137</v>
      </c>
      <c r="D152">
        <v>0.25290493132470954</v>
      </c>
      <c r="E152">
        <v>1.5919779066604163</v>
      </c>
      <c r="F152">
        <v>4.2760467647128024</v>
      </c>
    </row>
    <row r="153" spans="1:6" x14ac:dyDescent="0.25">
      <c r="A153">
        <v>4</v>
      </c>
      <c r="B153" t="s">
        <v>255</v>
      </c>
      <c r="C153" t="s">
        <v>137</v>
      </c>
      <c r="D153">
        <v>9.8187631589015847E-2</v>
      </c>
      <c r="F153">
        <v>1.7246757416271343</v>
      </c>
    </row>
  </sheetData>
  <pageMargins left="0.7" right="0.7" top="0.78740157499999996" bottom="0.78740157499999996"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669CC3-D839-4CB1-B97D-2F9AB5CDB1A4}">
  <dimension ref="A1:AB82"/>
  <sheetViews>
    <sheetView zoomScale="85" zoomScaleNormal="85" workbookViewId="0">
      <pane xSplit="1" ySplit="2" topLeftCell="B3" activePane="bottomRight" state="frozen"/>
      <selection pane="topRight" activeCell="B1" sqref="B1"/>
      <selection pane="bottomLeft" activeCell="A3" sqref="A3"/>
      <selection pane="bottomRight" activeCell="H3" sqref="H3:J40"/>
    </sheetView>
  </sheetViews>
  <sheetFormatPr baseColWidth="10" defaultRowHeight="15" x14ac:dyDescent="0.25"/>
  <cols>
    <col min="6" max="11" width="11.42578125" style="4"/>
  </cols>
  <sheetData>
    <row r="1" spans="1:22" x14ac:dyDescent="0.25">
      <c r="B1" t="s">
        <v>38</v>
      </c>
      <c r="H1" s="4" t="s">
        <v>75</v>
      </c>
      <c r="N1" t="s">
        <v>38</v>
      </c>
      <c r="S1" t="s">
        <v>75</v>
      </c>
    </row>
    <row r="2" spans="1:22" x14ac:dyDescent="0.25">
      <c r="A2" t="s">
        <v>109</v>
      </c>
      <c r="B2" t="s">
        <v>36</v>
      </c>
      <c r="C2" t="s">
        <v>39</v>
      </c>
      <c r="D2" t="s">
        <v>40</v>
      </c>
      <c r="E2" t="s">
        <v>41</v>
      </c>
      <c r="F2" s="4" t="s">
        <v>89</v>
      </c>
      <c r="G2" s="4" t="s">
        <v>90</v>
      </c>
      <c r="H2" t="s">
        <v>39</v>
      </c>
      <c r="I2" t="s">
        <v>40</v>
      </c>
      <c r="J2" t="s">
        <v>41</v>
      </c>
      <c r="K2" s="4" t="s">
        <v>89</v>
      </c>
      <c r="L2" s="4" t="s">
        <v>90</v>
      </c>
      <c r="N2" t="s">
        <v>220</v>
      </c>
      <c r="O2" t="s">
        <v>263</v>
      </c>
      <c r="P2" t="s">
        <v>219</v>
      </c>
      <c r="Q2" t="s">
        <v>221</v>
      </c>
      <c r="S2" t="s">
        <v>220</v>
      </c>
      <c r="T2" t="s">
        <v>263</v>
      </c>
      <c r="U2" t="s">
        <v>219</v>
      </c>
      <c r="V2" t="s">
        <v>221</v>
      </c>
    </row>
    <row r="3" spans="1:22" x14ac:dyDescent="0.25">
      <c r="A3" t="s">
        <v>78</v>
      </c>
      <c r="C3">
        <v>27.39712176126266</v>
      </c>
      <c r="D3">
        <v>23.259972502011586</v>
      </c>
      <c r="E3">
        <v>32.090147248145612</v>
      </c>
      <c r="F3" s="4">
        <f>AVERAGE(B3:E3)</f>
        <v>27.582413837139953</v>
      </c>
      <c r="G3" s="4">
        <f>_xlfn.STDEV.P(B3:E3)</f>
        <v>3.6072839622864099</v>
      </c>
      <c r="H3" t="e">
        <v>#DIV/0!</v>
      </c>
      <c r="I3" t="e">
        <v>#DIV/0!</v>
      </c>
      <c r="J3" t="e">
        <v>#DIV/0!</v>
      </c>
      <c r="K3" s="4" t="e">
        <f>AVERAGE(H3:J3)</f>
        <v>#DIV/0!</v>
      </c>
      <c r="L3" s="4" t="e">
        <f>_xlfn.STDEV.P(H3:J3)</f>
        <v>#DIV/0!</v>
      </c>
      <c r="M3">
        <v>4</v>
      </c>
      <c r="N3">
        <f>F3</f>
        <v>27.582413837139953</v>
      </c>
      <c r="R3">
        <v>4</v>
      </c>
    </row>
    <row r="4" spans="1:22" x14ac:dyDescent="0.25">
      <c r="A4" t="s">
        <v>79</v>
      </c>
      <c r="G4" s="4" t="e">
        <f t="shared" ref="G4:G40" si="0">_xlfn.STDEV.P(B4:E4)</f>
        <v>#DIV/0!</v>
      </c>
      <c r="H4" t="e">
        <v>#DIV/0!</v>
      </c>
      <c r="I4" t="e">
        <v>#DIV/0!</v>
      </c>
      <c r="J4" t="e">
        <v>#DIV/0!</v>
      </c>
      <c r="K4" s="4" t="e">
        <f t="shared" ref="K4:K5" si="1">AVERAGE(H4:J4)</f>
        <v>#DIV/0!</v>
      </c>
      <c r="L4" s="4" t="e">
        <f t="shared" ref="L4:L40" si="2">_xlfn.STDEV.P(H4:J4)</f>
        <v>#DIV/0!</v>
      </c>
      <c r="M4">
        <v>5</v>
      </c>
      <c r="R4">
        <v>5</v>
      </c>
    </row>
    <row r="5" spans="1:22" x14ac:dyDescent="0.25">
      <c r="A5" t="s">
        <v>80</v>
      </c>
      <c r="G5" s="4" t="e">
        <f t="shared" si="0"/>
        <v>#DIV/0!</v>
      </c>
      <c r="H5" t="e">
        <v>#DIV/0!</v>
      </c>
      <c r="I5" t="e">
        <v>#DIV/0!</v>
      </c>
      <c r="J5" t="e">
        <v>#DIV/0!</v>
      </c>
      <c r="K5" s="4" t="e">
        <f t="shared" si="1"/>
        <v>#DIV/0!</v>
      </c>
      <c r="L5" s="4" t="e">
        <f t="shared" si="2"/>
        <v>#DIV/0!</v>
      </c>
      <c r="M5">
        <v>6</v>
      </c>
      <c r="P5">
        <f t="shared" ref="P5:P12" si="3">F16</f>
        <v>4.0493119382059648</v>
      </c>
      <c r="R5">
        <v>6</v>
      </c>
      <c r="U5">
        <f t="shared" ref="U5:U11" si="4">K16</f>
        <v>6.1403724029435667</v>
      </c>
    </row>
    <row r="6" spans="1:22" x14ac:dyDescent="0.25">
      <c r="A6" t="s">
        <v>1</v>
      </c>
      <c r="G6" s="4" t="e">
        <f t="shared" si="0"/>
        <v>#DIV/0!</v>
      </c>
      <c r="H6" t="e">
        <v>#DIV/0!</v>
      </c>
      <c r="I6" t="e">
        <v>#DIV/0!</v>
      </c>
      <c r="J6" t="e">
        <v>#DIV/0!</v>
      </c>
      <c r="K6" s="4" t="e">
        <f>AVERAGE(H6:J6)/7</f>
        <v>#DIV/0!</v>
      </c>
      <c r="L6" s="4" t="e">
        <f t="shared" si="2"/>
        <v>#DIV/0!</v>
      </c>
      <c r="M6">
        <v>7</v>
      </c>
      <c r="P6">
        <f t="shared" si="3"/>
        <v>30.451071860123648</v>
      </c>
      <c r="R6">
        <v>7</v>
      </c>
      <c r="U6">
        <f t="shared" si="4"/>
        <v>12.32219028896102</v>
      </c>
    </row>
    <row r="7" spans="1:22" x14ac:dyDescent="0.25">
      <c r="A7" t="s">
        <v>2</v>
      </c>
      <c r="C7">
        <v>19.975423070891793</v>
      </c>
      <c r="D7">
        <v>8.3011638390412603</v>
      </c>
      <c r="E7">
        <v>10.582399703205271</v>
      </c>
      <c r="F7" s="4">
        <f t="shared" ref="F7:F40" si="5">AVERAGE(B7:E7)</f>
        <v>12.952995537712773</v>
      </c>
      <c r="G7" s="4">
        <f t="shared" si="0"/>
        <v>5.0521860358363773</v>
      </c>
      <c r="H7" t="e">
        <v>#DIV/0!</v>
      </c>
      <c r="I7" t="e">
        <v>#DIV/0!</v>
      </c>
      <c r="J7" t="e">
        <v>#DIV/0!</v>
      </c>
      <c r="K7" s="4" t="e">
        <f t="shared" ref="K7:K8" si="6">AVERAGE(H7:J7)/7</f>
        <v>#DIV/0!</v>
      </c>
      <c r="L7" s="4" t="e">
        <f t="shared" si="2"/>
        <v>#DIV/0!</v>
      </c>
      <c r="M7">
        <v>8</v>
      </c>
      <c r="N7">
        <f t="shared" ref="N7:N13" si="7">F7</f>
        <v>12.952995537712773</v>
      </c>
      <c r="O7">
        <f t="shared" ref="O7:O13" si="8">F26</f>
        <v>48.471830808387779</v>
      </c>
      <c r="P7">
        <f t="shared" si="3"/>
        <v>30.072969909916015</v>
      </c>
      <c r="Q7">
        <f t="shared" ref="Q7:Q12" si="9">F35</f>
        <v>31.007446218662501</v>
      </c>
      <c r="R7">
        <v>8</v>
      </c>
      <c r="U7">
        <f t="shared" si="4"/>
        <v>25.717357425478212</v>
      </c>
      <c r="V7">
        <f t="shared" ref="V7:V12" si="10">K35</f>
        <v>26.008932541980993</v>
      </c>
    </row>
    <row r="8" spans="1:22" x14ac:dyDescent="0.25">
      <c r="A8" t="s">
        <v>3</v>
      </c>
      <c r="C8">
        <v>39.836044859766972</v>
      </c>
      <c r="D8">
        <v>44.432511574355466</v>
      </c>
      <c r="E8">
        <v>30.40119212982216</v>
      </c>
      <c r="F8" s="4">
        <f t="shared" si="5"/>
        <v>38.22324952131487</v>
      </c>
      <c r="G8" s="4">
        <f t="shared" si="0"/>
        <v>5.8406799228305557</v>
      </c>
      <c r="H8" t="e">
        <v>#DIV/0!</v>
      </c>
      <c r="I8" t="e">
        <v>#DIV/0!</v>
      </c>
      <c r="J8" t="e">
        <v>#DIV/0!</v>
      </c>
      <c r="K8" s="4" t="e">
        <f t="shared" si="6"/>
        <v>#DIV/0!</v>
      </c>
      <c r="L8" s="4" t="e">
        <f t="shared" si="2"/>
        <v>#DIV/0!</v>
      </c>
      <c r="M8">
        <v>9</v>
      </c>
      <c r="N8">
        <f t="shared" si="7"/>
        <v>38.22324952131487</v>
      </c>
      <c r="P8">
        <f t="shared" si="3"/>
        <v>16.896108294436949</v>
      </c>
      <c r="Q8">
        <f t="shared" si="9"/>
        <v>20.989366242773073</v>
      </c>
      <c r="R8">
        <v>9</v>
      </c>
      <c r="U8">
        <f t="shared" si="4"/>
        <v>15.828156623932495</v>
      </c>
      <c r="V8">
        <f t="shared" si="10"/>
        <v>23.47524836039517</v>
      </c>
    </row>
    <row r="9" spans="1:22" x14ac:dyDescent="0.25">
      <c r="A9" t="s">
        <v>4</v>
      </c>
      <c r="B9">
        <v>38.723306176533256</v>
      </c>
      <c r="C9">
        <v>29.748806032615676</v>
      </c>
      <c r="D9">
        <v>77.881705680892736</v>
      </c>
      <c r="E9">
        <v>23.576434712923309</v>
      </c>
      <c r="F9" s="4">
        <f t="shared" si="5"/>
        <v>42.48256315074125</v>
      </c>
      <c r="G9" s="4">
        <f t="shared" si="0"/>
        <v>21.13540612171192</v>
      </c>
      <c r="H9">
        <v>22.504778589608613</v>
      </c>
      <c r="I9">
        <v>22.651868645749847</v>
      </c>
      <c r="J9">
        <v>20.50731303431791</v>
      </c>
      <c r="K9" s="4">
        <f>AVERAGE(H9:J9)</f>
        <v>21.887986756558792</v>
      </c>
      <c r="L9" s="4">
        <f t="shared" si="2"/>
        <v>0.97812876337721921</v>
      </c>
      <c r="M9">
        <v>10</v>
      </c>
      <c r="N9">
        <f t="shared" si="7"/>
        <v>42.48256315074125</v>
      </c>
      <c r="O9">
        <f t="shared" si="8"/>
        <v>22.951893396024676</v>
      </c>
      <c r="P9">
        <f t="shared" si="3"/>
        <v>12.523815760877085</v>
      </c>
      <c r="Q9">
        <f t="shared" si="9"/>
        <v>13.326813486917404</v>
      </c>
      <c r="R9">
        <v>10</v>
      </c>
      <c r="S9">
        <f t="shared" ref="S9:S12" si="11">K9</f>
        <v>21.887986756558792</v>
      </c>
      <c r="U9">
        <f t="shared" si="4"/>
        <v>11.292316246518373</v>
      </c>
      <c r="V9">
        <f t="shared" si="10"/>
        <v>13.901427958579418</v>
      </c>
    </row>
    <row r="10" spans="1:22" x14ac:dyDescent="0.25">
      <c r="A10" t="s">
        <v>5</v>
      </c>
      <c r="B10">
        <v>27.949483087094571</v>
      </c>
      <c r="C10">
        <v>20.877927125299557</v>
      </c>
      <c r="D10">
        <v>41.258760747615796</v>
      </c>
      <c r="E10">
        <v>22.216255787177733</v>
      </c>
      <c r="F10" s="4">
        <f t="shared" si="5"/>
        <v>28.075606686796913</v>
      </c>
      <c r="G10" s="4">
        <f t="shared" si="0"/>
        <v>8.0614831481023508</v>
      </c>
      <c r="H10">
        <v>19.635897466287403</v>
      </c>
      <c r="I10">
        <v>15.403270679109896</v>
      </c>
      <c r="J10">
        <v>16.008018026788577</v>
      </c>
      <c r="K10" s="4">
        <f t="shared" ref="K10:K40" si="12">AVERAGE(H10:J10)</f>
        <v>17.015728724061958</v>
      </c>
      <c r="L10" s="4">
        <f t="shared" si="2"/>
        <v>1.8691161934512674</v>
      </c>
      <c r="M10">
        <v>11</v>
      </c>
      <c r="N10">
        <f t="shared" si="7"/>
        <v>28.075606686796913</v>
      </c>
      <c r="O10">
        <f t="shared" si="8"/>
        <v>89.580591665945377</v>
      </c>
      <c r="P10">
        <f t="shared" si="3"/>
        <v>11.022802265456585</v>
      </c>
      <c r="Q10">
        <f t="shared" si="9"/>
        <v>4.4919642127986013</v>
      </c>
      <c r="R10">
        <v>11</v>
      </c>
      <c r="S10">
        <f t="shared" si="11"/>
        <v>17.015728724061958</v>
      </c>
      <c r="U10">
        <f t="shared" si="4"/>
        <v>7.2084828079179539</v>
      </c>
      <c r="V10">
        <f t="shared" si="10"/>
        <v>11.537292936140735</v>
      </c>
    </row>
    <row r="11" spans="1:22" x14ac:dyDescent="0.25">
      <c r="A11" t="s">
        <v>6</v>
      </c>
      <c r="B11">
        <v>22.800894097366623</v>
      </c>
      <c r="C11">
        <v>24.320953703857729</v>
      </c>
      <c r="D11">
        <v>21.526309955277803</v>
      </c>
      <c r="E11">
        <v>15.10124576383323</v>
      </c>
      <c r="F11" s="4">
        <f t="shared" si="5"/>
        <v>20.937350880083844</v>
      </c>
      <c r="G11" s="4">
        <f t="shared" si="0"/>
        <v>3.5117145780911478</v>
      </c>
      <c r="H11">
        <v>14.088357328454173</v>
      </c>
      <c r="I11">
        <v>13.355437005008579</v>
      </c>
      <c r="J11">
        <v>11.179793234837827</v>
      </c>
      <c r="K11" s="4">
        <f t="shared" si="12"/>
        <v>12.874529189433526</v>
      </c>
      <c r="L11" s="4">
        <f t="shared" si="2"/>
        <v>1.235149253323782</v>
      </c>
      <c r="M11">
        <v>12</v>
      </c>
      <c r="N11">
        <f t="shared" si="7"/>
        <v>20.937350880083844</v>
      </c>
      <c r="O11">
        <f t="shared" si="8"/>
        <v>22.967319450999767</v>
      </c>
      <c r="P11">
        <f t="shared" si="3"/>
        <v>9.4812200721395197</v>
      </c>
      <c r="Q11">
        <f t="shared" si="9"/>
        <v>2.1939073640737488</v>
      </c>
      <c r="R11">
        <v>12</v>
      </c>
      <c r="S11">
        <f t="shared" si="11"/>
        <v>12.874529189433526</v>
      </c>
      <c r="U11">
        <f t="shared" si="4"/>
        <v>6.4206257209578412</v>
      </c>
      <c r="V11">
        <f t="shared" si="10"/>
        <v>4.2569388161884136</v>
      </c>
    </row>
    <row r="12" spans="1:22" x14ac:dyDescent="0.25">
      <c r="A12" t="s">
        <v>7</v>
      </c>
      <c r="C12">
        <v>11.571739241401424</v>
      </c>
      <c r="D12">
        <v>21.327605555690624</v>
      </c>
      <c r="E12">
        <v>11.143845346622914</v>
      </c>
      <c r="F12" s="4">
        <f t="shared" si="5"/>
        <v>14.681063381238323</v>
      </c>
      <c r="G12" s="4">
        <f t="shared" si="0"/>
        <v>4.7030603833303379</v>
      </c>
      <c r="H12">
        <v>5.9754067289650452</v>
      </c>
      <c r="I12">
        <v>5.2630765418370933</v>
      </c>
      <c r="J12">
        <v>4.563180912178705</v>
      </c>
      <c r="K12" s="4">
        <f t="shared" si="12"/>
        <v>5.2672213943269481</v>
      </c>
      <c r="L12" s="4">
        <f t="shared" si="2"/>
        <v>0.57654622494706953</v>
      </c>
      <c r="M12">
        <v>13</v>
      </c>
      <c r="N12">
        <f t="shared" si="7"/>
        <v>14.681063381238323</v>
      </c>
      <c r="O12">
        <f t="shared" si="8"/>
        <v>8.2387222308393824</v>
      </c>
      <c r="P12">
        <f t="shared" si="3"/>
        <v>10.119118411658832</v>
      </c>
      <c r="Q12">
        <f t="shared" si="9"/>
        <v>3.2114749775751599</v>
      </c>
      <c r="R12">
        <v>13</v>
      </c>
      <c r="S12">
        <f t="shared" si="11"/>
        <v>5.2672213943269481</v>
      </c>
      <c r="V12">
        <f t="shared" si="10"/>
        <v>1.8429144906838857</v>
      </c>
    </row>
    <row r="13" spans="1:22" x14ac:dyDescent="0.25">
      <c r="A13" t="s">
        <v>8</v>
      </c>
      <c r="C13">
        <v>9.8318749015595088</v>
      </c>
      <c r="F13" s="36">
        <f t="shared" si="5"/>
        <v>9.8318749015595088</v>
      </c>
      <c r="G13" s="36">
        <f t="shared" si="0"/>
        <v>0</v>
      </c>
      <c r="H13" t="e">
        <v>#DIV/0!</v>
      </c>
      <c r="I13" t="e">
        <v>#DIV/0!</v>
      </c>
      <c r="J13" t="e">
        <v>#DIV/0!</v>
      </c>
      <c r="K13" s="4" t="e">
        <f t="shared" si="12"/>
        <v>#DIV/0!</v>
      </c>
      <c r="L13" s="4" t="e">
        <f t="shared" si="2"/>
        <v>#DIV/0!</v>
      </c>
      <c r="M13">
        <v>14</v>
      </c>
      <c r="N13">
        <f t="shared" si="7"/>
        <v>9.8318749015595088</v>
      </c>
      <c r="O13">
        <f t="shared" si="8"/>
        <v>4.1283334160806753</v>
      </c>
      <c r="R13">
        <v>14</v>
      </c>
    </row>
    <row r="14" spans="1:22" x14ac:dyDescent="0.25">
      <c r="A14" t="s">
        <v>81</v>
      </c>
      <c r="G14" s="4" t="e">
        <f t="shared" si="0"/>
        <v>#DIV/0!</v>
      </c>
      <c r="H14" t="e">
        <v>#DIV/0!</v>
      </c>
      <c r="I14" t="e">
        <v>#DIV/0!</v>
      </c>
      <c r="J14" t="e">
        <v>#DIV/0!</v>
      </c>
      <c r="K14" s="4" t="e">
        <f t="shared" si="12"/>
        <v>#DIV/0!</v>
      </c>
      <c r="L14" s="4" t="e">
        <f t="shared" si="2"/>
        <v>#DIV/0!</v>
      </c>
    </row>
    <row r="15" spans="1:22" x14ac:dyDescent="0.25">
      <c r="A15" t="s">
        <v>82</v>
      </c>
      <c r="G15" s="4" t="e">
        <f t="shared" si="0"/>
        <v>#DIV/0!</v>
      </c>
      <c r="H15" t="e">
        <v>#DIV/0!</v>
      </c>
      <c r="I15" t="e">
        <v>#DIV/0!</v>
      </c>
      <c r="J15" t="e">
        <v>#DIV/0!</v>
      </c>
      <c r="K15" s="4" t="e">
        <f t="shared" si="12"/>
        <v>#DIV/0!</v>
      </c>
      <c r="L15" s="4" t="e">
        <f t="shared" si="2"/>
        <v>#DIV/0!</v>
      </c>
    </row>
    <row r="16" spans="1:22" x14ac:dyDescent="0.25">
      <c r="A16" t="s">
        <v>9</v>
      </c>
      <c r="B16">
        <v>3.6948143953088772</v>
      </c>
      <c r="C16">
        <v>5.4321879354227693</v>
      </c>
      <c r="D16">
        <v>3.6045095192924874</v>
      </c>
      <c r="E16">
        <v>3.4657359027997261</v>
      </c>
      <c r="F16" s="36">
        <f t="shared" si="5"/>
        <v>4.0493119382059648</v>
      </c>
      <c r="G16" s="36">
        <f t="shared" si="0"/>
        <v>0.80256225810995518</v>
      </c>
      <c r="H16">
        <v>6.7230570374388483</v>
      </c>
      <c r="I16">
        <v>7.6421960370446005</v>
      </c>
      <c r="J16">
        <v>4.0558641343472512</v>
      </c>
      <c r="K16" s="4">
        <f t="shared" si="12"/>
        <v>6.1403724029435667</v>
      </c>
      <c r="L16" s="4">
        <f t="shared" si="2"/>
        <v>1.52098327111858</v>
      </c>
    </row>
    <row r="17" spans="1:14" x14ac:dyDescent="0.25">
      <c r="A17" t="s">
        <v>10</v>
      </c>
      <c r="B17">
        <v>21.865841658042438</v>
      </c>
      <c r="C17">
        <v>33.647921386405109</v>
      </c>
      <c r="D17">
        <v>48.471830808387779</v>
      </c>
      <c r="E17">
        <v>17.818693587659265</v>
      </c>
      <c r="F17" s="4">
        <f t="shared" si="5"/>
        <v>30.451071860123648</v>
      </c>
      <c r="G17" s="4">
        <f t="shared" si="0"/>
        <v>11.919005394814674</v>
      </c>
      <c r="H17">
        <v>14.747812352339261</v>
      </c>
      <c r="I17">
        <v>11.748257297626193</v>
      </c>
      <c r="J17">
        <v>10.470501216917603</v>
      </c>
      <c r="K17" s="4">
        <f t="shared" si="12"/>
        <v>12.32219028896102</v>
      </c>
      <c r="L17" s="4">
        <f t="shared" si="2"/>
        <v>1.7927440691497469</v>
      </c>
    </row>
    <row r="18" spans="1:14" x14ac:dyDescent="0.25">
      <c r="A18" t="s">
        <v>11</v>
      </c>
      <c r="B18">
        <v>37.066694147590653</v>
      </c>
      <c r="C18">
        <v>28.64244547768369</v>
      </c>
      <c r="D18">
        <v>28.524575331684993</v>
      </c>
      <c r="E18">
        <v>26.05816468270471</v>
      </c>
      <c r="F18" s="4">
        <f t="shared" si="5"/>
        <v>30.072969909916015</v>
      </c>
      <c r="G18" s="4">
        <f t="shared" si="0"/>
        <v>4.1675762034481334</v>
      </c>
      <c r="H18">
        <v>24.492833235333755</v>
      </c>
      <c r="I18" s="58">
        <v>24.93335181870307</v>
      </c>
      <c r="J18">
        <v>27.725887222397809</v>
      </c>
      <c r="K18" s="4">
        <f t="shared" si="12"/>
        <v>25.717357425478212</v>
      </c>
      <c r="L18" s="4">
        <f t="shared" si="2"/>
        <v>1.4315860934429423</v>
      </c>
    </row>
    <row r="19" spans="1:14" x14ac:dyDescent="0.25">
      <c r="A19" t="s">
        <v>12</v>
      </c>
      <c r="B19">
        <v>21.327605555690624</v>
      </c>
      <c r="C19">
        <v>16.464303576245733</v>
      </c>
      <c r="D19">
        <v>15.646663218057457</v>
      </c>
      <c r="E19">
        <v>14.145860827753985</v>
      </c>
      <c r="F19" s="4">
        <f t="shared" si="5"/>
        <v>16.896108294436949</v>
      </c>
      <c r="G19" s="4">
        <f t="shared" si="0"/>
        <v>2.690241504866993</v>
      </c>
      <c r="H19">
        <v>16.119701873487102</v>
      </c>
      <c r="I19">
        <v>15.753345012726029</v>
      </c>
      <c r="J19">
        <v>15.611422985584353</v>
      </c>
      <c r="K19" s="4">
        <f t="shared" si="12"/>
        <v>15.828156623932495</v>
      </c>
      <c r="L19" s="4">
        <f t="shared" si="2"/>
        <v>0.2141408257049465</v>
      </c>
      <c r="N19" s="30"/>
    </row>
    <row r="20" spans="1:14" x14ac:dyDescent="0.25">
      <c r="A20" t="s">
        <v>13</v>
      </c>
      <c r="B20">
        <v>15.576341136178547</v>
      </c>
      <c r="C20">
        <v>13.004637533957698</v>
      </c>
      <c r="D20">
        <v>10.915703630865281</v>
      </c>
      <c r="E20">
        <v>10.598580742506808</v>
      </c>
      <c r="F20" s="4">
        <f t="shared" si="5"/>
        <v>12.523815760877085</v>
      </c>
      <c r="G20" s="4">
        <f t="shared" si="0"/>
        <v>1.9900788453587743</v>
      </c>
      <c r="H20">
        <v>11.848669753161458</v>
      </c>
      <c r="I20">
        <v>11.197854290144512</v>
      </c>
      <c r="J20">
        <v>10.830424696249144</v>
      </c>
      <c r="K20" s="4">
        <f t="shared" si="12"/>
        <v>11.292316246518373</v>
      </c>
      <c r="L20" s="4">
        <f t="shared" si="2"/>
        <v>0.42102893398836838</v>
      </c>
    </row>
    <row r="21" spans="1:14" x14ac:dyDescent="0.25">
      <c r="A21" t="s">
        <v>14</v>
      </c>
      <c r="B21">
        <v>12.859873479776349</v>
      </c>
      <c r="C21">
        <v>11.270685862763338</v>
      </c>
      <c r="D21">
        <v>11.649532446385635</v>
      </c>
      <c r="E21">
        <v>8.3111172729010221</v>
      </c>
      <c r="F21" s="4">
        <f t="shared" si="5"/>
        <v>11.022802265456585</v>
      </c>
      <c r="G21" s="4">
        <f t="shared" si="0"/>
        <v>1.6719975435713521</v>
      </c>
      <c r="H21">
        <v>8.3011638390412603</v>
      </c>
      <c r="I21">
        <v>8.0411505865422885</v>
      </c>
      <c r="J21">
        <v>5.2831339981703138</v>
      </c>
      <c r="K21" s="4">
        <f t="shared" si="12"/>
        <v>7.2084828079179539</v>
      </c>
      <c r="L21" s="4">
        <f t="shared" si="2"/>
        <v>1.3655591656329598</v>
      </c>
    </row>
    <row r="22" spans="1:14" x14ac:dyDescent="0.25">
      <c r="A22" t="s">
        <v>15</v>
      </c>
      <c r="B22">
        <v>10.360944402988718</v>
      </c>
      <c r="C22">
        <v>8.7629226366617612</v>
      </c>
      <c r="D22">
        <v>10.060191299854068</v>
      </c>
      <c r="E22">
        <v>8.7408219490535348</v>
      </c>
      <c r="F22" s="4">
        <f t="shared" si="5"/>
        <v>9.4812200721395197</v>
      </c>
      <c r="G22" s="4">
        <f t="shared" si="0"/>
        <v>0.73709958066948711</v>
      </c>
      <c r="H22">
        <v>8.3511708501198214</v>
      </c>
      <c r="I22">
        <v>4.0205752932711443</v>
      </c>
      <c r="J22">
        <v>6.890131019482558</v>
      </c>
      <c r="K22" s="4">
        <f t="shared" si="12"/>
        <v>6.4206257209578412</v>
      </c>
      <c r="L22" s="4">
        <f t="shared" ref="L22" si="13">_xlfn.STDEV.P(H22:J22)</f>
        <v>1.7988590621569822</v>
      </c>
      <c r="N22" s="30"/>
    </row>
    <row r="23" spans="1:14" x14ac:dyDescent="0.25">
      <c r="A23" t="s">
        <v>16</v>
      </c>
      <c r="B23">
        <v>14.747812352339261</v>
      </c>
      <c r="C23">
        <v>7.1384879563331127</v>
      </c>
      <c r="D23">
        <v>8.9093467938296325</v>
      </c>
      <c r="E23">
        <v>9.6808265441333141</v>
      </c>
      <c r="F23" s="4">
        <f t="shared" si="5"/>
        <v>10.119118411658832</v>
      </c>
      <c r="G23" s="4">
        <f t="shared" si="0"/>
        <v>2.8268627768318932</v>
      </c>
      <c r="H23" t="e">
        <v>#DIV/0!</v>
      </c>
      <c r="I23" t="e">
        <v>#DIV/0!</v>
      </c>
      <c r="J23" t="e">
        <v>#DIV/0!</v>
      </c>
      <c r="K23" s="4" t="e">
        <f t="shared" si="12"/>
        <v>#DIV/0!</v>
      </c>
      <c r="L23" s="4" t="e">
        <f t="shared" si="2"/>
        <v>#DIV/0!</v>
      </c>
    </row>
    <row r="24" spans="1:14" x14ac:dyDescent="0.25">
      <c r="A24" t="s">
        <v>76</v>
      </c>
      <c r="G24" s="4" t="e">
        <f t="shared" si="0"/>
        <v>#DIV/0!</v>
      </c>
      <c r="H24" t="e">
        <v>#DIV/0!</v>
      </c>
      <c r="I24" t="e">
        <v>#DIV/0!</v>
      </c>
      <c r="J24" t="e">
        <v>#DIV/0!</v>
      </c>
      <c r="K24" s="4" t="e">
        <f t="shared" si="12"/>
        <v>#DIV/0!</v>
      </c>
      <c r="L24" s="4" t="e">
        <f t="shared" si="2"/>
        <v>#DIV/0!</v>
      </c>
    </row>
    <row r="25" spans="1:14" x14ac:dyDescent="0.25">
      <c r="A25" t="s">
        <v>18</v>
      </c>
      <c r="G25" s="4" t="e">
        <f t="shared" si="0"/>
        <v>#DIV/0!</v>
      </c>
      <c r="H25" t="e">
        <v>#DIV/0!</v>
      </c>
      <c r="I25" t="e">
        <v>#DIV/0!</v>
      </c>
      <c r="J25" t="e">
        <v>#DIV/0!</v>
      </c>
      <c r="K25" s="4" t="e">
        <f t="shared" si="12"/>
        <v>#DIV/0!</v>
      </c>
      <c r="L25" s="4" t="e">
        <f t="shared" si="2"/>
        <v>#DIV/0!</v>
      </c>
    </row>
    <row r="26" spans="1:14" x14ac:dyDescent="0.25">
      <c r="A26" t="s">
        <v>19</v>
      </c>
      <c r="B26">
        <v>48.471830808387779</v>
      </c>
      <c r="F26" s="36">
        <f t="shared" si="5"/>
        <v>48.471830808387779</v>
      </c>
      <c r="G26" s="4">
        <f t="shared" si="0"/>
        <v>0</v>
      </c>
      <c r="H26" t="e">
        <v>#DIV/0!</v>
      </c>
      <c r="I26" t="e">
        <v>#DIV/0!</v>
      </c>
      <c r="J26" t="e">
        <v>#DIV/0!</v>
      </c>
      <c r="K26" s="4" t="e">
        <f t="shared" si="12"/>
        <v>#DIV/0!</v>
      </c>
      <c r="L26" s="4" t="e">
        <f t="shared" si="2"/>
        <v>#DIV/0!</v>
      </c>
    </row>
    <row r="27" spans="1:14" x14ac:dyDescent="0.25">
      <c r="A27" t="s">
        <v>20</v>
      </c>
      <c r="G27" s="4" t="e">
        <f t="shared" si="0"/>
        <v>#DIV/0!</v>
      </c>
      <c r="H27" t="e">
        <v>#DIV/0!</v>
      </c>
      <c r="I27" t="e">
        <v>#DIV/0!</v>
      </c>
      <c r="J27" t="e">
        <v>#DIV/0!</v>
      </c>
      <c r="K27" s="4" t="e">
        <f t="shared" si="12"/>
        <v>#DIV/0!</v>
      </c>
      <c r="L27" s="4" t="e">
        <f t="shared" si="2"/>
        <v>#DIV/0!</v>
      </c>
    </row>
    <row r="28" spans="1:14" x14ac:dyDescent="0.25">
      <c r="A28" t="s">
        <v>21</v>
      </c>
      <c r="B28">
        <v>22.951893396024676</v>
      </c>
      <c r="F28" s="36">
        <f t="shared" si="5"/>
        <v>22.951893396024676</v>
      </c>
      <c r="G28" s="4">
        <f t="shared" si="0"/>
        <v>0</v>
      </c>
      <c r="H28" t="e">
        <v>#DIV/0!</v>
      </c>
      <c r="I28" t="e">
        <v>#DIV/0!</v>
      </c>
      <c r="J28" t="e">
        <v>#DIV/0!</v>
      </c>
      <c r="K28" s="4" t="e">
        <f t="shared" si="12"/>
        <v>#DIV/0!</v>
      </c>
      <c r="L28" s="4" t="e">
        <f t="shared" si="2"/>
        <v>#DIV/0!</v>
      </c>
    </row>
    <row r="29" spans="1:14" x14ac:dyDescent="0.25">
      <c r="A29" t="s">
        <v>22</v>
      </c>
      <c r="B29">
        <v>70.729304138769933</v>
      </c>
      <c r="C29">
        <v>128.36058899258245</v>
      </c>
      <c r="D29">
        <v>113.63068533769594</v>
      </c>
      <c r="E29">
        <v>45.601788194733246</v>
      </c>
      <c r="F29" s="4">
        <f t="shared" si="5"/>
        <v>89.580591665945377</v>
      </c>
      <c r="G29" s="4">
        <f t="shared" si="0"/>
        <v>33.059799585242871</v>
      </c>
      <c r="H29" t="e">
        <v>#DIV/0!</v>
      </c>
      <c r="I29" t="e">
        <v>#DIV/0!</v>
      </c>
      <c r="J29" t="e">
        <v>#DIV/0!</v>
      </c>
      <c r="K29" s="4" t="e">
        <f t="shared" si="12"/>
        <v>#DIV/0!</v>
      </c>
      <c r="L29" s="4" t="e">
        <f t="shared" si="2"/>
        <v>#DIV/0!</v>
      </c>
    </row>
    <row r="30" spans="1:14" x14ac:dyDescent="0.25">
      <c r="A30" t="s">
        <v>23</v>
      </c>
      <c r="B30">
        <v>25.767553180667111</v>
      </c>
      <c r="C30">
        <v>23.819490740891588</v>
      </c>
      <c r="D30">
        <v>23.028145533553001</v>
      </c>
      <c r="E30">
        <v>19.254088348887372</v>
      </c>
      <c r="F30" s="4">
        <f t="shared" si="5"/>
        <v>22.967319450999767</v>
      </c>
      <c r="G30" s="4">
        <f t="shared" si="0"/>
        <v>2.3642805395138815</v>
      </c>
      <c r="H30" t="e">
        <v>#DIV/0!</v>
      </c>
      <c r="I30" t="e">
        <v>#DIV/0!</v>
      </c>
      <c r="J30" t="e">
        <v>#DIV/0!</v>
      </c>
      <c r="K30" s="4" t="e">
        <f t="shared" si="12"/>
        <v>#DIV/0!</v>
      </c>
      <c r="L30" s="4" t="e">
        <f t="shared" si="2"/>
        <v>#DIV/0!</v>
      </c>
    </row>
    <row r="31" spans="1:14" x14ac:dyDescent="0.25">
      <c r="A31" t="s">
        <v>24</v>
      </c>
      <c r="B31">
        <v>10.50223000848402</v>
      </c>
      <c r="C31">
        <v>7.8410314542980233</v>
      </c>
      <c r="D31">
        <v>11.788217356461654</v>
      </c>
      <c r="E31">
        <v>2.82341010411383</v>
      </c>
      <c r="F31" s="57">
        <f t="shared" si="5"/>
        <v>8.2387222308393824</v>
      </c>
      <c r="G31" s="4">
        <f t="shared" si="0"/>
        <v>3.4353364642302813</v>
      </c>
      <c r="H31" t="e">
        <v>#DIV/0!</v>
      </c>
      <c r="I31" t="e">
        <v>#DIV/0!</v>
      </c>
      <c r="J31" t="e">
        <v>#DIV/0!</v>
      </c>
      <c r="K31" s="4" t="e">
        <f t="shared" si="12"/>
        <v>#DIV/0!</v>
      </c>
      <c r="L31" s="4" t="e">
        <f t="shared" si="2"/>
        <v>#DIV/0!</v>
      </c>
    </row>
    <row r="32" spans="1:14" x14ac:dyDescent="0.25">
      <c r="A32" t="s">
        <v>25</v>
      </c>
      <c r="B32">
        <v>4.1283334160806753</v>
      </c>
      <c r="F32" s="36">
        <f t="shared" si="5"/>
        <v>4.1283334160806753</v>
      </c>
      <c r="G32" s="4">
        <f t="shared" si="0"/>
        <v>0</v>
      </c>
      <c r="H32" t="e">
        <v>#DIV/0!</v>
      </c>
      <c r="I32" t="e">
        <v>#DIV/0!</v>
      </c>
      <c r="J32" t="e">
        <v>#DIV/0!</v>
      </c>
      <c r="K32" s="4" t="e">
        <f t="shared" si="12"/>
        <v>#DIV/0!</v>
      </c>
      <c r="L32" s="4" t="e">
        <f t="shared" si="2"/>
        <v>#DIV/0!</v>
      </c>
    </row>
    <row r="33" spans="1:28" x14ac:dyDescent="0.25">
      <c r="A33" t="s">
        <v>26</v>
      </c>
      <c r="F33" s="4" t="e">
        <f t="shared" si="5"/>
        <v>#DIV/0!</v>
      </c>
      <c r="G33" s="4" t="e">
        <f t="shared" si="0"/>
        <v>#DIV/0!</v>
      </c>
      <c r="H33" t="e">
        <v>#DIV/0!</v>
      </c>
      <c r="I33" t="e">
        <v>#DIV/0!</v>
      </c>
      <c r="J33" t="e">
        <v>#DIV/0!</v>
      </c>
      <c r="K33" s="4" t="e">
        <f t="shared" si="12"/>
        <v>#DIV/0!</v>
      </c>
      <c r="L33" s="4" t="e">
        <f t="shared" si="2"/>
        <v>#DIV/0!</v>
      </c>
    </row>
    <row r="34" spans="1:28" x14ac:dyDescent="0.25">
      <c r="A34" t="s">
        <v>77</v>
      </c>
      <c r="F34" s="4" t="e">
        <f t="shared" si="5"/>
        <v>#DIV/0!</v>
      </c>
      <c r="G34" s="4" t="e">
        <f t="shared" si="0"/>
        <v>#DIV/0!</v>
      </c>
      <c r="H34">
        <v>11.289042028663603</v>
      </c>
      <c r="I34"/>
      <c r="J34"/>
      <c r="K34" s="4">
        <f t="shared" si="12"/>
        <v>11.289042028663603</v>
      </c>
      <c r="L34" s="4">
        <f t="shared" si="2"/>
        <v>0</v>
      </c>
      <c r="O34" t="str">
        <f>N2</f>
        <v>n-PFCAs</v>
      </c>
      <c r="Q34" t="str">
        <f>O2</f>
        <v>br-PFCAs</v>
      </c>
      <c r="R34" t="str">
        <f>P2</f>
        <v>n-PFSAs</v>
      </c>
      <c r="T34" t="str">
        <f>Q2</f>
        <v>br-PFSAs</v>
      </c>
    </row>
    <row r="35" spans="1:28" x14ac:dyDescent="0.25">
      <c r="A35" t="s">
        <v>27</v>
      </c>
      <c r="B35">
        <v>42.786862997527486</v>
      </c>
      <c r="C35">
        <v>28.176714656908345</v>
      </c>
      <c r="D35">
        <v>29.246716479322586</v>
      </c>
      <c r="E35">
        <v>23.819490740891588</v>
      </c>
      <c r="F35" s="4">
        <f t="shared" si="5"/>
        <v>31.007446218662501</v>
      </c>
      <c r="G35" s="4">
        <f t="shared" si="0"/>
        <v>7.0981436656059866</v>
      </c>
      <c r="H35">
        <v>26.355406104940887</v>
      </c>
      <c r="I35">
        <v>25.114028281157438</v>
      </c>
      <c r="J35">
        <v>26.557363239844644</v>
      </c>
      <c r="K35" s="4">
        <f t="shared" si="12"/>
        <v>26.008932541980993</v>
      </c>
      <c r="L35" s="4">
        <f t="shared" si="2"/>
        <v>0.63814151936945984</v>
      </c>
      <c r="O35" t="s">
        <v>268</v>
      </c>
      <c r="P35" t="s">
        <v>75</v>
      </c>
      <c r="Q35" t="s">
        <v>38</v>
      </c>
      <c r="R35" t="s">
        <v>38</v>
      </c>
      <c r="S35" t="s">
        <v>75</v>
      </c>
      <c r="T35" t="s">
        <v>38</v>
      </c>
      <c r="U35" t="s">
        <v>75</v>
      </c>
    </row>
    <row r="36" spans="1:28" x14ac:dyDescent="0.25">
      <c r="A36" t="s">
        <v>28</v>
      </c>
      <c r="B36">
        <v>27.182242374899818</v>
      </c>
      <c r="C36">
        <v>19.254088348887372</v>
      </c>
      <c r="D36">
        <v>19.470426420223184</v>
      </c>
      <c r="E36">
        <v>18.050707827081911</v>
      </c>
      <c r="F36" s="4">
        <f t="shared" si="5"/>
        <v>20.989366242773073</v>
      </c>
      <c r="G36" s="4">
        <f t="shared" si="0"/>
        <v>3.6161372908641622</v>
      </c>
      <c r="H36">
        <v>22.216255787177733</v>
      </c>
      <c r="I36">
        <v>22.726137067539192</v>
      </c>
      <c r="J36">
        <v>25.483352226468579</v>
      </c>
      <c r="K36" s="4">
        <f t="shared" si="12"/>
        <v>23.47524836039517</v>
      </c>
      <c r="L36" s="4">
        <f t="shared" si="2"/>
        <v>1.435120339372276</v>
      </c>
      <c r="N36">
        <f>M3</f>
        <v>4</v>
      </c>
      <c r="O36" s="4">
        <f>N3</f>
        <v>27.582413837139953</v>
      </c>
      <c r="P36" s="4"/>
      <c r="Q36" s="4"/>
      <c r="R36" s="4"/>
      <c r="S36" s="4"/>
      <c r="T36" s="4"/>
      <c r="U36" s="4"/>
    </row>
    <row r="37" spans="1:28" x14ac:dyDescent="0.25">
      <c r="A37" t="s">
        <v>29</v>
      </c>
      <c r="B37">
        <v>16.582468434448455</v>
      </c>
      <c r="C37">
        <v>12.012949403118636</v>
      </c>
      <c r="D37">
        <v>12.42199248315314</v>
      </c>
      <c r="E37">
        <v>12.289843626949384</v>
      </c>
      <c r="F37" s="4">
        <f t="shared" si="5"/>
        <v>13.326813486917404</v>
      </c>
      <c r="G37" s="4">
        <f t="shared" si="0"/>
        <v>1.8854399690400365</v>
      </c>
      <c r="H37">
        <v>13.725686743761292</v>
      </c>
      <c r="I37">
        <v>13.538030870311431</v>
      </c>
      <c r="J37">
        <v>14.440566261665527</v>
      </c>
      <c r="K37" s="4">
        <f t="shared" si="12"/>
        <v>13.901427958579418</v>
      </c>
      <c r="L37" s="4">
        <f t="shared" si="2"/>
        <v>0.38884981171054162</v>
      </c>
      <c r="N37">
        <f t="shared" ref="N37:N46" si="14">M4</f>
        <v>5</v>
      </c>
      <c r="O37" s="4"/>
      <c r="P37" s="4"/>
      <c r="Q37" s="4"/>
      <c r="R37" s="4"/>
      <c r="S37" s="4"/>
      <c r="T37" s="4"/>
      <c r="U37" s="4"/>
    </row>
    <row r="38" spans="1:28" x14ac:dyDescent="0.25">
      <c r="A38" t="s">
        <v>30</v>
      </c>
      <c r="B38">
        <v>7.4853907187899056</v>
      </c>
      <c r="C38">
        <v>4.1781023541889413</v>
      </c>
      <c r="D38">
        <v>4.1136331190501201</v>
      </c>
      <c r="E38">
        <v>2.1907306591654403</v>
      </c>
      <c r="F38" s="4">
        <f t="shared" si="5"/>
        <v>4.4919642127986013</v>
      </c>
      <c r="G38" s="4">
        <f t="shared" si="0"/>
        <v>1.9038068309262142</v>
      </c>
      <c r="H38">
        <v>14.203835667211992</v>
      </c>
      <c r="I38">
        <v>9.8738914609678812</v>
      </c>
      <c r="J38">
        <v>10.53415168024233</v>
      </c>
      <c r="K38" s="4">
        <f t="shared" si="12"/>
        <v>11.537292936140735</v>
      </c>
      <c r="L38" s="4">
        <f t="shared" si="2"/>
        <v>1.9047000624351664</v>
      </c>
      <c r="N38">
        <f t="shared" si="14"/>
        <v>6</v>
      </c>
      <c r="O38" s="4"/>
      <c r="P38" s="4"/>
      <c r="Q38" s="4"/>
      <c r="R38" s="4">
        <f t="shared" ref="R38:R45" si="15">P5</f>
        <v>4.0493119382059648</v>
      </c>
      <c r="S38" s="4">
        <f t="shared" ref="S38:S44" si="16">U5</f>
        <v>6.1403724029435667</v>
      </c>
      <c r="T38" s="4"/>
      <c r="U38" s="4"/>
    </row>
    <row r="39" spans="1:28" x14ac:dyDescent="0.25">
      <c r="A39" t="s">
        <v>31</v>
      </c>
      <c r="B39">
        <v>3.3729789808269848</v>
      </c>
      <c r="C39">
        <v>2.0928356900964533</v>
      </c>
      <c r="D39">
        <v>1.7178368787111407</v>
      </c>
      <c r="E39">
        <v>1.5919779066604163</v>
      </c>
      <c r="F39" s="36">
        <f t="shared" si="5"/>
        <v>2.1939073640737488</v>
      </c>
      <c r="G39" s="4">
        <f t="shared" si="0"/>
        <v>0.70522825018729973</v>
      </c>
      <c r="H39">
        <v>4.221359199512456</v>
      </c>
      <c r="I39">
        <v>4.2734104843399834</v>
      </c>
      <c r="J39">
        <v>4.2760467647128024</v>
      </c>
      <c r="K39" s="4">
        <f t="shared" si="12"/>
        <v>4.2569388161884136</v>
      </c>
      <c r="L39" s="4">
        <f t="shared" si="2"/>
        <v>2.5181598250271393E-2</v>
      </c>
      <c r="N39">
        <f t="shared" si="14"/>
        <v>7</v>
      </c>
      <c r="O39" s="4"/>
      <c r="P39" s="4"/>
      <c r="Q39" s="4"/>
      <c r="R39" s="4">
        <f t="shared" si="15"/>
        <v>30.451071860123648</v>
      </c>
      <c r="S39" s="4">
        <f t="shared" si="16"/>
        <v>12.32219028896102</v>
      </c>
      <c r="T39" s="4"/>
      <c r="U39" s="4"/>
    </row>
    <row r="40" spans="1:28" x14ac:dyDescent="0.25">
      <c r="A40" t="s">
        <v>32</v>
      </c>
      <c r="B40">
        <v>4.7935489665279754</v>
      </c>
      <c r="C40">
        <v>1.6294009886223444</v>
      </c>
      <c r="F40" s="36">
        <f t="shared" si="5"/>
        <v>3.2114749775751599</v>
      </c>
      <c r="G40" s="4">
        <f t="shared" si="0"/>
        <v>1.5820739889528157</v>
      </c>
      <c r="H40">
        <v>2.1627057115754922</v>
      </c>
      <c r="I40">
        <v>1.6413620188490299</v>
      </c>
      <c r="J40">
        <v>1.7246757416271343</v>
      </c>
      <c r="K40" s="4">
        <f t="shared" si="12"/>
        <v>1.8429144906838857</v>
      </c>
      <c r="L40" s="4">
        <f t="shared" si="2"/>
        <v>0.22867023246047813</v>
      </c>
      <c r="N40">
        <f t="shared" si="14"/>
        <v>8</v>
      </c>
      <c r="O40" s="4">
        <f t="shared" ref="O40:O46" si="17">N7</f>
        <v>12.952995537712773</v>
      </c>
      <c r="P40" s="4"/>
      <c r="Q40" s="4">
        <f t="shared" ref="Q40:Q46" si="18">O7</f>
        <v>48.471830808387779</v>
      </c>
      <c r="R40" s="4">
        <f t="shared" si="15"/>
        <v>30.072969909916015</v>
      </c>
      <c r="S40" s="4">
        <f t="shared" si="16"/>
        <v>25.717357425478212</v>
      </c>
      <c r="T40" s="4">
        <f t="shared" ref="T40:T45" si="19">Q7</f>
        <v>31.007446218662501</v>
      </c>
      <c r="U40" s="4">
        <f t="shared" ref="U40:U45" si="20">V7</f>
        <v>26.008932541980993</v>
      </c>
    </row>
    <row r="41" spans="1:28" x14ac:dyDescent="0.25">
      <c r="F41" s="4">
        <f>AVERAGE(F3:F13,F24:F32)</f>
        <v>27.936129204633222</v>
      </c>
      <c r="N41">
        <f t="shared" si="14"/>
        <v>9</v>
      </c>
      <c r="O41" s="4">
        <f t="shared" si="17"/>
        <v>38.22324952131487</v>
      </c>
      <c r="P41" s="4"/>
      <c r="Q41" s="4">
        <f t="shared" si="18"/>
        <v>0</v>
      </c>
      <c r="R41" s="4">
        <f t="shared" si="15"/>
        <v>16.896108294436949</v>
      </c>
      <c r="S41" s="4">
        <f t="shared" si="16"/>
        <v>15.828156623932495</v>
      </c>
      <c r="T41" s="4">
        <f t="shared" si="19"/>
        <v>20.989366242773073</v>
      </c>
      <c r="U41" s="4">
        <f t="shared" si="20"/>
        <v>23.47524836039517</v>
      </c>
    </row>
    <row r="42" spans="1:28" x14ac:dyDescent="0.25">
      <c r="N42">
        <f t="shared" si="14"/>
        <v>10</v>
      </c>
      <c r="O42" s="4">
        <f t="shared" si="17"/>
        <v>42.48256315074125</v>
      </c>
      <c r="P42" s="4">
        <f>S9</f>
        <v>21.887986756558792</v>
      </c>
      <c r="Q42" s="4">
        <f t="shared" si="18"/>
        <v>22.951893396024676</v>
      </c>
      <c r="R42" s="4">
        <f t="shared" si="15"/>
        <v>12.523815760877085</v>
      </c>
      <c r="S42" s="4">
        <f t="shared" si="16"/>
        <v>11.292316246518373</v>
      </c>
      <c r="T42" s="4">
        <f t="shared" si="19"/>
        <v>13.326813486917404</v>
      </c>
      <c r="U42" s="4">
        <f t="shared" si="20"/>
        <v>13.901427958579418</v>
      </c>
    </row>
    <row r="43" spans="1:28" x14ac:dyDescent="0.25">
      <c r="B43" t="s">
        <v>38</v>
      </c>
      <c r="H43" s="4" t="s">
        <v>75</v>
      </c>
      <c r="N43">
        <f t="shared" si="14"/>
        <v>11</v>
      </c>
      <c r="O43" s="4">
        <f t="shared" si="17"/>
        <v>28.075606686796913</v>
      </c>
      <c r="P43" s="4">
        <f>S10</f>
        <v>17.015728724061958</v>
      </c>
      <c r="Q43" s="4">
        <f t="shared" si="18"/>
        <v>89.580591665945377</v>
      </c>
      <c r="R43" s="4">
        <f t="shared" si="15"/>
        <v>11.022802265456585</v>
      </c>
      <c r="S43" s="4">
        <f t="shared" si="16"/>
        <v>7.2084828079179539</v>
      </c>
      <c r="T43" s="4">
        <f t="shared" si="19"/>
        <v>4.4919642127986013</v>
      </c>
      <c r="U43" s="4">
        <f t="shared" si="20"/>
        <v>11.537292936140735</v>
      </c>
    </row>
    <row r="44" spans="1:28" x14ac:dyDescent="0.25">
      <c r="A44" t="s">
        <v>274</v>
      </c>
      <c r="B44" t="s">
        <v>36</v>
      </c>
      <c r="C44" t="s">
        <v>39</v>
      </c>
      <c r="D44" t="s">
        <v>40</v>
      </c>
      <c r="E44" t="s">
        <v>41</v>
      </c>
      <c r="H44" t="s">
        <v>39</v>
      </c>
      <c r="I44" t="s">
        <v>40</v>
      </c>
      <c r="J44" t="s">
        <v>41</v>
      </c>
      <c r="K44" s="4" t="s">
        <v>89</v>
      </c>
      <c r="L44" s="4" t="s">
        <v>90</v>
      </c>
      <c r="N44">
        <f t="shared" si="14"/>
        <v>12</v>
      </c>
      <c r="O44" s="4">
        <f t="shared" si="17"/>
        <v>20.937350880083844</v>
      </c>
      <c r="P44" s="4">
        <f>S11</f>
        <v>12.874529189433526</v>
      </c>
      <c r="Q44" s="4">
        <f t="shared" si="18"/>
        <v>22.967319450999767</v>
      </c>
      <c r="R44" s="4">
        <f t="shared" si="15"/>
        <v>9.4812200721395197</v>
      </c>
      <c r="S44" s="4">
        <f t="shared" si="16"/>
        <v>6.4206257209578412</v>
      </c>
      <c r="T44" s="4">
        <f t="shared" si="19"/>
        <v>2.1939073640737488</v>
      </c>
      <c r="U44" s="4">
        <f t="shared" si="20"/>
        <v>4.2569388161884136</v>
      </c>
    </row>
    <row r="45" spans="1:28" x14ac:dyDescent="0.25">
      <c r="A45" t="s">
        <v>78</v>
      </c>
      <c r="C45">
        <f t="shared" ref="C45:E45" si="21">C3/7</f>
        <v>3.9138745373232373</v>
      </c>
      <c r="D45">
        <f t="shared" si="21"/>
        <v>3.3228532145730836</v>
      </c>
      <c r="E45">
        <f t="shared" si="21"/>
        <v>4.5843067497350871</v>
      </c>
      <c r="F45" s="57">
        <f t="shared" ref="F45:F82" si="22">AVERAGE(B45:E45)</f>
        <v>3.9403448338771363</v>
      </c>
      <c r="G45" s="4">
        <f t="shared" ref="G45:G82" si="23">_xlfn.STDEV.P(B45:E45)</f>
        <v>0.51532628032662309</v>
      </c>
      <c r="H45"/>
      <c r="I45"/>
      <c r="J45"/>
      <c r="K45" s="4" t="e">
        <f>AVERAGE(H45:J45)</f>
        <v>#DIV/0!</v>
      </c>
      <c r="L45" s="4" t="e">
        <f>_xlfn.STDEV.P(H45:J45)</f>
        <v>#DIV/0!</v>
      </c>
      <c r="N45">
        <f t="shared" si="14"/>
        <v>13</v>
      </c>
      <c r="O45" s="4">
        <f t="shared" si="17"/>
        <v>14.681063381238323</v>
      </c>
      <c r="P45" s="4">
        <f>S12</f>
        <v>5.2672213943269481</v>
      </c>
      <c r="Q45" s="4">
        <f t="shared" si="18"/>
        <v>8.2387222308393824</v>
      </c>
      <c r="R45" s="4">
        <f t="shared" si="15"/>
        <v>10.119118411658832</v>
      </c>
      <c r="S45" s="4"/>
      <c r="T45" s="4">
        <f t="shared" si="19"/>
        <v>3.2114749775751599</v>
      </c>
      <c r="U45" s="4">
        <f t="shared" si="20"/>
        <v>1.8429144906838857</v>
      </c>
    </row>
    <row r="46" spans="1:28" x14ac:dyDescent="0.25">
      <c r="A46" t="s">
        <v>79</v>
      </c>
      <c r="F46" s="57" t="e">
        <f t="shared" si="22"/>
        <v>#DIV/0!</v>
      </c>
      <c r="G46" s="4" t="e">
        <f t="shared" si="23"/>
        <v>#DIV/0!</v>
      </c>
      <c r="H46"/>
      <c r="I46"/>
      <c r="J46"/>
      <c r="K46" s="4" t="e">
        <f t="shared" ref="K46:K82" si="24">AVERAGE(H46:J46)</f>
        <v>#DIV/0!</v>
      </c>
      <c r="L46" s="4" t="e">
        <f t="shared" ref="L46:L82" si="25">_xlfn.STDEV.P(H46:J46)</f>
        <v>#DIV/0!</v>
      </c>
      <c r="N46">
        <f t="shared" si="14"/>
        <v>14</v>
      </c>
      <c r="O46" s="4">
        <f t="shared" si="17"/>
        <v>9.8318749015595088</v>
      </c>
      <c r="P46" s="4"/>
      <c r="Q46" s="4">
        <f t="shared" si="18"/>
        <v>4.1283334160806753</v>
      </c>
      <c r="R46" s="4"/>
      <c r="S46" s="4"/>
      <c r="T46" s="4"/>
      <c r="U46" s="4"/>
      <c r="AB46" s="30"/>
    </row>
    <row r="47" spans="1:28" x14ac:dyDescent="0.25">
      <c r="A47" t="s">
        <v>80</v>
      </c>
      <c r="F47" s="57" t="e">
        <f t="shared" si="22"/>
        <v>#DIV/0!</v>
      </c>
      <c r="G47" s="4" t="e">
        <f t="shared" si="23"/>
        <v>#DIV/0!</v>
      </c>
      <c r="H47"/>
      <c r="I47"/>
      <c r="J47"/>
      <c r="K47" s="4" t="e">
        <f t="shared" si="24"/>
        <v>#DIV/0!</v>
      </c>
      <c r="L47" s="4" t="e">
        <f t="shared" si="25"/>
        <v>#DIV/0!</v>
      </c>
    </row>
    <row r="48" spans="1:28" x14ac:dyDescent="0.25">
      <c r="A48" t="s">
        <v>1</v>
      </c>
      <c r="F48" s="57" t="e">
        <f t="shared" si="22"/>
        <v>#DIV/0!</v>
      </c>
      <c r="G48" s="4" t="e">
        <f t="shared" si="23"/>
        <v>#DIV/0!</v>
      </c>
      <c r="H48"/>
      <c r="I48"/>
      <c r="J48"/>
      <c r="K48" s="4" t="e">
        <f t="shared" si="24"/>
        <v>#DIV/0!</v>
      </c>
      <c r="L48" s="4" t="e">
        <f t="shared" si="25"/>
        <v>#DIV/0!</v>
      </c>
    </row>
    <row r="49" spans="1:12" x14ac:dyDescent="0.25">
      <c r="A49" t="s">
        <v>2</v>
      </c>
      <c r="C49">
        <f t="shared" ref="C49:E49" si="26">C7/7</f>
        <v>2.8536318672702561</v>
      </c>
      <c r="D49">
        <f t="shared" si="26"/>
        <v>1.1858805484344657</v>
      </c>
      <c r="E49">
        <f t="shared" si="26"/>
        <v>1.5117713861721815</v>
      </c>
      <c r="F49" s="57">
        <f t="shared" si="22"/>
        <v>1.8504279339589678</v>
      </c>
      <c r="G49" s="4">
        <f t="shared" si="23"/>
        <v>0.72174086226233924</v>
      </c>
      <c r="H49"/>
      <c r="I49"/>
      <c r="J49"/>
      <c r="K49" s="4" t="e">
        <f t="shared" si="24"/>
        <v>#DIV/0!</v>
      </c>
      <c r="L49" s="4" t="e">
        <f t="shared" si="25"/>
        <v>#DIV/0!</v>
      </c>
    </row>
    <row r="50" spans="1:12" x14ac:dyDescent="0.25">
      <c r="A50" t="s">
        <v>3</v>
      </c>
      <c r="C50">
        <f t="shared" ref="C50:E50" si="27">C8/7</f>
        <v>5.6908635513952817</v>
      </c>
      <c r="D50">
        <f t="shared" si="27"/>
        <v>6.3475016534793527</v>
      </c>
      <c r="E50">
        <f t="shared" si="27"/>
        <v>4.3430274471174517</v>
      </c>
      <c r="F50" s="57">
        <f t="shared" si="22"/>
        <v>5.4604642173306956</v>
      </c>
      <c r="G50" s="4">
        <f t="shared" si="23"/>
        <v>0.83438284611865099</v>
      </c>
      <c r="H50"/>
      <c r="I50"/>
      <c r="J50"/>
      <c r="K50" s="4" t="e">
        <f t="shared" si="24"/>
        <v>#DIV/0!</v>
      </c>
      <c r="L50" s="4" t="e">
        <f t="shared" si="25"/>
        <v>#DIV/0!</v>
      </c>
    </row>
    <row r="51" spans="1:12" x14ac:dyDescent="0.25">
      <c r="A51" t="s">
        <v>4</v>
      </c>
      <c r="B51">
        <f t="shared" ref="B51:E51" si="28">B9/7</f>
        <v>5.531900882361894</v>
      </c>
      <c r="C51">
        <f t="shared" si="28"/>
        <v>4.2498294332308104</v>
      </c>
      <c r="D51">
        <f t="shared" si="28"/>
        <v>11.125957954413249</v>
      </c>
      <c r="E51">
        <f t="shared" si="28"/>
        <v>3.3680621018461872</v>
      </c>
      <c r="F51" s="57">
        <f t="shared" si="22"/>
        <v>6.0689375929630351</v>
      </c>
      <c r="G51" s="4">
        <f t="shared" si="23"/>
        <v>3.0193437316731337</v>
      </c>
      <c r="H51">
        <f t="shared" ref="H51:J51" si="29">H9/7</f>
        <v>3.2149683699440876</v>
      </c>
      <c r="I51">
        <f t="shared" si="29"/>
        <v>3.2359812351071211</v>
      </c>
      <c r="J51">
        <f t="shared" si="29"/>
        <v>2.9296161477597016</v>
      </c>
      <c r="K51" s="4">
        <f t="shared" si="24"/>
        <v>3.1268552509369698</v>
      </c>
      <c r="L51" s="4">
        <f t="shared" si="25"/>
        <v>0.1397326804824599</v>
      </c>
    </row>
    <row r="52" spans="1:12" x14ac:dyDescent="0.25">
      <c r="A52" t="s">
        <v>5</v>
      </c>
      <c r="B52">
        <f t="shared" ref="B52:E52" si="30">B10/7</f>
        <v>3.9927832981563673</v>
      </c>
      <c r="C52">
        <f t="shared" si="30"/>
        <v>2.9825610178999367</v>
      </c>
      <c r="D52">
        <f t="shared" si="30"/>
        <v>5.8941086782308281</v>
      </c>
      <c r="E52">
        <f t="shared" si="30"/>
        <v>3.1737508267396763</v>
      </c>
      <c r="F52" s="57">
        <f t="shared" si="22"/>
        <v>4.0108009552567028</v>
      </c>
      <c r="G52" s="4">
        <f t="shared" si="23"/>
        <v>1.151640449728903</v>
      </c>
      <c r="H52">
        <f t="shared" ref="H52:J52" si="31">H10/7</f>
        <v>2.805128209469629</v>
      </c>
      <c r="I52">
        <f t="shared" si="31"/>
        <v>2.2004672398728422</v>
      </c>
      <c r="J52">
        <f t="shared" si="31"/>
        <v>2.286859718112654</v>
      </c>
      <c r="K52" s="4">
        <f t="shared" si="24"/>
        <v>2.4308183891517086</v>
      </c>
      <c r="L52" s="4">
        <f t="shared" si="25"/>
        <v>0.26701659906446529</v>
      </c>
    </row>
    <row r="53" spans="1:12" x14ac:dyDescent="0.25">
      <c r="A53" t="s">
        <v>6</v>
      </c>
      <c r="B53">
        <f t="shared" ref="B53:E53" si="32">B11/7</f>
        <v>3.2572705853380888</v>
      </c>
      <c r="C53">
        <f t="shared" si="32"/>
        <v>3.4744219576939614</v>
      </c>
      <c r="D53">
        <f t="shared" si="32"/>
        <v>3.0751871364682577</v>
      </c>
      <c r="E53">
        <f t="shared" si="32"/>
        <v>2.157320823404747</v>
      </c>
      <c r="F53" s="57">
        <f t="shared" si="22"/>
        <v>2.9910501257262641</v>
      </c>
      <c r="G53" s="4">
        <f t="shared" si="23"/>
        <v>0.50167351115587511</v>
      </c>
      <c r="H53">
        <f t="shared" ref="H53:J53" si="33">H11/7</f>
        <v>2.0126224754934534</v>
      </c>
      <c r="I53">
        <f t="shared" si="33"/>
        <v>1.9079195721440827</v>
      </c>
      <c r="J53">
        <f t="shared" si="33"/>
        <v>1.5971133192625468</v>
      </c>
      <c r="K53" s="4">
        <f t="shared" si="24"/>
        <v>1.8392184556333611</v>
      </c>
      <c r="L53" s="4">
        <f t="shared" si="25"/>
        <v>0.17644989333196889</v>
      </c>
    </row>
    <row r="54" spans="1:12" x14ac:dyDescent="0.25">
      <c r="A54" t="s">
        <v>7</v>
      </c>
      <c r="C54">
        <f t="shared" ref="C54:E54" si="34">C12/7</f>
        <v>1.6531056059144891</v>
      </c>
      <c r="D54">
        <f t="shared" si="34"/>
        <v>3.0468007936700894</v>
      </c>
      <c r="E54">
        <f t="shared" si="34"/>
        <v>1.5919779066604163</v>
      </c>
      <c r="F54" s="57">
        <f t="shared" si="22"/>
        <v>2.0972947687483314</v>
      </c>
      <c r="G54" s="4">
        <f t="shared" si="23"/>
        <v>0.67186576904719286</v>
      </c>
      <c r="H54">
        <f t="shared" ref="H54:J54" si="35">H12/7</f>
        <v>0.8536295327092922</v>
      </c>
      <c r="I54">
        <f t="shared" si="35"/>
        <v>0.75186807740529904</v>
      </c>
      <c r="J54">
        <f t="shared" si="35"/>
        <v>0.65188298745410067</v>
      </c>
      <c r="K54" s="4">
        <f t="shared" si="24"/>
        <v>0.75246019918956397</v>
      </c>
      <c r="L54" s="4">
        <f t="shared" si="25"/>
        <v>8.2363746421011214E-2</v>
      </c>
    </row>
    <row r="55" spans="1:12" x14ac:dyDescent="0.25">
      <c r="A55" s="9" t="s">
        <v>8</v>
      </c>
      <c r="B55" s="9"/>
      <c r="C55" s="9">
        <f t="shared" ref="C55" si="36">C13/7</f>
        <v>1.404553557365644</v>
      </c>
      <c r="D55" s="9"/>
      <c r="E55" s="9"/>
      <c r="F55" s="94">
        <f t="shared" si="22"/>
        <v>1.404553557365644</v>
      </c>
      <c r="G55" s="48">
        <f t="shared" si="23"/>
        <v>0</v>
      </c>
      <c r="H55" s="9"/>
      <c r="I55" s="9"/>
      <c r="J55" s="9"/>
      <c r="K55" s="48" t="e">
        <f t="shared" si="24"/>
        <v>#DIV/0!</v>
      </c>
      <c r="L55" s="48" t="e">
        <f t="shared" si="25"/>
        <v>#DIV/0!</v>
      </c>
    </row>
    <row r="56" spans="1:12" x14ac:dyDescent="0.25">
      <c r="A56" t="s">
        <v>81</v>
      </c>
      <c r="F56" s="57" t="e">
        <f t="shared" si="22"/>
        <v>#DIV/0!</v>
      </c>
      <c r="G56" s="4" t="e">
        <f t="shared" si="23"/>
        <v>#DIV/0!</v>
      </c>
      <c r="H56"/>
      <c r="I56"/>
      <c r="J56"/>
      <c r="K56" s="4" t="e">
        <f t="shared" si="24"/>
        <v>#DIV/0!</v>
      </c>
      <c r="L56" s="4" t="e">
        <f t="shared" si="25"/>
        <v>#DIV/0!</v>
      </c>
    </row>
    <row r="57" spans="1:12" x14ac:dyDescent="0.25">
      <c r="A57" t="s">
        <v>82</v>
      </c>
      <c r="F57" s="57" t="e">
        <f t="shared" si="22"/>
        <v>#DIV/0!</v>
      </c>
      <c r="G57" s="4" t="e">
        <f t="shared" si="23"/>
        <v>#DIV/0!</v>
      </c>
      <c r="H57"/>
      <c r="I57"/>
      <c r="J57"/>
      <c r="K57" s="4" t="e">
        <f t="shared" si="24"/>
        <v>#DIV/0!</v>
      </c>
      <c r="L57" s="4" t="e">
        <f t="shared" si="25"/>
        <v>#DIV/0!</v>
      </c>
    </row>
    <row r="58" spans="1:12" x14ac:dyDescent="0.25">
      <c r="A58" t="s">
        <v>9</v>
      </c>
      <c r="B58">
        <f t="shared" ref="B58:E58" si="37">B16/7</f>
        <v>0.52783062790126822</v>
      </c>
      <c r="C58">
        <f t="shared" si="37"/>
        <v>0.77602684791753851</v>
      </c>
      <c r="D58">
        <f t="shared" si="37"/>
        <v>0.5149299313274982</v>
      </c>
      <c r="E58">
        <f t="shared" si="37"/>
        <v>0.49510512897138942</v>
      </c>
      <c r="F58" s="57">
        <f t="shared" si="22"/>
        <v>0.57847313402942357</v>
      </c>
      <c r="G58" s="4">
        <f t="shared" si="23"/>
        <v>0.11465175115856507</v>
      </c>
      <c r="H58">
        <f t="shared" ref="H58:J58" si="38">H16/7</f>
        <v>0.96043671963412114</v>
      </c>
      <c r="I58">
        <f t="shared" si="38"/>
        <v>1.0917422910063714</v>
      </c>
      <c r="J58">
        <f t="shared" si="38"/>
        <v>0.57940916204960735</v>
      </c>
      <c r="K58" s="4">
        <f t="shared" si="24"/>
        <v>0.87719605756336672</v>
      </c>
      <c r="L58" s="4">
        <f t="shared" si="25"/>
        <v>0.21728332444551096</v>
      </c>
    </row>
    <row r="59" spans="1:12" x14ac:dyDescent="0.25">
      <c r="A59" t="s">
        <v>10</v>
      </c>
      <c r="B59">
        <f t="shared" ref="B59:E59" si="39">B17/7</f>
        <v>3.1236916654346341</v>
      </c>
      <c r="C59">
        <f t="shared" si="39"/>
        <v>4.8068459123435874</v>
      </c>
      <c r="D59">
        <f t="shared" si="39"/>
        <v>6.9245472583411116</v>
      </c>
      <c r="E59">
        <f t="shared" si="39"/>
        <v>2.5455276553798951</v>
      </c>
      <c r="F59" s="57">
        <f t="shared" si="22"/>
        <v>4.3501531228748069</v>
      </c>
      <c r="G59" s="4">
        <f t="shared" si="23"/>
        <v>1.7027150564020972</v>
      </c>
      <c r="H59">
        <f t="shared" ref="H59:J59" si="40">H17/7</f>
        <v>2.1068303360484659</v>
      </c>
      <c r="I59">
        <f t="shared" si="40"/>
        <v>1.6783224710894562</v>
      </c>
      <c r="J59">
        <f t="shared" si="40"/>
        <v>1.4957858881310861</v>
      </c>
      <c r="K59" s="4">
        <f t="shared" si="24"/>
        <v>1.7603128984230025</v>
      </c>
      <c r="L59" s="4">
        <f t="shared" si="25"/>
        <v>0.25610629559282289</v>
      </c>
    </row>
    <row r="60" spans="1:12" x14ac:dyDescent="0.25">
      <c r="A60" t="s">
        <v>11</v>
      </c>
      <c r="B60">
        <f t="shared" ref="B60:E60" si="41">B18/7</f>
        <v>5.2952420210843787</v>
      </c>
      <c r="C60">
        <f t="shared" si="41"/>
        <v>4.0917779253833846</v>
      </c>
      <c r="D60">
        <f t="shared" si="41"/>
        <v>4.0749393330978565</v>
      </c>
      <c r="E60">
        <f t="shared" si="41"/>
        <v>3.7225949546721013</v>
      </c>
      <c r="F60" s="57">
        <f t="shared" si="22"/>
        <v>4.2961385585594298</v>
      </c>
      <c r="G60" s="4">
        <f t="shared" si="23"/>
        <v>0.59536802906402608</v>
      </c>
      <c r="H60">
        <f t="shared" ref="H60:J60" si="42">H18/7</f>
        <v>3.4989761764762508</v>
      </c>
      <c r="I60">
        <f t="shared" si="42"/>
        <v>3.5619074026718671</v>
      </c>
      <c r="J60">
        <f t="shared" si="42"/>
        <v>3.9608410317711154</v>
      </c>
      <c r="K60" s="4">
        <f t="shared" si="24"/>
        <v>3.6739082036397446</v>
      </c>
      <c r="L60" s="4">
        <f t="shared" si="25"/>
        <v>0.20451229906327736</v>
      </c>
    </row>
    <row r="61" spans="1:12" x14ac:dyDescent="0.25">
      <c r="A61" t="s">
        <v>12</v>
      </c>
      <c r="B61">
        <f t="shared" ref="B61:E61" si="43">B19/7</f>
        <v>3.0468007936700894</v>
      </c>
      <c r="C61">
        <f t="shared" si="43"/>
        <v>2.3520433680351047</v>
      </c>
      <c r="D61">
        <f t="shared" si="43"/>
        <v>2.2352376025796366</v>
      </c>
      <c r="E61">
        <f t="shared" si="43"/>
        <v>2.0208372611077121</v>
      </c>
      <c r="F61" s="57">
        <f t="shared" si="22"/>
        <v>2.4137297563481357</v>
      </c>
      <c r="G61" s="4">
        <f t="shared" si="23"/>
        <v>0.38432021498099916</v>
      </c>
      <c r="H61">
        <f t="shared" ref="H61:J61" si="44">H19/7</f>
        <v>2.3028145533553004</v>
      </c>
      <c r="I61">
        <f t="shared" si="44"/>
        <v>2.2504778589608612</v>
      </c>
      <c r="J61">
        <f t="shared" si="44"/>
        <v>2.2302032836549075</v>
      </c>
      <c r="K61" s="4">
        <f t="shared" si="24"/>
        <v>2.2611652319903564</v>
      </c>
      <c r="L61" s="4">
        <f t="shared" si="25"/>
        <v>3.0591546529278143E-2</v>
      </c>
    </row>
    <row r="62" spans="1:12" x14ac:dyDescent="0.25">
      <c r="A62" t="s">
        <v>13</v>
      </c>
      <c r="B62">
        <f t="shared" ref="B62:E62" si="45">B20/7</f>
        <v>2.2251915908826496</v>
      </c>
      <c r="C62">
        <f t="shared" si="45"/>
        <v>1.857805361993957</v>
      </c>
      <c r="D62">
        <f t="shared" si="45"/>
        <v>1.5593862329807544</v>
      </c>
      <c r="E62">
        <f t="shared" si="45"/>
        <v>1.5140829632152584</v>
      </c>
      <c r="F62" s="57">
        <f t="shared" si="22"/>
        <v>1.7891165372681548</v>
      </c>
      <c r="G62" s="4">
        <f t="shared" si="23"/>
        <v>0.28429697790839709</v>
      </c>
      <c r="H62">
        <f t="shared" ref="H62:J62" si="46">H20/7</f>
        <v>1.6926671075944939</v>
      </c>
      <c r="I62">
        <f t="shared" si="46"/>
        <v>1.5996934700206447</v>
      </c>
      <c r="J62">
        <f t="shared" si="46"/>
        <v>1.547203528035592</v>
      </c>
      <c r="K62" s="4">
        <f t="shared" si="24"/>
        <v>1.6131880352169101</v>
      </c>
      <c r="L62" s="4">
        <f t="shared" si="25"/>
        <v>6.0146990569766884E-2</v>
      </c>
    </row>
    <row r="63" spans="1:12" x14ac:dyDescent="0.25">
      <c r="A63" t="s">
        <v>14</v>
      </c>
      <c r="B63">
        <f t="shared" ref="B63:E63" si="47">B21/7</f>
        <v>1.8371247828251926</v>
      </c>
      <c r="C63">
        <f t="shared" si="47"/>
        <v>1.6100979803947626</v>
      </c>
      <c r="D63">
        <f t="shared" si="47"/>
        <v>1.6642189209122336</v>
      </c>
      <c r="E63">
        <f t="shared" si="47"/>
        <v>1.187302467557289</v>
      </c>
      <c r="F63" s="57">
        <f t="shared" si="22"/>
        <v>1.5746860379223693</v>
      </c>
      <c r="G63" s="4">
        <f t="shared" si="23"/>
        <v>0.23885679193876391</v>
      </c>
      <c r="H63">
        <f t="shared" ref="H63:J63" si="48">H21/7</f>
        <v>1.1858805484344657</v>
      </c>
      <c r="I63">
        <f t="shared" si="48"/>
        <v>1.1487357980774697</v>
      </c>
      <c r="J63">
        <f t="shared" si="48"/>
        <v>0.75473342831004486</v>
      </c>
      <c r="K63" s="4">
        <f t="shared" si="24"/>
        <v>1.0297832582739934</v>
      </c>
      <c r="L63" s="4">
        <f t="shared" si="25"/>
        <v>0.19507988080470853</v>
      </c>
    </row>
    <row r="64" spans="1:12" x14ac:dyDescent="0.25">
      <c r="A64" t="s">
        <v>15</v>
      </c>
      <c r="B64">
        <f t="shared" ref="B64:E64" si="49">B22/7</f>
        <v>1.4801349147126739</v>
      </c>
      <c r="C64">
        <f t="shared" si="49"/>
        <v>1.2518460909516802</v>
      </c>
      <c r="D64">
        <f t="shared" si="49"/>
        <v>1.4371701856934382</v>
      </c>
      <c r="E64">
        <f t="shared" si="49"/>
        <v>1.2486888498647908</v>
      </c>
      <c r="F64" s="57">
        <f t="shared" si="22"/>
        <v>1.3544600103056457</v>
      </c>
      <c r="G64" s="4">
        <f t="shared" si="23"/>
        <v>0.10529994009564093</v>
      </c>
      <c r="H64">
        <f t="shared" ref="H64:J64" si="50">H22/7</f>
        <v>1.1930244071599745</v>
      </c>
      <c r="I64">
        <f t="shared" si="50"/>
        <v>0.57436789903873486</v>
      </c>
      <c r="J64">
        <f t="shared" si="50"/>
        <v>0.98430443135465118</v>
      </c>
      <c r="K64" s="4">
        <f t="shared" si="24"/>
        <v>0.91723224585112018</v>
      </c>
      <c r="L64" s="4">
        <f t="shared" si="25"/>
        <v>0.2569798660224264</v>
      </c>
    </row>
    <row r="65" spans="1:13" ht="15.75" thickBot="1" x14ac:dyDescent="0.3">
      <c r="A65" s="93" t="s">
        <v>16</v>
      </c>
      <c r="B65" s="93">
        <f t="shared" ref="B65:E65" si="51">B23/7</f>
        <v>2.1068303360484659</v>
      </c>
      <c r="C65" s="93">
        <f t="shared" si="51"/>
        <v>1.0197839937618733</v>
      </c>
      <c r="D65" s="93">
        <f t="shared" si="51"/>
        <v>1.2727638276899476</v>
      </c>
      <c r="E65" s="93">
        <f t="shared" si="51"/>
        <v>1.3829752205904735</v>
      </c>
      <c r="F65" s="95">
        <f t="shared" si="22"/>
        <v>1.4455883445226902</v>
      </c>
      <c r="G65" s="96">
        <f t="shared" si="23"/>
        <v>0.40383753954741336</v>
      </c>
      <c r="H65" s="93"/>
      <c r="I65" s="93"/>
      <c r="J65" s="93"/>
      <c r="K65" s="96" t="e">
        <f t="shared" si="24"/>
        <v>#DIV/0!</v>
      </c>
      <c r="L65" s="96" t="e">
        <f t="shared" si="25"/>
        <v>#DIV/0!</v>
      </c>
      <c r="M65" s="30"/>
    </row>
    <row r="66" spans="1:13" x14ac:dyDescent="0.25">
      <c r="A66" t="s">
        <v>76</v>
      </c>
      <c r="F66" s="57" t="e">
        <f t="shared" si="22"/>
        <v>#DIV/0!</v>
      </c>
      <c r="G66" s="4" t="e">
        <f t="shared" si="23"/>
        <v>#DIV/0!</v>
      </c>
      <c r="H66"/>
      <c r="I66"/>
      <c r="J66"/>
      <c r="K66" s="4" t="e">
        <f t="shared" si="24"/>
        <v>#DIV/0!</v>
      </c>
      <c r="L66" s="4" t="e">
        <f t="shared" si="25"/>
        <v>#DIV/0!</v>
      </c>
    </row>
    <row r="67" spans="1:13" x14ac:dyDescent="0.25">
      <c r="A67" t="s">
        <v>18</v>
      </c>
      <c r="F67" s="57" t="e">
        <f t="shared" si="22"/>
        <v>#DIV/0!</v>
      </c>
      <c r="G67" s="4" t="e">
        <f t="shared" si="23"/>
        <v>#DIV/0!</v>
      </c>
      <c r="H67"/>
      <c r="I67"/>
      <c r="J67"/>
      <c r="K67" s="4" t="e">
        <f t="shared" si="24"/>
        <v>#DIV/0!</v>
      </c>
      <c r="L67" s="4" t="e">
        <f t="shared" si="25"/>
        <v>#DIV/0!</v>
      </c>
    </row>
    <row r="68" spans="1:13" x14ac:dyDescent="0.25">
      <c r="A68" t="s">
        <v>19</v>
      </c>
      <c r="B68">
        <f t="shared" ref="B68" si="52">B26/7</f>
        <v>6.9245472583411116</v>
      </c>
      <c r="F68" s="57">
        <f t="shared" si="22"/>
        <v>6.9245472583411116</v>
      </c>
      <c r="G68" s="4">
        <f t="shared" si="23"/>
        <v>0</v>
      </c>
      <c r="H68"/>
      <c r="I68"/>
      <c r="J68"/>
      <c r="K68" s="4" t="e">
        <f t="shared" si="24"/>
        <v>#DIV/0!</v>
      </c>
      <c r="L68" s="4" t="e">
        <f t="shared" si="25"/>
        <v>#DIV/0!</v>
      </c>
    </row>
    <row r="69" spans="1:13" x14ac:dyDescent="0.25">
      <c r="A69" t="s">
        <v>20</v>
      </c>
      <c r="F69" s="57" t="e">
        <f t="shared" si="22"/>
        <v>#DIV/0!</v>
      </c>
      <c r="G69" s="4" t="e">
        <f t="shared" si="23"/>
        <v>#DIV/0!</v>
      </c>
      <c r="H69"/>
      <c r="I69"/>
      <c r="J69"/>
      <c r="K69" s="4" t="e">
        <f t="shared" si="24"/>
        <v>#DIV/0!</v>
      </c>
      <c r="L69" s="4" t="e">
        <f t="shared" si="25"/>
        <v>#DIV/0!</v>
      </c>
    </row>
    <row r="70" spans="1:13" x14ac:dyDescent="0.25">
      <c r="A70" t="s">
        <v>21</v>
      </c>
      <c r="B70">
        <f t="shared" ref="B70" si="53">B28/7</f>
        <v>3.2788419137178111</v>
      </c>
      <c r="F70" s="57">
        <f t="shared" si="22"/>
        <v>3.2788419137178111</v>
      </c>
      <c r="G70" s="4">
        <f t="shared" si="23"/>
        <v>0</v>
      </c>
      <c r="H70"/>
      <c r="I70"/>
      <c r="J70"/>
      <c r="K70" s="4" t="e">
        <f t="shared" si="24"/>
        <v>#DIV/0!</v>
      </c>
      <c r="L70" s="4" t="e">
        <f t="shared" si="25"/>
        <v>#DIV/0!</v>
      </c>
    </row>
    <row r="71" spans="1:13" x14ac:dyDescent="0.25">
      <c r="A71" t="s">
        <v>22</v>
      </c>
      <c r="B71">
        <f t="shared" ref="B71:E71" si="54">B29/7</f>
        <v>10.104186305538562</v>
      </c>
      <c r="C71">
        <f t="shared" si="54"/>
        <v>18.337226998940348</v>
      </c>
      <c r="D71">
        <f t="shared" si="54"/>
        <v>16.232955048242278</v>
      </c>
      <c r="E71">
        <f t="shared" si="54"/>
        <v>6.5145411706761776</v>
      </c>
      <c r="F71" s="57">
        <f t="shared" si="22"/>
        <v>12.797227380849341</v>
      </c>
      <c r="G71" s="4">
        <f t="shared" si="23"/>
        <v>4.72282851217755</v>
      </c>
      <c r="H71"/>
      <c r="I71"/>
      <c r="J71"/>
      <c r="K71" s="4" t="e">
        <f t="shared" si="24"/>
        <v>#DIV/0!</v>
      </c>
      <c r="L71" s="4" t="e">
        <f t="shared" si="25"/>
        <v>#DIV/0!</v>
      </c>
    </row>
    <row r="72" spans="1:13" x14ac:dyDescent="0.25">
      <c r="A72" t="s">
        <v>23</v>
      </c>
      <c r="B72">
        <f t="shared" ref="B72:E72" si="55">B30/7</f>
        <v>3.6810790258095873</v>
      </c>
      <c r="C72">
        <f t="shared" si="55"/>
        <v>3.402784391555941</v>
      </c>
      <c r="D72">
        <f t="shared" si="55"/>
        <v>3.2897350762218571</v>
      </c>
      <c r="E72">
        <f t="shared" si="55"/>
        <v>2.750584049841053</v>
      </c>
      <c r="F72" s="57">
        <f t="shared" si="22"/>
        <v>3.2810456358571098</v>
      </c>
      <c r="G72" s="4">
        <f t="shared" si="23"/>
        <v>0.33775436278769633</v>
      </c>
      <c r="H72"/>
      <c r="I72"/>
      <c r="J72"/>
      <c r="K72" s="4" t="e">
        <f t="shared" si="24"/>
        <v>#DIV/0!</v>
      </c>
      <c r="L72" s="4" t="e">
        <f t="shared" si="25"/>
        <v>#DIV/0!</v>
      </c>
    </row>
    <row r="73" spans="1:13" x14ac:dyDescent="0.25">
      <c r="A73" t="s">
        <v>24</v>
      </c>
      <c r="B73">
        <f t="shared" ref="B73:E73" si="56">B31/7</f>
        <v>1.5003185726405743</v>
      </c>
      <c r="C73">
        <f t="shared" si="56"/>
        <v>1.1201473506140034</v>
      </c>
      <c r="D73">
        <f t="shared" si="56"/>
        <v>1.6840310509230936</v>
      </c>
      <c r="E73">
        <f t="shared" si="56"/>
        <v>0.40334430058769</v>
      </c>
      <c r="F73" s="57">
        <f t="shared" si="22"/>
        <v>1.1769603186913402</v>
      </c>
      <c r="G73" s="4">
        <f t="shared" si="23"/>
        <v>0.49076235203289803</v>
      </c>
      <c r="H73"/>
      <c r="I73"/>
      <c r="J73"/>
      <c r="K73" s="4" t="e">
        <f t="shared" si="24"/>
        <v>#DIV/0!</v>
      </c>
      <c r="L73" s="4" t="e">
        <f t="shared" si="25"/>
        <v>#DIV/0!</v>
      </c>
    </row>
    <row r="74" spans="1:13" x14ac:dyDescent="0.25">
      <c r="A74" s="9" t="s">
        <v>25</v>
      </c>
      <c r="B74" s="9">
        <f t="shared" ref="B74" si="57">B32/7</f>
        <v>0.58976191658295363</v>
      </c>
      <c r="C74" s="9"/>
      <c r="D74" s="9"/>
      <c r="E74" s="9"/>
      <c r="F74" s="94">
        <f t="shared" si="22"/>
        <v>0.58976191658295363</v>
      </c>
      <c r="G74" s="48">
        <f t="shared" si="23"/>
        <v>0</v>
      </c>
      <c r="H74" s="9"/>
      <c r="I74" s="9"/>
      <c r="J74" s="9"/>
      <c r="K74" s="48" t="e">
        <f t="shared" si="24"/>
        <v>#DIV/0!</v>
      </c>
      <c r="L74" s="48" t="e">
        <f t="shared" si="25"/>
        <v>#DIV/0!</v>
      </c>
    </row>
    <row r="75" spans="1:13" x14ac:dyDescent="0.25">
      <c r="A75" t="s">
        <v>26</v>
      </c>
      <c r="F75" s="57" t="e">
        <f t="shared" si="22"/>
        <v>#DIV/0!</v>
      </c>
      <c r="G75" s="4" t="e">
        <f t="shared" si="23"/>
        <v>#DIV/0!</v>
      </c>
      <c r="H75"/>
      <c r="I75"/>
      <c r="J75"/>
      <c r="K75" s="4" t="e">
        <f t="shared" si="24"/>
        <v>#DIV/0!</v>
      </c>
      <c r="L75" s="4" t="e">
        <f t="shared" si="25"/>
        <v>#DIV/0!</v>
      </c>
    </row>
    <row r="76" spans="1:13" x14ac:dyDescent="0.25">
      <c r="A76" t="s">
        <v>77</v>
      </c>
      <c r="F76" s="57" t="e">
        <f t="shared" si="22"/>
        <v>#DIV/0!</v>
      </c>
      <c r="G76" s="4" t="e">
        <f t="shared" si="23"/>
        <v>#DIV/0!</v>
      </c>
      <c r="H76">
        <f t="shared" ref="H76" si="58">H34/7</f>
        <v>1.6127202898090862</v>
      </c>
      <c r="I76"/>
      <c r="J76"/>
      <c r="K76" s="4">
        <f t="shared" si="24"/>
        <v>1.6127202898090862</v>
      </c>
      <c r="L76" s="4">
        <f t="shared" si="25"/>
        <v>0</v>
      </c>
    </row>
    <row r="77" spans="1:13" x14ac:dyDescent="0.25">
      <c r="A77" t="s">
        <v>27</v>
      </c>
      <c r="B77">
        <f t="shared" ref="B77:E77" si="59">B35/7</f>
        <v>6.1124089996467834</v>
      </c>
      <c r="C77">
        <f t="shared" si="59"/>
        <v>4.0252449509869068</v>
      </c>
      <c r="D77">
        <f t="shared" si="59"/>
        <v>4.1781023541889413</v>
      </c>
      <c r="E77">
        <f t="shared" si="59"/>
        <v>3.402784391555941</v>
      </c>
      <c r="F77" s="57">
        <f t="shared" si="22"/>
        <v>4.4296351740946429</v>
      </c>
      <c r="G77" s="4">
        <f t="shared" si="23"/>
        <v>1.0140205236580013</v>
      </c>
      <c r="H77">
        <f t="shared" ref="H77:J77" si="60">H35/7</f>
        <v>3.7650580149915553</v>
      </c>
      <c r="I77">
        <f t="shared" si="60"/>
        <v>3.5877183258796341</v>
      </c>
      <c r="J77">
        <f t="shared" si="60"/>
        <v>3.7939090342635207</v>
      </c>
      <c r="K77" s="4">
        <f t="shared" si="24"/>
        <v>3.7155617917115702</v>
      </c>
      <c r="L77" s="4">
        <f t="shared" si="25"/>
        <v>9.11630741956371E-2</v>
      </c>
    </row>
    <row r="78" spans="1:13" x14ac:dyDescent="0.25">
      <c r="A78" t="s">
        <v>28</v>
      </c>
      <c r="B78">
        <f t="shared" ref="B78:E78" si="61">B36/7</f>
        <v>3.8831774821285454</v>
      </c>
      <c r="C78">
        <f t="shared" si="61"/>
        <v>2.750584049841053</v>
      </c>
      <c r="D78">
        <f t="shared" si="61"/>
        <v>2.7814894886033121</v>
      </c>
      <c r="E78">
        <f t="shared" si="61"/>
        <v>2.5786725467259872</v>
      </c>
      <c r="F78" s="57">
        <f t="shared" si="22"/>
        <v>2.9984808918247241</v>
      </c>
      <c r="G78" s="4">
        <f t="shared" si="23"/>
        <v>0.51659104155202695</v>
      </c>
      <c r="H78">
        <f t="shared" ref="H78:J78" si="62">H36/7</f>
        <v>3.1737508267396763</v>
      </c>
      <c r="I78">
        <f t="shared" si="62"/>
        <v>3.2465910096484558</v>
      </c>
      <c r="J78">
        <f t="shared" si="62"/>
        <v>3.6404788894955113</v>
      </c>
      <c r="K78" s="4">
        <f t="shared" si="24"/>
        <v>3.3536069086278815</v>
      </c>
      <c r="L78" s="4">
        <f t="shared" si="25"/>
        <v>0.20501719133889659</v>
      </c>
    </row>
    <row r="79" spans="1:13" x14ac:dyDescent="0.25">
      <c r="A79" t="s">
        <v>29</v>
      </c>
      <c r="B79">
        <f t="shared" ref="B79:E79" si="63">B37/7</f>
        <v>2.3689240620640648</v>
      </c>
      <c r="C79">
        <f t="shared" si="63"/>
        <v>1.716135629016948</v>
      </c>
      <c r="D79">
        <f t="shared" si="63"/>
        <v>1.7745703547361629</v>
      </c>
      <c r="E79">
        <f t="shared" si="63"/>
        <v>1.7556919467070549</v>
      </c>
      <c r="F79" s="57">
        <f t="shared" si="22"/>
        <v>1.9038304981310576</v>
      </c>
      <c r="G79" s="4">
        <f t="shared" si="23"/>
        <v>0.2693485670057208</v>
      </c>
      <c r="H79">
        <f t="shared" ref="H79:J79" si="64">H37/7</f>
        <v>1.9608123919658988</v>
      </c>
      <c r="I79">
        <f t="shared" si="64"/>
        <v>1.9340044100444902</v>
      </c>
      <c r="J79">
        <f t="shared" si="64"/>
        <v>2.0629380373807895</v>
      </c>
      <c r="K79" s="4">
        <f t="shared" si="24"/>
        <v>1.9859182797970594</v>
      </c>
      <c r="L79" s="4">
        <f t="shared" si="25"/>
        <v>5.5549973101505896E-2</v>
      </c>
    </row>
    <row r="80" spans="1:13" x14ac:dyDescent="0.25">
      <c r="A80" t="s">
        <v>30</v>
      </c>
      <c r="B80">
        <f t="shared" ref="B80:E80" si="65">B38/7</f>
        <v>1.0693415312557009</v>
      </c>
      <c r="C80">
        <f t="shared" si="65"/>
        <v>0.59687176488413451</v>
      </c>
      <c r="D80">
        <f t="shared" si="65"/>
        <v>0.58766187415001714</v>
      </c>
      <c r="E80">
        <f t="shared" si="65"/>
        <v>0.31296152273792005</v>
      </c>
      <c r="F80" s="57">
        <f t="shared" si="22"/>
        <v>0.6417091732569431</v>
      </c>
      <c r="G80" s="4">
        <f t="shared" si="23"/>
        <v>0.27197240441803061</v>
      </c>
      <c r="H80">
        <f t="shared" ref="H80:J80" si="66">H38/7</f>
        <v>2.0291193810302848</v>
      </c>
      <c r="I80">
        <f t="shared" si="66"/>
        <v>1.4105559229954117</v>
      </c>
      <c r="J80">
        <f t="shared" si="66"/>
        <v>1.5048788114631899</v>
      </c>
      <c r="K80" s="4">
        <f t="shared" si="24"/>
        <v>1.6481847051629621</v>
      </c>
      <c r="L80" s="4">
        <f t="shared" si="25"/>
        <v>0.27210000891931102</v>
      </c>
    </row>
    <row r="81" spans="1:12" x14ac:dyDescent="0.25">
      <c r="A81" t="s">
        <v>31</v>
      </c>
      <c r="B81">
        <f t="shared" ref="B81:E81" si="67">B39/7</f>
        <v>0.48185414011814071</v>
      </c>
      <c r="C81">
        <f t="shared" si="67"/>
        <v>0.2989765271566362</v>
      </c>
      <c r="D81">
        <f t="shared" si="67"/>
        <v>0.24540526838730581</v>
      </c>
      <c r="E81">
        <f t="shared" si="67"/>
        <v>0.22742541523720233</v>
      </c>
      <c r="F81" s="57">
        <f t="shared" si="22"/>
        <v>0.31341533772482127</v>
      </c>
      <c r="G81" s="4">
        <f t="shared" si="23"/>
        <v>0.10074689288389987</v>
      </c>
      <c r="H81">
        <f t="shared" ref="H81:J81" si="68">H39/7</f>
        <v>0.60305131421606517</v>
      </c>
      <c r="I81">
        <f t="shared" si="68"/>
        <v>0.61048721204856904</v>
      </c>
      <c r="J81">
        <f t="shared" si="68"/>
        <v>0.61086382353040036</v>
      </c>
      <c r="K81" s="4">
        <f t="shared" si="24"/>
        <v>0.60813411659834493</v>
      </c>
      <c r="L81" s="87">
        <f t="shared" si="25"/>
        <v>3.5973711786101846E-3</v>
      </c>
    </row>
    <row r="82" spans="1:12" x14ac:dyDescent="0.25">
      <c r="A82" t="s">
        <v>32</v>
      </c>
      <c r="B82">
        <f t="shared" ref="B82:E82" si="69">B40/7</f>
        <v>0.68479270950399651</v>
      </c>
      <c r="C82">
        <f t="shared" si="69"/>
        <v>0.23277156980319205</v>
      </c>
      <c r="D82">
        <f t="shared" si="69"/>
        <v>0</v>
      </c>
      <c r="E82">
        <f t="shared" si="69"/>
        <v>0</v>
      </c>
      <c r="F82" s="57">
        <f t="shared" si="22"/>
        <v>0.22939106982679713</v>
      </c>
      <c r="G82" s="4">
        <f t="shared" si="23"/>
        <v>0.27957226571735316</v>
      </c>
      <c r="H82">
        <f t="shared" ref="H82:J82" si="70">H40/7</f>
        <v>0.3089579587964989</v>
      </c>
      <c r="I82">
        <f t="shared" si="70"/>
        <v>0.23448028840700427</v>
      </c>
      <c r="J82">
        <f t="shared" si="70"/>
        <v>0.24638224880387632</v>
      </c>
      <c r="K82" s="4">
        <f t="shared" si="24"/>
        <v>0.26327349866912653</v>
      </c>
      <c r="L82" s="4">
        <f t="shared" si="25"/>
        <v>3.2667176065782566E-2</v>
      </c>
    </row>
  </sheetData>
  <conditionalFormatting sqref="F3:F40">
    <cfRule type="colorScale" priority="4">
      <colorScale>
        <cfvo type="min"/>
        <cfvo type="percentile" val="50"/>
        <cfvo type="max"/>
        <color rgb="FF63BE7B"/>
        <color rgb="FFFFEB84"/>
        <color rgb="FFF8696B"/>
      </colorScale>
    </cfRule>
  </conditionalFormatting>
  <conditionalFormatting sqref="K3:K40">
    <cfRule type="colorScale" priority="3">
      <colorScale>
        <cfvo type="min"/>
        <cfvo type="percentile" val="50"/>
        <cfvo type="max"/>
        <color rgb="FF63BE7B"/>
        <color rgb="FFFFEB84"/>
        <color rgb="FFF8696B"/>
      </colorScale>
    </cfRule>
  </conditionalFormatting>
  <conditionalFormatting sqref="F45:F82">
    <cfRule type="colorScale" priority="2">
      <colorScale>
        <cfvo type="min"/>
        <cfvo type="percentile" val="50"/>
        <cfvo type="max"/>
        <color rgb="FF63BE7B"/>
        <color rgb="FFFFEB84"/>
        <color rgb="FFF8696B"/>
      </colorScale>
    </cfRule>
  </conditionalFormatting>
  <conditionalFormatting sqref="K45:K82">
    <cfRule type="colorScale" priority="1">
      <colorScale>
        <cfvo type="min"/>
        <cfvo type="percentile" val="50"/>
        <cfvo type="max"/>
        <color rgb="FF63BE7B"/>
        <color rgb="FFFFEB84"/>
        <color rgb="FFF8696B"/>
      </colorScale>
    </cfRule>
  </conditionalFormatting>
  <pageMargins left="0.7" right="0.7" top="0.78740157499999996" bottom="0.78740157499999996" header="0.3" footer="0.3"/>
  <pageSetup paperSize="9"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C310D3-6078-4B5D-8D70-9AF75C83A5E6}">
  <dimension ref="A1:BC63"/>
  <sheetViews>
    <sheetView zoomScale="70" zoomScaleNormal="70" workbookViewId="0">
      <pane xSplit="3" ySplit="1" topLeftCell="Z2" activePane="bottomRight" state="frozen"/>
      <selection pane="topRight" activeCell="D1" sqref="D1"/>
      <selection pane="bottomLeft" activeCell="A2" sqref="A2"/>
      <selection pane="bottomRight" activeCell="AW4" sqref="AW4"/>
    </sheetView>
  </sheetViews>
  <sheetFormatPr baseColWidth="10" defaultRowHeight="15" x14ac:dyDescent="0.25"/>
  <sheetData>
    <row r="1" spans="2:55" x14ac:dyDescent="0.25">
      <c r="B1" s="50"/>
      <c r="C1" s="51"/>
      <c r="D1" s="51" t="s">
        <v>78</v>
      </c>
      <c r="E1" s="51" t="s">
        <v>79</v>
      </c>
      <c r="F1" s="51" t="s">
        <v>80</v>
      </c>
      <c r="G1" s="51" t="s">
        <v>1</v>
      </c>
      <c r="H1" s="51" t="s">
        <v>2</v>
      </c>
      <c r="I1" s="51" t="s">
        <v>3</v>
      </c>
      <c r="J1" s="51" t="s">
        <v>4</v>
      </c>
      <c r="K1" s="51" t="s">
        <v>5</v>
      </c>
      <c r="L1" s="51" t="s">
        <v>6</v>
      </c>
      <c r="M1" s="51" t="s">
        <v>7</v>
      </c>
      <c r="N1" s="51" t="s">
        <v>8</v>
      </c>
      <c r="O1" s="51" t="s">
        <v>81</v>
      </c>
      <c r="P1" s="51" t="s">
        <v>82</v>
      </c>
      <c r="Q1" s="51" t="s">
        <v>9</v>
      </c>
      <c r="R1" s="51" t="s">
        <v>10</v>
      </c>
      <c r="S1" s="51" t="s">
        <v>11</v>
      </c>
      <c r="T1" s="51" t="s">
        <v>12</v>
      </c>
      <c r="U1" s="51" t="s">
        <v>13</v>
      </c>
      <c r="V1" s="51" t="s">
        <v>14</v>
      </c>
      <c r="W1" s="51" t="s">
        <v>15</v>
      </c>
      <c r="X1" s="51" t="s">
        <v>16</v>
      </c>
      <c r="Y1" s="51" t="s">
        <v>76</v>
      </c>
      <c r="Z1" s="51" t="s">
        <v>18</v>
      </c>
      <c r="AA1" s="51" t="s">
        <v>19</v>
      </c>
      <c r="AB1" s="51" t="s">
        <v>20</v>
      </c>
      <c r="AC1" s="51" t="s">
        <v>21</v>
      </c>
      <c r="AD1" s="51" t="s">
        <v>22</v>
      </c>
      <c r="AE1" s="51" t="s">
        <v>23</v>
      </c>
      <c r="AF1" s="51" t="s">
        <v>24</v>
      </c>
      <c r="AG1" s="51" t="s">
        <v>25</v>
      </c>
      <c r="AH1" s="51" t="s">
        <v>26</v>
      </c>
      <c r="AI1" s="51" t="s">
        <v>77</v>
      </c>
      <c r="AJ1" s="51" t="s">
        <v>27</v>
      </c>
      <c r="AK1" s="51" t="s">
        <v>28</v>
      </c>
      <c r="AL1" s="51" t="s">
        <v>29</v>
      </c>
      <c r="AM1" s="51" t="s">
        <v>30</v>
      </c>
      <c r="AN1" s="51" t="s">
        <v>31</v>
      </c>
      <c r="AO1" s="52" t="s">
        <v>32</v>
      </c>
      <c r="AP1" s="50" t="s">
        <v>86</v>
      </c>
      <c r="AQ1" s="51" t="s">
        <v>94</v>
      </c>
      <c r="AR1" s="51" t="s">
        <v>95</v>
      </c>
      <c r="AS1" s="51" t="s">
        <v>220</v>
      </c>
      <c r="AT1" s="51" t="s">
        <v>263</v>
      </c>
      <c r="AU1" s="51" t="s">
        <v>219</v>
      </c>
      <c r="AV1" s="51" t="s">
        <v>221</v>
      </c>
      <c r="AW1" s="51" t="s">
        <v>131</v>
      </c>
      <c r="AX1" s="51" t="s">
        <v>132</v>
      </c>
      <c r="AY1" s="52" t="s">
        <v>133</v>
      </c>
      <c r="AZ1" s="51" t="s">
        <v>220</v>
      </c>
      <c r="BA1" s="51" t="s">
        <v>263</v>
      </c>
      <c r="BB1" s="51" t="s">
        <v>219</v>
      </c>
      <c r="BC1" s="51" t="s">
        <v>221</v>
      </c>
    </row>
    <row r="2" spans="2:55" x14ac:dyDescent="0.25">
      <c r="B2" s="53" t="s">
        <v>128</v>
      </c>
      <c r="C2" s="53">
        <v>1</v>
      </c>
      <c r="D2" s="3">
        <v>5.1723938859974047E-3</v>
      </c>
      <c r="E2" s="3">
        <v>0</v>
      </c>
      <c r="F2" s="3">
        <v>0</v>
      </c>
      <c r="G2" s="3">
        <v>0</v>
      </c>
      <c r="H2" s="3">
        <v>2.5333937095100499E-4</v>
      </c>
      <c r="I2" s="3">
        <v>1.0040110226742674E-3</v>
      </c>
      <c r="J2" s="3">
        <v>9.5267019176279253E-3</v>
      </c>
      <c r="K2" s="3">
        <v>6.4728707277456499E-4</v>
      </c>
      <c r="L2" s="3">
        <v>0</v>
      </c>
      <c r="M2" s="3">
        <v>0</v>
      </c>
      <c r="N2" s="3">
        <v>0</v>
      </c>
      <c r="O2" s="3">
        <v>0</v>
      </c>
      <c r="P2" s="3">
        <v>0</v>
      </c>
      <c r="Q2" s="3">
        <v>0</v>
      </c>
      <c r="R2" s="3">
        <v>0</v>
      </c>
      <c r="S2" s="3">
        <v>0</v>
      </c>
      <c r="T2" s="3">
        <v>0</v>
      </c>
      <c r="U2" s="3">
        <v>0</v>
      </c>
      <c r="V2" s="3">
        <v>0</v>
      </c>
      <c r="W2" s="3">
        <v>0</v>
      </c>
      <c r="X2" s="3">
        <v>0</v>
      </c>
      <c r="Y2" s="3">
        <v>0</v>
      </c>
      <c r="Z2" s="3">
        <v>0</v>
      </c>
      <c r="AA2" s="3">
        <v>1.3230305350351995E-5</v>
      </c>
      <c r="AB2" s="3">
        <v>0</v>
      </c>
      <c r="AC2" s="3">
        <v>0</v>
      </c>
      <c r="AD2" s="3">
        <v>0</v>
      </c>
      <c r="AE2" s="3">
        <v>0</v>
      </c>
      <c r="AF2" s="3">
        <v>0</v>
      </c>
      <c r="AG2" s="3">
        <v>0</v>
      </c>
      <c r="AH2" s="3">
        <v>0</v>
      </c>
      <c r="AI2" s="3">
        <v>0</v>
      </c>
      <c r="AJ2" s="3">
        <v>0</v>
      </c>
      <c r="AK2" s="3">
        <v>0</v>
      </c>
      <c r="AL2" s="3">
        <v>0</v>
      </c>
      <c r="AM2" s="3">
        <v>0</v>
      </c>
      <c r="AN2" s="3">
        <v>0</v>
      </c>
      <c r="AO2" s="28">
        <v>0</v>
      </c>
      <c r="AP2" s="56">
        <f>SUM(D2:AO2)</f>
        <v>1.661696357537552E-2</v>
      </c>
      <c r="AQ2" s="3">
        <f>SUM(D2:X2)</f>
        <v>1.6603733270025168E-2</v>
      </c>
      <c r="AR2" s="3">
        <f>SUM(Y2:AO2)</f>
        <v>1.3230305350351995E-5</v>
      </c>
      <c r="AS2" s="3">
        <f>SUM(D2:N2)</f>
        <v>1.6603733270025168E-2</v>
      </c>
      <c r="AT2" s="3">
        <f>SUM(Y2:AG2)</f>
        <v>1.3230305350351995E-5</v>
      </c>
      <c r="AU2" s="3">
        <f>SUM(O2:X2)</f>
        <v>0</v>
      </c>
      <c r="AV2" s="3">
        <f>SUM(AH2:AO2)</f>
        <v>0</v>
      </c>
      <c r="AW2" s="3">
        <v>9.5836463403813493E-3</v>
      </c>
      <c r="AX2" s="3">
        <v>9.6065132580350002E-3</v>
      </c>
      <c r="AY2" s="28">
        <v>2.2915561066460012E-5</v>
      </c>
      <c r="AZ2" s="56">
        <v>9.6065132580350002E-3</v>
      </c>
      <c r="BA2" s="3">
        <v>2.2915561066460012E-5</v>
      </c>
      <c r="BB2" s="3">
        <v>0</v>
      </c>
      <c r="BC2" s="28">
        <v>0</v>
      </c>
    </row>
    <row r="3" spans="2:55" x14ac:dyDescent="0.25">
      <c r="B3" s="54"/>
      <c r="C3" s="54">
        <v>5</v>
      </c>
      <c r="D3" s="47">
        <v>0.85321208016812011</v>
      </c>
      <c r="E3" s="47">
        <v>1.3417906553632578E-2</v>
      </c>
      <c r="F3" s="47">
        <v>0</v>
      </c>
      <c r="G3" s="47">
        <v>0</v>
      </c>
      <c r="H3" s="47">
        <v>7.117249006218368E-2</v>
      </c>
      <c r="I3" s="47">
        <v>3.4768101231260175E-3</v>
      </c>
      <c r="J3" s="47">
        <v>2.0213739617112324E-2</v>
      </c>
      <c r="K3" s="47">
        <v>5.5917078665083803E-3</v>
      </c>
      <c r="L3" s="47">
        <v>1.97412126330273E-3</v>
      </c>
      <c r="M3" s="47">
        <v>0</v>
      </c>
      <c r="N3" s="47">
        <v>0</v>
      </c>
      <c r="O3" s="47">
        <v>0</v>
      </c>
      <c r="P3" s="47">
        <v>0</v>
      </c>
      <c r="Q3" s="47">
        <v>0</v>
      </c>
      <c r="R3" s="47">
        <v>0</v>
      </c>
      <c r="S3" s="47">
        <v>0.76866936520161011</v>
      </c>
      <c r="T3" s="47">
        <v>0.47404368291357957</v>
      </c>
      <c r="U3" s="47">
        <v>0.3304335211617157</v>
      </c>
      <c r="V3" s="47">
        <v>3.172583200893675E-2</v>
      </c>
      <c r="W3" s="47">
        <v>1.1606909627734998E-2</v>
      </c>
      <c r="X3" s="47">
        <v>0</v>
      </c>
      <c r="Y3" s="47">
        <v>0</v>
      </c>
      <c r="Z3" s="47">
        <v>0</v>
      </c>
      <c r="AA3" s="47">
        <v>6.6656346684719038E-3</v>
      </c>
      <c r="AB3" s="47">
        <v>4.1172349751166751E-4</v>
      </c>
      <c r="AC3" s="47">
        <v>0</v>
      </c>
      <c r="AD3" s="47">
        <v>0</v>
      </c>
      <c r="AE3" s="47">
        <v>7.0205606805730182E-4</v>
      </c>
      <c r="AF3" s="47">
        <v>2.5133203793562845E-3</v>
      </c>
      <c r="AG3" s="47">
        <v>2.7415149856105272E-3</v>
      </c>
      <c r="AH3" s="47">
        <v>0</v>
      </c>
      <c r="AI3" s="47">
        <v>0</v>
      </c>
      <c r="AJ3" s="47">
        <v>0.14172760057861289</v>
      </c>
      <c r="AK3" s="47">
        <v>0.80640764981079505</v>
      </c>
      <c r="AL3" s="47">
        <v>0.20883309613596324</v>
      </c>
      <c r="AM3" s="47">
        <v>0.18899551615248475</v>
      </c>
      <c r="AN3" s="47">
        <v>5.4757186843355177E-2</v>
      </c>
      <c r="AO3" s="6">
        <v>2.5464359033751355E-2</v>
      </c>
      <c r="AP3" s="25">
        <f t="shared" ref="AP3:AP32" si="0">SUM(D3:AO3)</f>
        <v>4.0247578247215339</v>
      </c>
      <c r="AQ3" s="47">
        <f t="shared" ref="AQ3:AQ32" si="1">SUM(D3:X3)</f>
        <v>2.585538166567563</v>
      </c>
      <c r="AR3" s="47">
        <f t="shared" ref="AR3:AR32" si="2">SUM(Y3:AO3)</f>
        <v>1.4392196581539702</v>
      </c>
      <c r="AS3" s="47">
        <f t="shared" ref="AS3:AS32" si="3">SUM(D3:N3)</f>
        <v>0.96905885565398597</v>
      </c>
      <c r="AT3" s="47">
        <f t="shared" ref="AT3:AT32" si="4">SUM(Y3:AG3)</f>
        <v>1.3034249599007685E-2</v>
      </c>
      <c r="AU3" s="47">
        <f t="shared" ref="AU3:AU32" si="5">SUM(O3:X3)</f>
        <v>1.6164793109135771</v>
      </c>
      <c r="AV3" s="47">
        <f t="shared" ref="AV3:AV32" si="6">SUM(AH3:AO3)</f>
        <v>1.4261854085549623</v>
      </c>
      <c r="AW3" s="47">
        <v>3.3465664383896825</v>
      </c>
      <c r="AX3" s="47">
        <v>2.1983966060555189</v>
      </c>
      <c r="AY3" s="6">
        <v>1.1561948339156347</v>
      </c>
      <c r="AZ3" s="25">
        <v>0.95306446352048912</v>
      </c>
      <c r="BA3" s="47">
        <v>1.3085013061825764E-2</v>
      </c>
      <c r="BB3" s="47">
        <v>1.2720638111124059</v>
      </c>
      <c r="BC3" s="6">
        <v>1.1435876887882113</v>
      </c>
    </row>
    <row r="4" spans="2:55" x14ac:dyDescent="0.25">
      <c r="B4" s="54"/>
      <c r="C4" s="54">
        <v>17</v>
      </c>
      <c r="D4" s="47">
        <v>2.3089174589498578</v>
      </c>
      <c r="E4" s="47">
        <v>4.0332966435350448E-2</v>
      </c>
      <c r="F4" s="47">
        <v>0</v>
      </c>
      <c r="G4" s="47">
        <v>0</v>
      </c>
      <c r="H4" s="47">
        <v>0.1414289265028722</v>
      </c>
      <c r="I4" s="47">
        <v>9.7374995094770336E-3</v>
      </c>
      <c r="J4" s="47">
        <v>5.8444619636963291E-2</v>
      </c>
      <c r="K4" s="47">
        <v>2.8027010168973979E-2</v>
      </c>
      <c r="L4" s="47">
        <v>2.3854710311027448E-2</v>
      </c>
      <c r="M4" s="47">
        <v>8.3714475931800682E-3</v>
      </c>
      <c r="N4" s="47">
        <v>1.9510441128170802E-3</v>
      </c>
      <c r="O4" s="47">
        <v>0</v>
      </c>
      <c r="P4" s="47">
        <v>0</v>
      </c>
      <c r="Q4" s="47">
        <v>1.1669057824726343E-2</v>
      </c>
      <c r="R4" s="47">
        <v>8.0804028258339468E-3</v>
      </c>
      <c r="S4" s="47">
        <v>7.4547068733911726</v>
      </c>
      <c r="T4" s="47">
        <v>4.7880910271523653</v>
      </c>
      <c r="U4" s="47">
        <v>2.7656977465827026</v>
      </c>
      <c r="V4" s="47">
        <v>0.25512834508986248</v>
      </c>
      <c r="W4" s="47">
        <v>0.12933294383887428</v>
      </c>
      <c r="X4" s="47">
        <v>1.5083610966765599E-2</v>
      </c>
      <c r="Y4" s="47">
        <v>0</v>
      </c>
      <c r="Z4" s="47">
        <v>0</v>
      </c>
      <c r="AA4" s="47">
        <v>1.6566822189054919E-2</v>
      </c>
      <c r="AB4" s="47">
        <v>1.4264531186678039E-3</v>
      </c>
      <c r="AC4" s="47">
        <v>7.0955579918327496E-4</v>
      </c>
      <c r="AD4" s="47">
        <v>9.5527262010306237E-3</v>
      </c>
      <c r="AE4" s="47">
        <v>3.5557836605531926E-2</v>
      </c>
      <c r="AF4" s="47">
        <v>2.0303427222428429E-2</v>
      </c>
      <c r="AG4" s="47">
        <v>1.4997562172844203E-2</v>
      </c>
      <c r="AH4" s="47">
        <v>0</v>
      </c>
      <c r="AI4" s="47">
        <v>0</v>
      </c>
      <c r="AJ4" s="47">
        <v>0.99622041122724947</v>
      </c>
      <c r="AK4" s="47">
        <v>10.134075497016578</v>
      </c>
      <c r="AL4" s="47">
        <v>2.0577039885451338</v>
      </c>
      <c r="AM4" s="47">
        <v>1.1944071029853354</v>
      </c>
      <c r="AN4" s="47">
        <v>0.26709595247278245</v>
      </c>
      <c r="AO4" s="6">
        <v>0.12181007200107703</v>
      </c>
      <c r="AP4" s="25">
        <f t="shared" si="0"/>
        <v>32.919283098449718</v>
      </c>
      <c r="AQ4" s="47">
        <f t="shared" si="1"/>
        <v>18.048855690892822</v>
      </c>
      <c r="AR4" s="47">
        <f t="shared" si="2"/>
        <v>14.870427407556898</v>
      </c>
      <c r="AS4" s="47">
        <f t="shared" si="3"/>
        <v>2.6210656832205195</v>
      </c>
      <c r="AT4" s="47">
        <f t="shared" si="4"/>
        <v>9.9114383308741172E-2</v>
      </c>
      <c r="AU4" s="47">
        <f t="shared" si="5"/>
        <v>15.427790007672302</v>
      </c>
      <c r="AV4" s="47">
        <f t="shared" si="6"/>
        <v>14.771313024248157</v>
      </c>
      <c r="AW4" s="47">
        <v>12.84202120343325</v>
      </c>
      <c r="AX4" s="47">
        <v>6.2522435819003901</v>
      </c>
      <c r="AY4" s="6">
        <v>6.5968239571336404</v>
      </c>
      <c r="AZ4" s="25">
        <v>1.0600899207972128</v>
      </c>
      <c r="BA4" s="47">
        <v>3.7180207714688142E-2</v>
      </c>
      <c r="BB4" s="47">
        <v>5.8007955152512913</v>
      </c>
      <c r="BC4" s="6">
        <v>6.559965183624497</v>
      </c>
    </row>
    <row r="5" spans="2:55" x14ac:dyDescent="0.25">
      <c r="B5" s="54"/>
      <c r="C5" s="54">
        <v>38</v>
      </c>
      <c r="D5" s="47">
        <v>0.61947876401251878</v>
      </c>
      <c r="E5" s="47">
        <v>1.5853995684656501E-2</v>
      </c>
      <c r="F5" s="47">
        <v>0</v>
      </c>
      <c r="G5" s="47">
        <v>0</v>
      </c>
      <c r="H5" s="47">
        <v>2.5698304791204801E-2</v>
      </c>
      <c r="I5" s="47">
        <v>4.4841359669472742E-3</v>
      </c>
      <c r="J5" s="47">
        <v>7.2693502659969059E-2</v>
      </c>
      <c r="K5" s="47">
        <v>3.8092317237744699E-2</v>
      </c>
      <c r="L5" s="47">
        <v>2.8409015678178148E-2</v>
      </c>
      <c r="M5" s="47">
        <v>1.0017572817538165E-2</v>
      </c>
      <c r="N5" s="47">
        <v>1.751743256959135E-3</v>
      </c>
      <c r="O5" s="47">
        <v>0</v>
      </c>
      <c r="P5" s="47">
        <v>0</v>
      </c>
      <c r="Q5" s="47">
        <v>1.9639776176058475E-2</v>
      </c>
      <c r="R5" s="47">
        <v>1.5628639064206949E-2</v>
      </c>
      <c r="S5" s="47">
        <v>11.605000344309133</v>
      </c>
      <c r="T5" s="47">
        <v>9.1402489407894727</v>
      </c>
      <c r="U5" s="47">
        <v>3.6659224497913052</v>
      </c>
      <c r="V5" s="47">
        <v>0.29728735555045505</v>
      </c>
      <c r="W5" s="47">
        <v>0.13548303765611597</v>
      </c>
      <c r="X5" s="47">
        <v>2.2057276647693649E-2</v>
      </c>
      <c r="Y5" s="47">
        <v>0</v>
      </c>
      <c r="Z5" s="47">
        <v>0</v>
      </c>
      <c r="AA5" s="47">
        <v>3.3886488638472266E-3</v>
      </c>
      <c r="AB5" s="47">
        <v>6.5905630316147123E-5</v>
      </c>
      <c r="AC5" s="47">
        <v>3.4930438908842999E-3</v>
      </c>
      <c r="AD5" s="47">
        <v>1.5172736562437047E-2</v>
      </c>
      <c r="AE5" s="47">
        <v>4.9795363117221818E-2</v>
      </c>
      <c r="AF5" s="47">
        <v>1.6244120266830316E-2</v>
      </c>
      <c r="AG5" s="47">
        <v>4.8260881816243545E-3</v>
      </c>
      <c r="AH5" s="47">
        <v>0</v>
      </c>
      <c r="AI5" s="47">
        <v>0</v>
      </c>
      <c r="AJ5" s="47">
        <v>2.1150749164059017</v>
      </c>
      <c r="AK5" s="47">
        <v>19.204016230503196</v>
      </c>
      <c r="AL5" s="47">
        <v>2.6862473119152526</v>
      </c>
      <c r="AM5" s="47">
        <v>0.73668682239732575</v>
      </c>
      <c r="AN5" s="47">
        <v>0.1014179690881214</v>
      </c>
      <c r="AO5" s="6">
        <v>3.3668774822408515E-2</v>
      </c>
      <c r="AP5" s="25">
        <f t="shared" si="0"/>
        <v>50.687845103735519</v>
      </c>
      <c r="AQ5" s="47">
        <f t="shared" si="1"/>
        <v>25.717747172090156</v>
      </c>
      <c r="AR5" s="47">
        <f t="shared" si="2"/>
        <v>24.970097931645366</v>
      </c>
      <c r="AS5" s="47">
        <f t="shared" si="3"/>
        <v>0.81647935210571654</v>
      </c>
      <c r="AT5" s="47">
        <f t="shared" si="4"/>
        <v>9.2985906513161215E-2</v>
      </c>
      <c r="AU5" s="47">
        <f t="shared" si="5"/>
        <v>24.90126781998444</v>
      </c>
      <c r="AV5" s="47">
        <f t="shared" si="6"/>
        <v>24.877112025132206</v>
      </c>
      <c r="AW5" s="47">
        <v>21.572520705513451</v>
      </c>
      <c r="AX5" s="47">
        <v>9.6932056701813689</v>
      </c>
      <c r="AY5" s="6">
        <v>11.919456660230276</v>
      </c>
      <c r="AZ5" s="25">
        <v>8.8270113122027968E-2</v>
      </c>
      <c r="BA5" s="47">
        <v>3.4394041804707745E-2</v>
      </c>
      <c r="BB5" s="47">
        <v>9.7533782804662756</v>
      </c>
      <c r="BC5" s="6">
        <v>11.885149355934777</v>
      </c>
    </row>
    <row r="6" spans="2:55" x14ac:dyDescent="0.25">
      <c r="B6" s="54"/>
      <c r="C6" s="54">
        <v>54</v>
      </c>
      <c r="D6" s="47">
        <v>0.93878124748748693</v>
      </c>
      <c r="E6" s="47">
        <v>1.9572606556625478E-2</v>
      </c>
      <c r="F6" s="47">
        <v>0</v>
      </c>
      <c r="G6" s="47">
        <v>0</v>
      </c>
      <c r="H6" s="47">
        <v>3.641465374733014E-2</v>
      </c>
      <c r="I6" s="47">
        <v>2.8477948201427973E-3</v>
      </c>
      <c r="J6" s="47">
        <v>6.9340278462715399E-2</v>
      </c>
      <c r="K6" s="47">
        <v>3.2621673697004923E-2</v>
      </c>
      <c r="L6" s="47">
        <v>2.4411039298320149E-2</v>
      </c>
      <c r="M6" s="47">
        <v>6.7601928425284645E-3</v>
      </c>
      <c r="N6" s="47">
        <v>3.1638680952942376E-3</v>
      </c>
      <c r="O6" s="47">
        <v>0</v>
      </c>
      <c r="P6" s="47">
        <v>0</v>
      </c>
      <c r="Q6" s="47">
        <v>1.2951559184429225E-2</v>
      </c>
      <c r="R6" s="47">
        <v>1.533833398812855E-2</v>
      </c>
      <c r="S6" s="47">
        <v>12.114684260748042</v>
      </c>
      <c r="T6" s="47">
        <v>7.8088782781780939</v>
      </c>
      <c r="U6" s="47">
        <v>5.1831890988993026</v>
      </c>
      <c r="V6" s="47">
        <v>0.26429538497007299</v>
      </c>
      <c r="W6" s="47">
        <v>0.123179478032613</v>
      </c>
      <c r="X6" s="47">
        <v>1.6188053596271425E-2</v>
      </c>
      <c r="Y6" s="47">
        <v>0</v>
      </c>
      <c r="Z6" s="47">
        <v>0</v>
      </c>
      <c r="AA6" s="47">
        <v>4.4242580664495736E-3</v>
      </c>
      <c r="AB6" s="47">
        <v>6.7760773280484135E-5</v>
      </c>
      <c r="AC6" s="47">
        <v>8.4950384452249386E-4</v>
      </c>
      <c r="AD6" s="47">
        <v>1.4890973369154729E-2</v>
      </c>
      <c r="AE6" s="47">
        <v>3.891122778689754E-2</v>
      </c>
      <c r="AF6" s="47">
        <v>1.2913500800577613E-2</v>
      </c>
      <c r="AG6" s="47">
        <v>4.8088299198440635E-3</v>
      </c>
      <c r="AH6" s="47">
        <v>0</v>
      </c>
      <c r="AI6" s="47">
        <v>0</v>
      </c>
      <c r="AJ6" s="47">
        <v>2.3834637520754574</v>
      </c>
      <c r="AK6" s="47">
        <v>19.288553936407038</v>
      </c>
      <c r="AL6" s="47">
        <v>3.0188717339607516</v>
      </c>
      <c r="AM6" s="47">
        <v>0.7454181149147433</v>
      </c>
      <c r="AN6" s="47">
        <v>0.15013892063543224</v>
      </c>
      <c r="AO6" s="6">
        <v>6.3004407723677242E-2</v>
      </c>
      <c r="AP6" s="25">
        <f t="shared" si="0"/>
        <v>52.398934722882231</v>
      </c>
      <c r="AQ6" s="47">
        <f t="shared" si="1"/>
        <v>26.6726178026044</v>
      </c>
      <c r="AR6" s="47">
        <f t="shared" si="2"/>
        <v>25.726316920277824</v>
      </c>
      <c r="AS6" s="47">
        <f t="shared" si="3"/>
        <v>1.1339133550074485</v>
      </c>
      <c r="AT6" s="47">
        <f t="shared" si="4"/>
        <v>7.6866054560726496E-2</v>
      </c>
      <c r="AU6" s="47">
        <f t="shared" si="5"/>
        <v>25.538704447596952</v>
      </c>
      <c r="AV6" s="47">
        <f t="shared" si="6"/>
        <v>25.649450865717096</v>
      </c>
      <c r="AW6" s="47">
        <v>4.1354076412082472</v>
      </c>
      <c r="AX6" s="47">
        <v>3.8329091347645869</v>
      </c>
      <c r="AY6" s="6">
        <v>4.2743809710554546</v>
      </c>
      <c r="AZ6" s="25">
        <v>0.1927459706767275</v>
      </c>
      <c r="BA6" s="47">
        <v>1.1770957841105961E-2</v>
      </c>
      <c r="BB6" s="47">
        <v>3.8120307401643294</v>
      </c>
      <c r="BC6" s="6">
        <v>4.2628424915208916</v>
      </c>
    </row>
    <row r="7" spans="2:55" x14ac:dyDescent="0.25">
      <c r="B7" s="54"/>
      <c r="C7" s="54">
        <v>57</v>
      </c>
      <c r="D7" s="47">
        <v>0.40822934085581897</v>
      </c>
      <c r="E7" s="47">
        <v>8.6545184158462306E-3</v>
      </c>
      <c r="F7" s="47">
        <v>0</v>
      </c>
      <c r="G7" s="47">
        <v>0</v>
      </c>
      <c r="H7" s="47">
        <v>1.5278870960463086E-2</v>
      </c>
      <c r="I7" s="47">
        <v>3.0239708036575519E-3</v>
      </c>
      <c r="J7" s="47">
        <v>8.4880293294181008E-2</v>
      </c>
      <c r="K7" s="47">
        <v>4.058967984185665E-2</v>
      </c>
      <c r="L7" s="47">
        <v>2.979014133004175E-2</v>
      </c>
      <c r="M7" s="47">
        <v>9.9662282371779948E-3</v>
      </c>
      <c r="N7" s="47">
        <v>2.5899188419415452E-3</v>
      </c>
      <c r="O7" s="47">
        <v>0</v>
      </c>
      <c r="P7" s="47">
        <v>0</v>
      </c>
      <c r="Q7" s="47">
        <v>1.2746547846229405E-2</v>
      </c>
      <c r="R7" s="47">
        <v>1.5669051325312426E-2</v>
      </c>
      <c r="S7" s="47">
        <v>14.076704224348823</v>
      </c>
      <c r="T7" s="47">
        <v>10.780668198294162</v>
      </c>
      <c r="U7" s="47">
        <v>4.0865793591024495</v>
      </c>
      <c r="V7" s="47">
        <v>0.34071257998891524</v>
      </c>
      <c r="W7" s="47">
        <v>0.16384706643913874</v>
      </c>
      <c r="X7" s="47">
        <v>2.6691177867022724E-2</v>
      </c>
      <c r="Y7" s="47">
        <v>0</v>
      </c>
      <c r="Z7" s="47">
        <v>0</v>
      </c>
      <c r="AA7" s="47">
        <v>1.1115165815001008E-3</v>
      </c>
      <c r="AB7" s="47">
        <v>2.7385540593418113E-5</v>
      </c>
      <c r="AC7" s="47">
        <v>9.1641143603447622E-4</v>
      </c>
      <c r="AD7" s="47">
        <v>1.6622288173280701E-2</v>
      </c>
      <c r="AE7" s="47">
        <v>4.6756776342572602E-2</v>
      </c>
      <c r="AF7" s="47">
        <v>1.5065663346580231E-2</v>
      </c>
      <c r="AG7" s="47">
        <v>5.9025164979644466E-3</v>
      </c>
      <c r="AH7" s="47">
        <v>0</v>
      </c>
      <c r="AI7" s="47">
        <v>0</v>
      </c>
      <c r="AJ7" s="47">
        <v>2.4059463786285447</v>
      </c>
      <c r="AK7" s="47">
        <v>23.175070493982599</v>
      </c>
      <c r="AL7" s="47">
        <v>2.8364254659032624</v>
      </c>
      <c r="AM7" s="47">
        <v>0.81545233186239652</v>
      </c>
      <c r="AN7" s="47">
        <v>0.14310612453179825</v>
      </c>
      <c r="AO7" s="6">
        <v>4.7832423123505712E-2</v>
      </c>
      <c r="AP7" s="25">
        <f t="shared" si="0"/>
        <v>59.616856943743677</v>
      </c>
      <c r="AQ7" s="47">
        <f t="shared" si="1"/>
        <v>30.10662116779304</v>
      </c>
      <c r="AR7" s="47">
        <f t="shared" si="2"/>
        <v>29.51023577595063</v>
      </c>
      <c r="AS7" s="47">
        <f t="shared" si="3"/>
        <v>0.60300296258098496</v>
      </c>
      <c r="AT7" s="47">
        <f t="shared" si="4"/>
        <v>8.6402557918525968E-2</v>
      </c>
      <c r="AU7" s="47">
        <f t="shared" si="5"/>
        <v>29.503618205212053</v>
      </c>
      <c r="AV7" s="47">
        <f t="shared" si="6"/>
        <v>29.423833218032104</v>
      </c>
      <c r="AW7" s="47">
        <v>12.611270133621115</v>
      </c>
      <c r="AX7" s="47">
        <v>5.9830711736876871</v>
      </c>
      <c r="AY7" s="6">
        <v>6.6324222475905517</v>
      </c>
      <c r="AZ7" s="25">
        <v>0.21997773679469632</v>
      </c>
      <c r="BA7" s="47">
        <v>2.7575411464292651E-2</v>
      </c>
      <c r="BB7" s="47">
        <v>5.8646010249585414</v>
      </c>
      <c r="BC7" s="6">
        <v>6.6051556319261522</v>
      </c>
    </row>
    <row r="8" spans="2:55" x14ac:dyDescent="0.25">
      <c r="B8" s="54"/>
      <c r="C8" s="54">
        <v>61</v>
      </c>
      <c r="D8" s="47">
        <v>7.3325058500185898E-3</v>
      </c>
      <c r="E8" s="47">
        <v>0</v>
      </c>
      <c r="F8" s="47">
        <v>0</v>
      </c>
      <c r="G8" s="47">
        <v>0</v>
      </c>
      <c r="H8" s="47">
        <v>1.5661228155799275E-3</v>
      </c>
      <c r="I8" s="47">
        <v>1.962361435948265E-3</v>
      </c>
      <c r="J8" s="47">
        <v>6.3439920700409339E-2</v>
      </c>
      <c r="K8" s="47">
        <v>3.054371713531593E-2</v>
      </c>
      <c r="L8" s="47">
        <v>2.1161698122101426E-2</v>
      </c>
      <c r="M8" s="47">
        <v>5.7717847948439401E-3</v>
      </c>
      <c r="N8" s="47">
        <v>8.236536660502225E-4</v>
      </c>
      <c r="O8" s="47">
        <v>0</v>
      </c>
      <c r="P8" s="47">
        <v>0</v>
      </c>
      <c r="Q8" s="47">
        <v>6.5082837532847099E-3</v>
      </c>
      <c r="R8" s="47">
        <v>1.071599614779597E-2</v>
      </c>
      <c r="S8" s="47">
        <v>10.044136137578262</v>
      </c>
      <c r="T8" s="47">
        <v>7.1658652879994094</v>
      </c>
      <c r="U8" s="47">
        <v>2.3999744360749475</v>
      </c>
      <c r="V8" s="47">
        <v>0.18284579112865801</v>
      </c>
      <c r="W8" s="47">
        <v>9.2933531679118456E-2</v>
      </c>
      <c r="X8" s="47">
        <v>1.589937472433375E-2</v>
      </c>
      <c r="Y8" s="47">
        <v>0</v>
      </c>
      <c r="Z8" s="47">
        <v>0</v>
      </c>
      <c r="AA8" s="47">
        <v>3.1928429689304621E-5</v>
      </c>
      <c r="AB8" s="47">
        <v>0</v>
      </c>
      <c r="AC8" s="47">
        <v>6.1888828582567883E-4</v>
      </c>
      <c r="AD8" s="47">
        <v>1.2666054158735484E-2</v>
      </c>
      <c r="AE8" s="47">
        <v>3.4086192039754264E-2</v>
      </c>
      <c r="AF8" s="47">
        <v>7.2384018726777879E-3</v>
      </c>
      <c r="AG8" s="47">
        <v>6.2150509336594503E-4</v>
      </c>
      <c r="AH8" s="47">
        <v>0</v>
      </c>
      <c r="AI8" s="47">
        <v>0</v>
      </c>
      <c r="AJ8" s="47">
        <v>1.4996158559246471</v>
      </c>
      <c r="AK8" s="47">
        <v>13.345218149352268</v>
      </c>
      <c r="AL8" s="47">
        <v>1.3922926922367131</v>
      </c>
      <c r="AM8" s="47">
        <v>0.28691628090800103</v>
      </c>
      <c r="AN8" s="47">
        <v>3.4190712570129053E-2</v>
      </c>
      <c r="AO8" s="6">
        <v>5.1645926733535075E-3</v>
      </c>
      <c r="AP8" s="25">
        <f t="shared" si="0"/>
        <v>36.670141857151243</v>
      </c>
      <c r="AQ8" s="47">
        <f t="shared" si="1"/>
        <v>20.051480603606077</v>
      </c>
      <c r="AR8" s="47">
        <f t="shared" si="2"/>
        <v>16.618661253545163</v>
      </c>
      <c r="AS8" s="47">
        <f t="shared" si="3"/>
        <v>0.13260176452026765</v>
      </c>
      <c r="AT8" s="47">
        <f t="shared" si="4"/>
        <v>5.5262969880048467E-2</v>
      </c>
      <c r="AU8" s="47">
        <f t="shared" si="5"/>
        <v>19.91887883908581</v>
      </c>
      <c r="AV8" s="47">
        <f t="shared" si="6"/>
        <v>16.563398283665112</v>
      </c>
      <c r="AW8" s="47">
        <v>10.69402750562489</v>
      </c>
      <c r="AX8" s="47">
        <v>5.5622325839925972</v>
      </c>
      <c r="AY8" s="6">
        <v>5.2162326693302585</v>
      </c>
      <c r="AZ8" s="25">
        <v>3.9079475940230611E-2</v>
      </c>
      <c r="BA8" s="47">
        <v>1.2530429767873177E-2</v>
      </c>
      <c r="BB8" s="47">
        <v>5.5239581260292248</v>
      </c>
      <c r="BC8" s="6">
        <v>5.2043749486045074</v>
      </c>
    </row>
    <row r="9" spans="2:55" x14ac:dyDescent="0.25">
      <c r="B9" s="54"/>
      <c r="C9" s="54">
        <v>73</v>
      </c>
      <c r="D9" s="47">
        <v>6.1730808417599196E-3</v>
      </c>
      <c r="E9" s="47">
        <v>0</v>
      </c>
      <c r="F9" s="47">
        <v>0</v>
      </c>
      <c r="G9" s="47">
        <v>0</v>
      </c>
      <c r="H9" s="47">
        <v>1.55329173132934E-3</v>
      </c>
      <c r="I9" s="47">
        <v>1.2529159968816248E-3</v>
      </c>
      <c r="J9" s="47">
        <v>7.5488264432546637E-2</v>
      </c>
      <c r="K9" s="47">
        <v>3.1717888853727096E-2</v>
      </c>
      <c r="L9" s="47">
        <v>1.6928699171639375E-2</v>
      </c>
      <c r="M9" s="47">
        <v>4.064834119247851E-3</v>
      </c>
      <c r="N9" s="47">
        <v>0</v>
      </c>
      <c r="O9" s="47">
        <v>0</v>
      </c>
      <c r="P9" s="47">
        <v>0</v>
      </c>
      <c r="Q9" s="47">
        <v>0</v>
      </c>
      <c r="R9" s="47">
        <v>1.0571896179888364E-2</v>
      </c>
      <c r="S9" s="47">
        <v>11.184738733030041</v>
      </c>
      <c r="T9" s="47">
        <v>7.5917563297611821</v>
      </c>
      <c r="U9" s="47">
        <v>1.8726619176715349</v>
      </c>
      <c r="V9" s="47">
        <v>0.10104042566593087</v>
      </c>
      <c r="W9" s="47">
        <v>3.7776014463438895E-2</v>
      </c>
      <c r="X9" s="47">
        <v>6.7874211799915842E-3</v>
      </c>
      <c r="Y9" s="47">
        <v>0</v>
      </c>
      <c r="Z9" s="47">
        <v>0</v>
      </c>
      <c r="AA9" s="47">
        <v>1.0079106685117994E-5</v>
      </c>
      <c r="AB9" s="47">
        <v>0</v>
      </c>
      <c r="AC9" s="47">
        <v>5.0517857492787756E-4</v>
      </c>
      <c r="AD9" s="47">
        <v>1.5560484120744669E-2</v>
      </c>
      <c r="AE9" s="47">
        <v>2.6381674552878129E-2</v>
      </c>
      <c r="AF9" s="47">
        <v>2.5396506640408185E-3</v>
      </c>
      <c r="AG9" s="47">
        <v>6.8681134312208994E-5</v>
      </c>
      <c r="AH9" s="47">
        <v>0</v>
      </c>
      <c r="AI9" s="47">
        <v>0</v>
      </c>
      <c r="AJ9" s="47">
        <v>1.7641916354149023</v>
      </c>
      <c r="AK9" s="47">
        <v>15.207864218962332</v>
      </c>
      <c r="AL9" s="47">
        <v>0.90250363309860937</v>
      </c>
      <c r="AM9" s="47">
        <v>3.943240579007358E-2</v>
      </c>
      <c r="AN9" s="47">
        <v>7.06158355288255E-4</v>
      </c>
      <c r="AO9" s="6">
        <v>5.2049790325361879E-4</v>
      </c>
      <c r="AP9" s="25">
        <f t="shared" si="0"/>
        <v>38.902796010777188</v>
      </c>
      <c r="AQ9" s="47">
        <f t="shared" si="1"/>
        <v>20.942511713099144</v>
      </c>
      <c r="AR9" s="47">
        <f t="shared" si="2"/>
        <v>17.960284297678047</v>
      </c>
      <c r="AS9" s="47">
        <f t="shared" si="3"/>
        <v>0.13717897514713184</v>
      </c>
      <c r="AT9" s="47">
        <f t="shared" si="4"/>
        <v>4.5065748153588825E-2</v>
      </c>
      <c r="AU9" s="47">
        <f t="shared" si="5"/>
        <v>20.805332737952011</v>
      </c>
      <c r="AV9" s="47">
        <f t="shared" si="6"/>
        <v>17.915218549524457</v>
      </c>
      <c r="AW9" s="47">
        <v>7.5697084797139791</v>
      </c>
      <c r="AX9" s="47">
        <v>3.6517812954473472</v>
      </c>
      <c r="AY9" s="6">
        <v>3.9992574152058364</v>
      </c>
      <c r="AZ9" s="25">
        <v>3.4251693415629079E-2</v>
      </c>
      <c r="BA9" s="47">
        <v>8.9240976239579727E-3</v>
      </c>
      <c r="BB9" s="47">
        <v>3.6192717924839193</v>
      </c>
      <c r="BC9" s="6">
        <v>3.9904198914708431</v>
      </c>
    </row>
    <row r="10" spans="2:55" x14ac:dyDescent="0.25">
      <c r="B10" s="54"/>
      <c r="C10" s="54">
        <v>101</v>
      </c>
      <c r="D10" s="47">
        <v>8.7786808739833133E-3</v>
      </c>
      <c r="E10" s="47">
        <v>0</v>
      </c>
      <c r="F10" s="47">
        <v>0</v>
      </c>
      <c r="G10" s="47">
        <v>0</v>
      </c>
      <c r="H10" s="47">
        <v>6.1192362091205257E-4</v>
      </c>
      <c r="I10" s="47">
        <v>5.2078715969948756E-4</v>
      </c>
      <c r="J10" s="47">
        <v>4.2460387938881967E-2</v>
      </c>
      <c r="K10" s="47">
        <v>1.4943290385150076E-2</v>
      </c>
      <c r="L10" s="47">
        <v>5.0868400515241977E-3</v>
      </c>
      <c r="M10" s="47">
        <v>0</v>
      </c>
      <c r="N10" s="47">
        <v>0</v>
      </c>
      <c r="O10" s="47">
        <v>0</v>
      </c>
      <c r="P10" s="47">
        <v>0</v>
      </c>
      <c r="Q10" s="47">
        <v>0</v>
      </c>
      <c r="R10" s="47">
        <v>3.2426175690903826E-3</v>
      </c>
      <c r="S10" s="47">
        <v>6.5502433168814678</v>
      </c>
      <c r="T10" s="47">
        <v>2.7015214236813452</v>
      </c>
      <c r="U10" s="47">
        <v>0.50733103924064149</v>
      </c>
      <c r="V10" s="47">
        <v>1.5974933137708775E-2</v>
      </c>
      <c r="W10" s="47">
        <v>5.5243730922837023E-3</v>
      </c>
      <c r="X10" s="47">
        <v>5.0783188236733006E-4</v>
      </c>
      <c r="Y10" s="47">
        <v>0</v>
      </c>
      <c r="Z10" s="47">
        <v>0</v>
      </c>
      <c r="AA10" s="47">
        <v>2.6630698897605497E-5</v>
      </c>
      <c r="AB10" s="47">
        <v>0</v>
      </c>
      <c r="AC10" s="47">
        <v>2.2022419137443299E-4</v>
      </c>
      <c r="AD10" s="47">
        <v>1.0172282507818688E-2</v>
      </c>
      <c r="AE10" s="47">
        <v>1.1049445916705753E-2</v>
      </c>
      <c r="AF10" s="47">
        <v>8.4295018724994515E-5</v>
      </c>
      <c r="AG10" s="47">
        <v>0</v>
      </c>
      <c r="AH10" s="47">
        <v>0</v>
      </c>
      <c r="AI10" s="47">
        <v>0</v>
      </c>
      <c r="AJ10" s="47">
        <v>0.91542596545072874</v>
      </c>
      <c r="AK10" s="47">
        <v>6.4602050004256322</v>
      </c>
      <c r="AL10" s="47">
        <v>0.20082621346622848</v>
      </c>
      <c r="AM10" s="47">
        <v>1.5277022996786024E-3</v>
      </c>
      <c r="AN10" s="47">
        <v>0</v>
      </c>
      <c r="AO10" s="6">
        <v>0</v>
      </c>
      <c r="AP10" s="25">
        <f t="shared" si="0"/>
        <v>17.456285205490847</v>
      </c>
      <c r="AQ10" s="47">
        <f t="shared" si="1"/>
        <v>9.8567474455150563</v>
      </c>
      <c r="AR10" s="47">
        <f t="shared" si="2"/>
        <v>7.5995377599757896</v>
      </c>
      <c r="AS10" s="47">
        <f t="shared" si="3"/>
        <v>7.2401910030151104E-2</v>
      </c>
      <c r="AT10" s="47">
        <f t="shared" si="4"/>
        <v>2.1552878333521475E-2</v>
      </c>
      <c r="AU10" s="47">
        <f t="shared" si="5"/>
        <v>9.7843455354849063</v>
      </c>
      <c r="AV10" s="47">
        <f t="shared" si="6"/>
        <v>7.5779848816422684</v>
      </c>
      <c r="AW10" s="47">
        <v>3.7945842349411461</v>
      </c>
      <c r="AX10" s="47">
        <v>2.1440204049455893</v>
      </c>
      <c r="AY10" s="6">
        <v>1.656298269781511</v>
      </c>
      <c r="AZ10" s="25">
        <v>2.1342380380947271E-2</v>
      </c>
      <c r="BA10" s="47">
        <v>4.8787556969136598E-3</v>
      </c>
      <c r="BB10" s="47">
        <v>2.1242155434919954</v>
      </c>
      <c r="BC10" s="6">
        <v>1.6520505869727959</v>
      </c>
    </row>
    <row r="11" spans="2:55" x14ac:dyDescent="0.25">
      <c r="B11" s="55"/>
      <c r="C11" s="55">
        <v>136</v>
      </c>
      <c r="D11" s="48">
        <v>6.9320652725452132E-3</v>
      </c>
      <c r="E11" s="48">
        <v>0</v>
      </c>
      <c r="F11" s="48">
        <v>0</v>
      </c>
      <c r="G11" s="48">
        <v>0</v>
      </c>
      <c r="H11" s="48">
        <v>0</v>
      </c>
      <c r="I11" s="48">
        <v>0</v>
      </c>
      <c r="J11" s="48">
        <v>9.0009340121872637E-3</v>
      </c>
      <c r="K11" s="48">
        <v>1.6614920594478775E-3</v>
      </c>
      <c r="L11" s="48">
        <v>0</v>
      </c>
      <c r="M11" s="48">
        <v>0</v>
      </c>
      <c r="N11" s="48">
        <v>0</v>
      </c>
      <c r="O11" s="48">
        <v>0</v>
      </c>
      <c r="P11" s="48">
        <v>0</v>
      </c>
      <c r="Q11" s="48">
        <v>0</v>
      </c>
      <c r="R11" s="48">
        <v>0</v>
      </c>
      <c r="S11" s="48">
        <v>1.8733297201410348</v>
      </c>
      <c r="T11" s="48">
        <v>0.33927030273870173</v>
      </c>
      <c r="U11" s="48">
        <v>4.3991815676489028E-2</v>
      </c>
      <c r="V11" s="48">
        <v>0</v>
      </c>
      <c r="W11" s="48">
        <v>0</v>
      </c>
      <c r="X11" s="48">
        <v>0</v>
      </c>
      <c r="Y11" s="48">
        <v>0</v>
      </c>
      <c r="Z11" s="48">
        <v>0</v>
      </c>
      <c r="AA11" s="48">
        <v>1.964802978307012E-5</v>
      </c>
      <c r="AB11" s="48">
        <v>0</v>
      </c>
      <c r="AC11" s="48">
        <v>7.3654394017892759E-5</v>
      </c>
      <c r="AD11" s="48">
        <v>1.3171140879265964E-3</v>
      </c>
      <c r="AE11" s="48">
        <v>9.7861468610703321E-4</v>
      </c>
      <c r="AF11" s="48">
        <v>0</v>
      </c>
      <c r="AG11" s="48">
        <v>0</v>
      </c>
      <c r="AH11" s="48">
        <v>0</v>
      </c>
      <c r="AI11" s="48">
        <v>0</v>
      </c>
      <c r="AJ11" s="48">
        <v>0.307309575185157</v>
      </c>
      <c r="AK11" s="48">
        <v>1.2941348516501363</v>
      </c>
      <c r="AL11" s="48">
        <v>3.8199928301204944E-2</v>
      </c>
      <c r="AM11" s="48">
        <v>0</v>
      </c>
      <c r="AN11" s="48">
        <v>0</v>
      </c>
      <c r="AO11" s="8">
        <v>0</v>
      </c>
      <c r="AP11" s="49">
        <f t="shared" si="0"/>
        <v>3.9162197162347385</v>
      </c>
      <c r="AQ11" s="48">
        <f t="shared" si="1"/>
        <v>2.2741863299004059</v>
      </c>
      <c r="AR11" s="48">
        <f t="shared" si="2"/>
        <v>1.6420333863343328</v>
      </c>
      <c r="AS11" s="48">
        <f t="shared" si="3"/>
        <v>1.7594491344180355E-2</v>
      </c>
      <c r="AT11" s="48">
        <f t="shared" si="4"/>
        <v>2.3890311978345923E-3</v>
      </c>
      <c r="AU11" s="48">
        <f t="shared" si="5"/>
        <v>2.2565918385562256</v>
      </c>
      <c r="AV11" s="48">
        <f t="shared" si="6"/>
        <v>1.6396443551364981</v>
      </c>
      <c r="AW11" s="48">
        <v>1.1196871489615341</v>
      </c>
      <c r="AX11" s="48">
        <v>0.541168432237636</v>
      </c>
      <c r="AY11" s="8">
        <v>0.58521978491379167</v>
      </c>
      <c r="AZ11" s="49">
        <v>8.1950315739682412E-3</v>
      </c>
      <c r="BA11" s="48">
        <v>4.1379234155166479E-3</v>
      </c>
      <c r="BB11" s="48">
        <v>0.53671713853202263</v>
      </c>
      <c r="BC11" s="8">
        <v>0.58153109990650076</v>
      </c>
    </row>
    <row r="12" spans="2:55" x14ac:dyDescent="0.25">
      <c r="B12" s="53" t="s">
        <v>75</v>
      </c>
      <c r="C12" s="53">
        <v>1</v>
      </c>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28"/>
      <c r="AP12" s="56">
        <f t="shared" si="0"/>
        <v>0</v>
      </c>
      <c r="AQ12" s="3">
        <f t="shared" si="1"/>
        <v>0</v>
      </c>
      <c r="AR12" s="3">
        <f t="shared" si="2"/>
        <v>0</v>
      </c>
      <c r="AS12" s="3">
        <f t="shared" si="3"/>
        <v>0</v>
      </c>
      <c r="AT12" s="3">
        <f t="shared" si="4"/>
        <v>0</v>
      </c>
      <c r="AU12" s="3">
        <f t="shared" si="5"/>
        <v>0</v>
      </c>
      <c r="AV12" s="3">
        <f t="shared" si="6"/>
        <v>0</v>
      </c>
      <c r="AW12" s="3">
        <v>0</v>
      </c>
      <c r="AX12" s="3">
        <v>0</v>
      </c>
      <c r="AY12" s="28">
        <v>0</v>
      </c>
      <c r="AZ12" s="56">
        <v>0</v>
      </c>
      <c r="BA12" s="3">
        <v>0</v>
      </c>
      <c r="BB12" s="3">
        <v>0</v>
      </c>
      <c r="BC12" s="28">
        <v>0</v>
      </c>
    </row>
    <row r="13" spans="2:55" x14ac:dyDescent="0.25">
      <c r="B13" s="54"/>
      <c r="C13" s="54">
        <v>5</v>
      </c>
      <c r="D13" s="47">
        <v>2.9333333333333336</v>
      </c>
      <c r="E13" s="47"/>
      <c r="F13" s="47"/>
      <c r="G13" s="47"/>
      <c r="H13" s="47">
        <v>2.82</v>
      </c>
      <c r="I13" s="47"/>
      <c r="J13" s="47"/>
      <c r="K13" s="47"/>
      <c r="L13" s="47"/>
      <c r="M13" s="47"/>
      <c r="N13" s="47"/>
      <c r="O13" s="47"/>
      <c r="P13" s="47"/>
      <c r="Q13" s="47">
        <v>0.54200000000000004</v>
      </c>
      <c r="R13" s="47"/>
      <c r="S13" s="47">
        <v>5.5333333333333341</v>
      </c>
      <c r="T13" s="47">
        <v>2.1700000000000004</v>
      </c>
      <c r="U13" s="47">
        <v>2.1233333333333335</v>
      </c>
      <c r="V13" s="47"/>
      <c r="W13" s="47"/>
      <c r="X13" s="47"/>
      <c r="Y13" s="47"/>
      <c r="Z13" s="47"/>
      <c r="AA13" s="47"/>
      <c r="AB13" s="47"/>
      <c r="AC13" s="47"/>
      <c r="AD13" s="47"/>
      <c r="AE13" s="47"/>
      <c r="AF13" s="47"/>
      <c r="AG13" s="47"/>
      <c r="AH13" s="47"/>
      <c r="AI13" s="47"/>
      <c r="AJ13" s="47">
        <v>1.7433333333333334</v>
      </c>
      <c r="AK13" s="47">
        <v>5.03</v>
      </c>
      <c r="AL13" s="47">
        <v>6.0466666666666669</v>
      </c>
      <c r="AM13" s="47">
        <v>3.0500000000000003</v>
      </c>
      <c r="AN13" s="47">
        <v>2.0099999999999998</v>
      </c>
      <c r="AO13" s="6">
        <v>0.90049999999999997</v>
      </c>
      <c r="AP13" s="25">
        <f t="shared" si="0"/>
        <v>34.902500000000003</v>
      </c>
      <c r="AQ13" s="47">
        <f t="shared" si="1"/>
        <v>16.122</v>
      </c>
      <c r="AR13" s="47">
        <f t="shared" si="2"/>
        <v>18.780500000000004</v>
      </c>
      <c r="AS13" s="47">
        <f t="shared" si="3"/>
        <v>5.7533333333333339</v>
      </c>
      <c r="AT13" s="47">
        <f t="shared" si="4"/>
        <v>0</v>
      </c>
      <c r="AU13" s="47">
        <f t="shared" si="5"/>
        <v>10.368666666666668</v>
      </c>
      <c r="AV13" s="47">
        <f t="shared" si="6"/>
        <v>18.780500000000004</v>
      </c>
      <c r="AW13" s="47">
        <v>6.0808766363630955</v>
      </c>
      <c r="AX13" s="47">
        <v>5.4653844837811256</v>
      </c>
      <c r="AY13" s="6">
        <v>2.6133338010203602</v>
      </c>
      <c r="AZ13" s="25">
        <v>3.1160052774167264</v>
      </c>
      <c r="BA13" s="47">
        <v>0</v>
      </c>
      <c r="BB13" s="47">
        <v>2.349709391014601</v>
      </c>
      <c r="BC13" s="6">
        <v>2.6133338010203602</v>
      </c>
    </row>
    <row r="14" spans="2:55" x14ac:dyDescent="0.25">
      <c r="B14" s="54"/>
      <c r="C14" s="54">
        <v>17</v>
      </c>
      <c r="D14" s="47">
        <v>8.3666666666666671</v>
      </c>
      <c r="E14" s="47"/>
      <c r="F14" s="47"/>
      <c r="G14" s="47"/>
      <c r="H14" s="47">
        <v>10.766666666666666</v>
      </c>
      <c r="I14" s="47"/>
      <c r="J14" s="47">
        <v>1.0296666666666667</v>
      </c>
      <c r="K14" s="47">
        <v>0.72649999999999992</v>
      </c>
      <c r="L14" s="47">
        <v>1.0633333333333332</v>
      </c>
      <c r="M14" s="47">
        <v>1.216</v>
      </c>
      <c r="N14" s="47">
        <v>0.95950000000000002</v>
      </c>
      <c r="O14" s="47"/>
      <c r="P14" s="47"/>
      <c r="Q14" s="47">
        <v>2.4933333333333332</v>
      </c>
      <c r="R14" s="47">
        <v>1.0976666666666668</v>
      </c>
      <c r="S14" s="47">
        <v>101.43333333333334</v>
      </c>
      <c r="T14" s="47">
        <v>41.033333333333331</v>
      </c>
      <c r="U14" s="47">
        <v>33.9</v>
      </c>
      <c r="V14" s="47">
        <v>2.0100000000000002</v>
      </c>
      <c r="W14" s="47">
        <v>0.90800000000000003</v>
      </c>
      <c r="X14" s="47"/>
      <c r="Y14" s="47"/>
      <c r="Z14" s="47"/>
      <c r="AA14" s="47">
        <v>0.7636666666666666</v>
      </c>
      <c r="AB14" s="47"/>
      <c r="AC14" s="47"/>
      <c r="AD14" s="47"/>
      <c r="AE14" s="47"/>
      <c r="AF14" s="47"/>
      <c r="AG14" s="47"/>
      <c r="AH14" s="47"/>
      <c r="AI14" s="47"/>
      <c r="AJ14" s="47">
        <v>18.333333333333332</v>
      </c>
      <c r="AK14" s="47">
        <v>146.83333333333334</v>
      </c>
      <c r="AL14" s="47">
        <v>121.46666666666665</v>
      </c>
      <c r="AM14" s="47">
        <v>27.866666666666664</v>
      </c>
      <c r="AN14" s="47">
        <v>11.506666666666666</v>
      </c>
      <c r="AO14" s="6">
        <v>6.7333333333333343</v>
      </c>
      <c r="AP14" s="25">
        <f t="shared" si="0"/>
        <v>540.50766666666664</v>
      </c>
      <c r="AQ14" s="47">
        <f t="shared" si="1"/>
        <v>207.00399999999999</v>
      </c>
      <c r="AR14" s="47">
        <f t="shared" si="2"/>
        <v>333.50366666666667</v>
      </c>
      <c r="AS14" s="47">
        <f t="shared" si="3"/>
        <v>24.128333333333334</v>
      </c>
      <c r="AT14" s="47">
        <f t="shared" si="4"/>
        <v>0.7636666666666666</v>
      </c>
      <c r="AU14" s="47">
        <f>SUM(O14:X14)</f>
        <v>182.87566666666663</v>
      </c>
      <c r="AV14" s="47">
        <f t="shared" si="6"/>
        <v>332.74</v>
      </c>
      <c r="AW14" s="47">
        <v>149.96274280707922</v>
      </c>
      <c r="AX14" s="47">
        <v>48.908671426104632</v>
      </c>
      <c r="AY14" s="6">
        <v>101.64812913947587</v>
      </c>
      <c r="AZ14" s="25">
        <v>6.6864845937325166</v>
      </c>
      <c r="BA14" s="47">
        <v>0.14634737973587264</v>
      </c>
      <c r="BB14" s="47">
        <v>49.831195024357605</v>
      </c>
      <c r="BC14" s="6">
        <v>101.76944760912613</v>
      </c>
    </row>
    <row r="15" spans="2:55" x14ac:dyDescent="0.25">
      <c r="B15" s="54"/>
      <c r="C15" s="54">
        <v>38</v>
      </c>
      <c r="D15" s="47">
        <v>3.53</v>
      </c>
      <c r="E15" s="47"/>
      <c r="F15" s="47"/>
      <c r="G15" s="47"/>
      <c r="H15" s="47">
        <v>2.0900000000000003</v>
      </c>
      <c r="I15" s="47"/>
      <c r="J15" s="47">
        <v>2.36</v>
      </c>
      <c r="K15" s="47">
        <v>1.4566666666666668</v>
      </c>
      <c r="L15" s="47">
        <v>2.06</v>
      </c>
      <c r="M15" s="47">
        <v>1.4799999999999998</v>
      </c>
      <c r="N15" s="47">
        <v>0.67</v>
      </c>
      <c r="O15" s="47"/>
      <c r="P15" s="47"/>
      <c r="Q15" s="47">
        <v>5.253333333333333</v>
      </c>
      <c r="R15" s="47">
        <v>4.703333333333334</v>
      </c>
      <c r="S15" s="47">
        <v>273.33333333333331</v>
      </c>
      <c r="T15" s="47">
        <v>96.333333333333329</v>
      </c>
      <c r="U15" s="47">
        <v>90.166666666666671</v>
      </c>
      <c r="V15" s="47">
        <v>2.6799999999999997</v>
      </c>
      <c r="W15" s="47">
        <v>1.2023333333333335</v>
      </c>
      <c r="X15" s="47"/>
      <c r="Y15" s="47"/>
      <c r="Z15" s="47"/>
      <c r="AA15" s="47"/>
      <c r="AB15" s="47"/>
      <c r="AC15" s="47"/>
      <c r="AD15" s="47"/>
      <c r="AE15" s="47"/>
      <c r="AF15" s="47"/>
      <c r="AG15" s="47"/>
      <c r="AH15" s="47"/>
      <c r="AI15" s="47">
        <v>0.59366666666666668</v>
      </c>
      <c r="AJ15" s="47">
        <v>62.633333333333333</v>
      </c>
      <c r="AK15" s="47">
        <v>292.66666666666669</v>
      </c>
      <c r="AL15" s="47">
        <v>205.66666666666666</v>
      </c>
      <c r="AM15" s="47">
        <v>32.133333333333333</v>
      </c>
      <c r="AN15" s="47">
        <v>7.7366666666666672</v>
      </c>
      <c r="AO15" s="6">
        <v>2.9066666666666663</v>
      </c>
      <c r="AP15" s="25">
        <f t="shared" si="0"/>
        <v>1091.6560000000004</v>
      </c>
      <c r="AQ15" s="47">
        <f t="shared" si="1"/>
        <v>487.31900000000002</v>
      </c>
      <c r="AR15" s="47">
        <f t="shared" si="2"/>
        <v>604.33699999999999</v>
      </c>
      <c r="AS15" s="47">
        <f t="shared" si="3"/>
        <v>13.646666666666668</v>
      </c>
      <c r="AT15" s="47">
        <f t="shared" si="4"/>
        <v>0</v>
      </c>
      <c r="AU15" s="47">
        <f t="shared" si="5"/>
        <v>473.67233333333331</v>
      </c>
      <c r="AV15" s="47">
        <f t="shared" si="6"/>
        <v>604.33699999999999</v>
      </c>
      <c r="AW15" s="47">
        <v>246.12754076472029</v>
      </c>
      <c r="AX15" s="47">
        <v>75.074192309267275</v>
      </c>
      <c r="AY15" s="6">
        <v>269.96152508212487</v>
      </c>
      <c r="AZ15" s="25">
        <v>2.1145685139053731</v>
      </c>
      <c r="BA15" s="47">
        <v>0</v>
      </c>
      <c r="BB15" s="47">
        <v>77.187974436148991</v>
      </c>
      <c r="BC15" s="6">
        <v>269.96152508212487</v>
      </c>
    </row>
    <row r="16" spans="2:55" x14ac:dyDescent="0.25">
      <c r="B16" s="54"/>
      <c r="C16" s="54">
        <v>57</v>
      </c>
      <c r="D16" s="47">
        <v>2.19</v>
      </c>
      <c r="E16" s="47"/>
      <c r="F16" s="47"/>
      <c r="G16" s="47"/>
      <c r="H16" s="47">
        <v>1.68</v>
      </c>
      <c r="I16" s="47"/>
      <c r="J16" s="47">
        <v>2.97</v>
      </c>
      <c r="K16" s="47">
        <v>2.0033333333333334</v>
      </c>
      <c r="L16" s="47">
        <v>2.3800000000000003</v>
      </c>
      <c r="M16" s="47">
        <v>1.5599999999999998</v>
      </c>
      <c r="N16" s="47">
        <v>0.66999999999999993</v>
      </c>
      <c r="O16" s="47"/>
      <c r="P16" s="47"/>
      <c r="Q16" s="47">
        <v>3.8833333333333329</v>
      </c>
      <c r="R16" s="47">
        <v>5.6866666666666674</v>
      </c>
      <c r="S16" s="47">
        <v>378.66666666666669</v>
      </c>
      <c r="T16" s="47">
        <v>70.333333333333329</v>
      </c>
      <c r="U16" s="47">
        <v>43.566666666666663</v>
      </c>
      <c r="V16" s="47">
        <v>3.0399999999999996</v>
      </c>
      <c r="W16" s="47">
        <v>1.4333333333333333</v>
      </c>
      <c r="X16" s="47"/>
      <c r="Y16" s="47"/>
      <c r="Z16" s="47"/>
      <c r="AA16" s="47"/>
      <c r="AB16" s="47"/>
      <c r="AC16" s="47"/>
      <c r="AD16" s="47"/>
      <c r="AE16" s="47"/>
      <c r="AF16" s="47"/>
      <c r="AG16" s="47"/>
      <c r="AH16" s="47"/>
      <c r="AI16" s="47">
        <v>0.65450000000000008</v>
      </c>
      <c r="AJ16" s="47">
        <v>85.333333333333329</v>
      </c>
      <c r="AK16" s="47">
        <v>542</v>
      </c>
      <c r="AL16" s="47">
        <v>351.33333333333331</v>
      </c>
      <c r="AM16" s="47">
        <v>18.433333333333334</v>
      </c>
      <c r="AN16" s="47">
        <v>12.133333333333333</v>
      </c>
      <c r="AO16" s="6">
        <v>3.3766666666666665</v>
      </c>
      <c r="AP16" s="86">
        <f t="shared" si="0"/>
        <v>1533.3278333333335</v>
      </c>
      <c r="AQ16" s="47">
        <f t="shared" si="1"/>
        <v>520.06333333333316</v>
      </c>
      <c r="AR16" s="47">
        <f t="shared" si="2"/>
        <v>1013.2644999999999</v>
      </c>
      <c r="AS16" s="47">
        <f>SUM(D16:N16)</f>
        <v>13.453333333333335</v>
      </c>
      <c r="AT16" s="47">
        <f t="shared" si="4"/>
        <v>0</v>
      </c>
      <c r="AU16" s="47">
        <f t="shared" si="5"/>
        <v>506.61</v>
      </c>
      <c r="AV16" s="47">
        <f t="shared" si="6"/>
        <v>1013.2644999999999</v>
      </c>
      <c r="AW16" s="47">
        <v>254.74934700646878</v>
      </c>
      <c r="AX16" s="47">
        <v>131.172484129358</v>
      </c>
      <c r="AY16" s="6">
        <v>165.25960014944781</v>
      </c>
      <c r="AZ16" s="25">
        <v>3.1292926783326975</v>
      </c>
      <c r="BA16" s="47">
        <v>0</v>
      </c>
      <c r="BB16" s="47">
        <v>131.85069005002069</v>
      </c>
      <c r="BC16" s="6">
        <v>165.25960014944781</v>
      </c>
    </row>
    <row r="17" spans="2:55" x14ac:dyDescent="0.25">
      <c r="B17" s="54"/>
      <c r="C17" s="54">
        <v>61</v>
      </c>
      <c r="D17" s="47"/>
      <c r="E17" s="47"/>
      <c r="F17" s="47"/>
      <c r="G17" s="47"/>
      <c r="H17" s="47"/>
      <c r="I17" s="47"/>
      <c r="J17" s="47">
        <v>2.4766666666666666</v>
      </c>
      <c r="K17" s="47">
        <v>1.4766666666666666</v>
      </c>
      <c r="L17" s="47">
        <v>1.7566666666666668</v>
      </c>
      <c r="M17" s="47">
        <v>0.89300000000000013</v>
      </c>
      <c r="N17" s="47"/>
      <c r="O17" s="47"/>
      <c r="P17" s="47"/>
      <c r="Q17" s="47">
        <v>2.5033333333333334</v>
      </c>
      <c r="R17" s="47">
        <v>4.5066666666666668</v>
      </c>
      <c r="S17" s="47">
        <v>239.33333333333334</v>
      </c>
      <c r="T17" s="47">
        <v>148</v>
      </c>
      <c r="U17" s="47">
        <v>57.966666666666669</v>
      </c>
      <c r="V17" s="47">
        <v>1.8766666666666667</v>
      </c>
      <c r="W17" s="47">
        <v>0.87133333333333329</v>
      </c>
      <c r="X17" s="47"/>
      <c r="Y17" s="47"/>
      <c r="Z17" s="47"/>
      <c r="AA17" s="47"/>
      <c r="AB17" s="47"/>
      <c r="AC17" s="47"/>
      <c r="AD17" s="47"/>
      <c r="AE17" s="47"/>
      <c r="AF17" s="47"/>
      <c r="AG17" s="47"/>
      <c r="AH17" s="47"/>
      <c r="AI17" s="47">
        <v>0.58899999999999997</v>
      </c>
      <c r="AJ17" s="47">
        <v>72.233333333333334</v>
      </c>
      <c r="AK17" s="47">
        <v>456.66666666666669</v>
      </c>
      <c r="AL17" s="47">
        <v>277</v>
      </c>
      <c r="AM17" s="47">
        <v>17.5</v>
      </c>
      <c r="AN17" s="47">
        <v>4.4466666666666663</v>
      </c>
      <c r="AO17" s="6">
        <v>0.77766666666666673</v>
      </c>
      <c r="AP17" s="25">
        <f t="shared" si="0"/>
        <v>1290.8743333333334</v>
      </c>
      <c r="AQ17" s="47">
        <f t="shared" si="1"/>
        <v>461.661</v>
      </c>
      <c r="AR17" s="47">
        <f t="shared" si="2"/>
        <v>829.21333333333337</v>
      </c>
      <c r="AS17" s="47">
        <f t="shared" si="3"/>
        <v>6.6029999999999998</v>
      </c>
      <c r="AT17" s="47">
        <f t="shared" si="4"/>
        <v>0</v>
      </c>
      <c r="AU17" s="47">
        <f t="shared" si="5"/>
        <v>455.05800000000005</v>
      </c>
      <c r="AV17" s="47">
        <f t="shared" si="6"/>
        <v>829.21333333333337</v>
      </c>
      <c r="AW17" s="47">
        <v>278.44938950592586</v>
      </c>
      <c r="AX17" s="47">
        <v>152.63737653012774</v>
      </c>
      <c r="AY17" s="6">
        <v>148.23296385157462</v>
      </c>
      <c r="AZ17" s="25">
        <v>1.0857430635283853</v>
      </c>
      <c r="BA17" s="47">
        <v>0</v>
      </c>
      <c r="BB17" s="47">
        <v>151.94049727442652</v>
      </c>
      <c r="BC17" s="6">
        <v>148.23296385157462</v>
      </c>
    </row>
    <row r="18" spans="2:55" x14ac:dyDescent="0.25">
      <c r="B18" s="54"/>
      <c r="C18" s="54">
        <v>73</v>
      </c>
      <c r="D18" s="47"/>
      <c r="E18" s="47"/>
      <c r="F18" s="47"/>
      <c r="G18" s="47"/>
      <c r="H18" s="47"/>
      <c r="I18" s="47"/>
      <c r="J18" s="47">
        <v>1.6066666666666667</v>
      </c>
      <c r="K18" s="47">
        <v>0.95433333333333314</v>
      </c>
      <c r="L18" s="47">
        <v>0.91966666666666663</v>
      </c>
      <c r="M18" s="47"/>
      <c r="N18" s="47"/>
      <c r="O18" s="47"/>
      <c r="P18" s="47"/>
      <c r="Q18" s="47">
        <v>0.995</v>
      </c>
      <c r="R18" s="47">
        <v>2.523333333333333</v>
      </c>
      <c r="S18" s="47">
        <v>214</v>
      </c>
      <c r="T18" s="47">
        <v>80.86666666666666</v>
      </c>
      <c r="U18" s="47">
        <v>45.199999999999996</v>
      </c>
      <c r="V18" s="47">
        <v>1.2435</v>
      </c>
      <c r="W18" s="47">
        <v>0.51</v>
      </c>
      <c r="X18" s="47"/>
      <c r="Y18" s="47"/>
      <c r="Z18" s="47"/>
      <c r="AA18" s="47"/>
      <c r="AB18" s="47"/>
      <c r="AC18" s="47"/>
      <c r="AD18" s="47"/>
      <c r="AE18" s="47"/>
      <c r="AF18" s="47"/>
      <c r="AG18" s="47"/>
      <c r="AH18" s="47"/>
      <c r="AI18" s="47"/>
      <c r="AJ18" s="47">
        <v>64.600000000000009</v>
      </c>
      <c r="AK18" s="47">
        <v>202</v>
      </c>
      <c r="AL18" s="47">
        <v>129.6</v>
      </c>
      <c r="AM18" s="47">
        <v>4.8733333333333331</v>
      </c>
      <c r="AN18" s="47">
        <v>0.77999999999999992</v>
      </c>
      <c r="AO18" s="6"/>
      <c r="AP18" s="25">
        <f t="shared" si="0"/>
        <v>750.6724999999999</v>
      </c>
      <c r="AQ18" s="47">
        <f t="shared" si="1"/>
        <v>348.8191666666666</v>
      </c>
      <c r="AR18" s="47">
        <f t="shared" si="2"/>
        <v>401.85333333333335</v>
      </c>
      <c r="AS18" s="47">
        <f t="shared" si="3"/>
        <v>3.4806666666666666</v>
      </c>
      <c r="AT18" s="47">
        <f t="shared" si="4"/>
        <v>0</v>
      </c>
      <c r="AU18" s="47">
        <f t="shared" si="5"/>
        <v>345.33849999999995</v>
      </c>
      <c r="AV18" s="47">
        <f t="shared" si="6"/>
        <v>401.85333333333335</v>
      </c>
      <c r="AW18" s="47">
        <v>204.47554109042576</v>
      </c>
      <c r="AX18" s="47">
        <v>57.053881669484518</v>
      </c>
      <c r="AY18" s="6">
        <v>159.90165457208036</v>
      </c>
      <c r="AZ18" s="25">
        <v>0.54631757146268767</v>
      </c>
      <c r="BA18" s="47">
        <v>0</v>
      </c>
      <c r="BB18" s="47">
        <v>56.510666287190581</v>
      </c>
      <c r="BC18" s="6">
        <v>159.90165457208036</v>
      </c>
    </row>
    <row r="19" spans="2:55" x14ac:dyDescent="0.25">
      <c r="B19" s="54"/>
      <c r="C19" s="54">
        <v>101</v>
      </c>
      <c r="D19" s="47"/>
      <c r="E19" s="47"/>
      <c r="F19" s="47"/>
      <c r="G19" s="47"/>
      <c r="H19" s="47"/>
      <c r="I19" s="47"/>
      <c r="J19" s="47">
        <v>0.71966666666666657</v>
      </c>
      <c r="K19" s="47"/>
      <c r="L19" s="47"/>
      <c r="M19" s="47"/>
      <c r="N19" s="47"/>
      <c r="O19" s="47"/>
      <c r="P19" s="47"/>
      <c r="Q19" s="47"/>
      <c r="R19" s="47">
        <v>0.85499999999999998</v>
      </c>
      <c r="S19" s="47">
        <v>96.066666666666677</v>
      </c>
      <c r="T19" s="47">
        <v>24.366666666666671</v>
      </c>
      <c r="U19" s="47">
        <v>8.5033333333333321</v>
      </c>
      <c r="V19" s="47"/>
      <c r="W19" s="47"/>
      <c r="X19" s="47"/>
      <c r="Y19" s="47"/>
      <c r="Z19" s="47"/>
      <c r="AA19" s="47"/>
      <c r="AB19" s="47"/>
      <c r="AC19" s="47"/>
      <c r="AD19" s="47"/>
      <c r="AE19" s="47"/>
      <c r="AF19" s="47"/>
      <c r="AG19" s="47"/>
      <c r="AH19" s="47"/>
      <c r="AI19" s="47"/>
      <c r="AJ19" s="47">
        <v>30.7</v>
      </c>
      <c r="AK19" s="47">
        <v>118</v>
      </c>
      <c r="AL19" s="47">
        <v>28.2</v>
      </c>
      <c r="AM19" s="47">
        <v>1.39</v>
      </c>
      <c r="AN19" s="47"/>
      <c r="AO19" s="6"/>
      <c r="AP19" s="25">
        <f t="shared" si="0"/>
        <v>308.80133333333333</v>
      </c>
      <c r="AQ19" s="47">
        <f t="shared" si="1"/>
        <v>130.51133333333337</v>
      </c>
      <c r="AR19" s="47">
        <f t="shared" si="2"/>
        <v>178.28999999999996</v>
      </c>
      <c r="AS19" s="47">
        <f t="shared" si="3"/>
        <v>0.71966666666666657</v>
      </c>
      <c r="AT19" s="47">
        <f t="shared" si="4"/>
        <v>0</v>
      </c>
      <c r="AU19" s="47">
        <f t="shared" si="5"/>
        <v>129.79166666666669</v>
      </c>
      <c r="AV19" s="47">
        <f t="shared" si="6"/>
        <v>178.28999999999996</v>
      </c>
      <c r="AW19" s="47">
        <v>18.065676116756784</v>
      </c>
      <c r="AX19" s="47">
        <v>8.4737744574395872</v>
      </c>
      <c r="AY19" s="6">
        <v>9.5940293933258349</v>
      </c>
      <c r="AZ19" s="25">
        <v>9.3042403714054131E-2</v>
      </c>
      <c r="BA19" s="47">
        <v>0</v>
      </c>
      <c r="BB19" s="47">
        <v>8.3912199483878549</v>
      </c>
      <c r="BC19" s="6">
        <v>9.5940293933258349</v>
      </c>
    </row>
    <row r="20" spans="2:55" x14ac:dyDescent="0.25">
      <c r="B20" s="54"/>
      <c r="C20" s="54">
        <v>136</v>
      </c>
      <c r="D20" s="47"/>
      <c r="E20" s="47"/>
      <c r="F20" s="47"/>
      <c r="G20" s="47"/>
      <c r="H20" s="47"/>
      <c r="I20" s="47"/>
      <c r="J20" s="47"/>
      <c r="K20" s="47"/>
      <c r="L20" s="47"/>
      <c r="M20" s="47"/>
      <c r="N20" s="47"/>
      <c r="O20" s="47"/>
      <c r="P20" s="47"/>
      <c r="Q20" s="47"/>
      <c r="R20" s="47"/>
      <c r="S20" s="47">
        <v>45.199999999999996</v>
      </c>
      <c r="T20" s="47">
        <v>5.5466666666666669</v>
      </c>
      <c r="U20" s="47">
        <v>1.0745</v>
      </c>
      <c r="V20" s="47"/>
      <c r="W20" s="47"/>
      <c r="X20" s="47"/>
      <c r="Y20" s="47"/>
      <c r="Z20" s="47"/>
      <c r="AA20" s="47"/>
      <c r="AB20" s="47"/>
      <c r="AC20" s="47"/>
      <c r="AD20" s="47"/>
      <c r="AE20" s="47"/>
      <c r="AF20" s="47"/>
      <c r="AG20" s="47"/>
      <c r="AH20" s="47"/>
      <c r="AI20" s="47"/>
      <c r="AJ20" s="47">
        <v>11.4</v>
      </c>
      <c r="AK20" s="47">
        <v>52.966666666666661</v>
      </c>
      <c r="AL20" s="47">
        <v>7.0733333333333333</v>
      </c>
      <c r="AM20" s="47">
        <v>0.81899999999999995</v>
      </c>
      <c r="AN20" s="47"/>
      <c r="AO20" s="6"/>
      <c r="AP20" s="86">
        <f t="shared" si="0"/>
        <v>124.08016666666666</v>
      </c>
      <c r="AQ20" s="47">
        <f t="shared" si="1"/>
        <v>51.821166666666663</v>
      </c>
      <c r="AR20" s="47">
        <f t="shared" si="2"/>
        <v>72.259</v>
      </c>
      <c r="AS20" s="47">
        <f t="shared" si="3"/>
        <v>0</v>
      </c>
      <c r="AT20" s="47">
        <f t="shared" si="4"/>
        <v>0</v>
      </c>
      <c r="AU20" s="47">
        <f t="shared" si="5"/>
        <v>51.821166666666663</v>
      </c>
      <c r="AV20" s="47">
        <f t="shared" si="6"/>
        <v>72.259</v>
      </c>
      <c r="AW20" s="47">
        <v>28.005742232620793</v>
      </c>
      <c r="AX20" s="47">
        <v>8.5499098240858356</v>
      </c>
      <c r="AY20" s="6">
        <v>19.485289271653112</v>
      </c>
      <c r="AZ20" s="49">
        <v>0</v>
      </c>
      <c r="BA20" s="48">
        <v>0</v>
      </c>
      <c r="BB20" s="48">
        <v>8.5499098240858356</v>
      </c>
      <c r="BC20" s="8">
        <v>19.485289271653112</v>
      </c>
    </row>
    <row r="21" spans="2:55" x14ac:dyDescent="0.25">
      <c r="B21" s="53" t="s">
        <v>129</v>
      </c>
      <c r="C21" s="53">
        <v>1</v>
      </c>
      <c r="D21" s="3">
        <v>1.8499999999999999</v>
      </c>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56">
        <f t="shared" si="0"/>
        <v>1.8499999999999999</v>
      </c>
      <c r="AQ21" s="3">
        <f t="shared" si="1"/>
        <v>1.8499999999999999</v>
      </c>
      <c r="AR21" s="3">
        <f t="shared" si="2"/>
        <v>0</v>
      </c>
      <c r="AS21" s="3">
        <f t="shared" si="3"/>
        <v>1.8499999999999999</v>
      </c>
      <c r="AT21" s="3">
        <f t="shared" si="4"/>
        <v>0</v>
      </c>
      <c r="AU21" s="3">
        <f t="shared" si="5"/>
        <v>0</v>
      </c>
      <c r="AV21" s="3">
        <f t="shared" si="6"/>
        <v>0</v>
      </c>
      <c r="AW21" s="3">
        <v>0.98288690431130843</v>
      </c>
      <c r="AX21" s="3">
        <v>0.98288690431130843</v>
      </c>
      <c r="AY21" s="28">
        <v>0</v>
      </c>
      <c r="AZ21" s="56">
        <v>1.168874993316223</v>
      </c>
      <c r="BA21" s="3">
        <v>0</v>
      </c>
      <c r="BB21" s="3">
        <v>0</v>
      </c>
      <c r="BC21" s="28">
        <v>0</v>
      </c>
    </row>
    <row r="22" spans="2:55" x14ac:dyDescent="0.25">
      <c r="B22" s="54"/>
      <c r="C22" s="54">
        <v>5</v>
      </c>
      <c r="D22" s="47">
        <v>25.5</v>
      </c>
      <c r="E22" s="47">
        <v>5.669999999999999</v>
      </c>
      <c r="F22" s="47">
        <v>2.7716666666666669</v>
      </c>
      <c r="G22" s="47">
        <v>0.88866666666666683</v>
      </c>
      <c r="H22" s="47">
        <v>13.133333333333333</v>
      </c>
      <c r="I22" s="47"/>
      <c r="J22" s="47"/>
      <c r="K22" s="47"/>
      <c r="L22" s="47"/>
      <c r="M22" s="47"/>
      <c r="N22" s="47"/>
      <c r="O22" s="47"/>
      <c r="P22" s="47"/>
      <c r="Q22" s="47"/>
      <c r="R22" s="47"/>
      <c r="S22" s="47"/>
      <c r="T22" s="47"/>
      <c r="U22" s="47"/>
      <c r="V22" s="47"/>
      <c r="W22" s="47"/>
      <c r="X22" s="47"/>
      <c r="Y22" s="47"/>
      <c r="Z22" s="47"/>
      <c r="AA22" s="47">
        <v>3.7716666666666665</v>
      </c>
      <c r="AB22" s="47"/>
      <c r="AC22" s="47"/>
      <c r="AD22" s="47"/>
      <c r="AE22" s="47"/>
      <c r="AF22" s="47"/>
      <c r="AG22" s="47"/>
      <c r="AH22" s="47"/>
      <c r="AI22" s="47"/>
      <c r="AJ22" s="47"/>
      <c r="AK22" s="47"/>
      <c r="AL22" s="47"/>
      <c r="AM22" s="47"/>
      <c r="AN22" s="47"/>
      <c r="AO22" s="47"/>
      <c r="AP22" s="25">
        <f t="shared" si="0"/>
        <v>51.73533333333333</v>
      </c>
      <c r="AQ22" s="47">
        <f t="shared" si="1"/>
        <v>47.963666666666661</v>
      </c>
      <c r="AR22" s="47">
        <f t="shared" si="2"/>
        <v>3.7716666666666665</v>
      </c>
      <c r="AS22" s="47">
        <f t="shared" si="3"/>
        <v>47.963666666666661</v>
      </c>
      <c r="AT22" s="47">
        <f t="shared" si="4"/>
        <v>3.7716666666666665</v>
      </c>
      <c r="AU22" s="47">
        <f t="shared" si="5"/>
        <v>0</v>
      </c>
      <c r="AV22" s="47">
        <f t="shared" si="6"/>
        <v>0</v>
      </c>
      <c r="AW22" s="47">
        <v>7.7813341758053269</v>
      </c>
      <c r="AX22" s="47">
        <v>7.9103129872056988</v>
      </c>
      <c r="AY22" s="6">
        <v>1.8833230088212574</v>
      </c>
      <c r="AZ22" s="25">
        <v>21.869522998627559</v>
      </c>
      <c r="BA22" s="47">
        <v>2.3081279616823669</v>
      </c>
      <c r="BB22" s="47">
        <v>0</v>
      </c>
      <c r="BC22" s="6">
        <v>0</v>
      </c>
    </row>
    <row r="23" spans="2:55" x14ac:dyDescent="0.25">
      <c r="B23" s="54"/>
      <c r="C23" s="54">
        <v>17</v>
      </c>
      <c r="D23" s="47">
        <v>65.399999999999991</v>
      </c>
      <c r="E23" s="47">
        <v>24.433333333333334</v>
      </c>
      <c r="F23" s="47">
        <v>4.95</v>
      </c>
      <c r="G23" s="47">
        <v>1.2283333333333333</v>
      </c>
      <c r="H23" s="47">
        <v>14.266666666666666</v>
      </c>
      <c r="I23" s="47"/>
      <c r="J23" s="47"/>
      <c r="K23" s="47"/>
      <c r="L23" s="47"/>
      <c r="M23" s="47"/>
      <c r="N23" s="47"/>
      <c r="O23" s="47">
        <v>0.62</v>
      </c>
      <c r="P23" s="47"/>
      <c r="Q23" s="47">
        <v>1.5273333333333332</v>
      </c>
      <c r="R23" s="47"/>
      <c r="S23" s="47">
        <v>2.1371666666666669</v>
      </c>
      <c r="T23" s="47">
        <v>0.59199999999999997</v>
      </c>
      <c r="U23" s="47"/>
      <c r="V23" s="47"/>
      <c r="W23" s="47"/>
      <c r="X23" s="47"/>
      <c r="Y23" s="47">
        <v>0.61599999999999999</v>
      </c>
      <c r="Z23" s="47"/>
      <c r="AA23" s="47">
        <v>5.1366666666666667</v>
      </c>
      <c r="AB23" s="47"/>
      <c r="AC23" s="47"/>
      <c r="AD23" s="47"/>
      <c r="AE23" s="47"/>
      <c r="AF23" s="47"/>
      <c r="AG23" s="47"/>
      <c r="AH23" s="47"/>
      <c r="AI23" s="47"/>
      <c r="AJ23" s="47">
        <v>1.4023333333333332</v>
      </c>
      <c r="AK23" s="47">
        <v>1.4424999999999999</v>
      </c>
      <c r="AL23" s="47"/>
      <c r="AM23" s="47"/>
      <c r="AN23" s="47"/>
      <c r="AO23" s="47"/>
      <c r="AP23" s="25">
        <f t="shared" si="0"/>
        <v>123.75233333333334</v>
      </c>
      <c r="AQ23" s="47">
        <f t="shared" si="1"/>
        <v>115.15483333333334</v>
      </c>
      <c r="AR23" s="47">
        <f t="shared" si="2"/>
        <v>8.5975000000000001</v>
      </c>
      <c r="AS23" s="47">
        <f t="shared" si="3"/>
        <v>110.27833333333334</v>
      </c>
      <c r="AT23" s="47">
        <f t="shared" si="4"/>
        <v>5.7526666666666664</v>
      </c>
      <c r="AU23" s="47">
        <f t="shared" si="5"/>
        <v>4.8764999999999992</v>
      </c>
      <c r="AV23" s="47">
        <f t="shared" si="6"/>
        <v>2.8448333333333329</v>
      </c>
      <c r="AW23" s="47">
        <v>41.181059073181828</v>
      </c>
      <c r="AX23" s="47">
        <v>41.016903162666431</v>
      </c>
      <c r="AY23" s="6">
        <v>0.3161940332559533</v>
      </c>
      <c r="AZ23" s="25">
        <v>58.962771345040231</v>
      </c>
      <c r="BA23" s="47">
        <v>2.4281905300037718</v>
      </c>
      <c r="BB23" s="47">
        <v>2.1691981633486135</v>
      </c>
      <c r="BC23" s="6">
        <v>1.3690798004499227</v>
      </c>
    </row>
    <row r="24" spans="2:55" x14ac:dyDescent="0.25">
      <c r="B24" s="54"/>
      <c r="C24" s="54">
        <v>57</v>
      </c>
      <c r="D24" s="47">
        <v>26.099999999999998</v>
      </c>
      <c r="E24" s="47">
        <v>6.7561666666666662</v>
      </c>
      <c r="F24" s="47">
        <v>2.2805</v>
      </c>
      <c r="G24" s="47">
        <v>1.1100000000000001</v>
      </c>
      <c r="H24" s="47">
        <v>7.1550000000000011</v>
      </c>
      <c r="I24" s="47"/>
      <c r="J24" s="47"/>
      <c r="K24" s="47"/>
      <c r="L24" s="47"/>
      <c r="M24" s="47"/>
      <c r="N24" s="47"/>
      <c r="O24" s="47"/>
      <c r="P24" s="47"/>
      <c r="Q24" s="47">
        <v>0.85</v>
      </c>
      <c r="R24" s="47"/>
      <c r="S24" s="47">
        <v>1.3898333333333335</v>
      </c>
      <c r="T24" s="47"/>
      <c r="U24" s="47"/>
      <c r="V24" s="47"/>
      <c r="W24" s="47"/>
      <c r="X24" s="47"/>
      <c r="Y24" s="47"/>
      <c r="Z24" s="47"/>
      <c r="AA24" s="47">
        <v>1.5516666666666665</v>
      </c>
      <c r="AB24" s="47"/>
      <c r="AC24" s="47"/>
      <c r="AD24" s="47"/>
      <c r="AE24" s="47"/>
      <c r="AF24" s="47"/>
      <c r="AG24" s="47"/>
      <c r="AH24" s="47"/>
      <c r="AI24" s="47"/>
      <c r="AJ24" s="47">
        <v>0.89050000000000007</v>
      </c>
      <c r="AK24" s="47">
        <v>0.78900000000000003</v>
      </c>
      <c r="AL24" s="47"/>
      <c r="AM24" s="47"/>
      <c r="AN24" s="47"/>
      <c r="AO24" s="47"/>
      <c r="AP24" s="25">
        <f t="shared" si="0"/>
        <v>48.872666666666682</v>
      </c>
      <c r="AQ24" s="47">
        <f t="shared" si="1"/>
        <v>45.641500000000008</v>
      </c>
      <c r="AR24" s="47">
        <f t="shared" si="2"/>
        <v>3.2311666666666667</v>
      </c>
      <c r="AS24" s="47">
        <f t="shared" si="3"/>
        <v>43.401666666666671</v>
      </c>
      <c r="AT24" s="47">
        <f t="shared" si="4"/>
        <v>1.5516666666666665</v>
      </c>
      <c r="AU24" s="47">
        <f t="shared" si="5"/>
        <v>2.2398333333333333</v>
      </c>
      <c r="AV24" s="47">
        <f t="shared" si="6"/>
        <v>1.6795</v>
      </c>
      <c r="AW24" s="47">
        <v>40.781946912819144</v>
      </c>
      <c r="AX24" s="47">
        <v>38.702138246986927</v>
      </c>
      <c r="AY24" s="6">
        <v>2.1328704185257532</v>
      </c>
      <c r="AZ24" s="25">
        <v>37.259543955836001</v>
      </c>
      <c r="BA24" s="47">
        <v>1.3331129687689636</v>
      </c>
      <c r="BB24" s="47">
        <v>1.2307172895815677</v>
      </c>
      <c r="BC24" s="6">
        <v>0.81062121240441265</v>
      </c>
    </row>
    <row r="25" spans="2:55" x14ac:dyDescent="0.25">
      <c r="B25" s="54"/>
      <c r="C25" s="54">
        <v>61</v>
      </c>
      <c r="D25" s="47">
        <v>0.61599999999999999</v>
      </c>
      <c r="E25" s="47"/>
      <c r="F25" s="47"/>
      <c r="G25" s="47"/>
      <c r="H25" s="47"/>
      <c r="I25" s="47"/>
      <c r="J25" s="47"/>
      <c r="K25" s="47"/>
      <c r="L25" s="47"/>
      <c r="M25" s="47"/>
      <c r="N25" s="47"/>
      <c r="O25" s="47"/>
      <c r="P25" s="47"/>
      <c r="Q25" s="47">
        <v>0.6845</v>
      </c>
      <c r="R25" s="47"/>
      <c r="S25" s="47">
        <v>1.6633333333333331</v>
      </c>
      <c r="T25" s="47"/>
      <c r="U25" s="47"/>
      <c r="V25" s="47"/>
      <c r="W25" s="47"/>
      <c r="X25" s="47"/>
      <c r="Y25" s="47"/>
      <c r="Z25" s="47"/>
      <c r="AA25" s="47"/>
      <c r="AB25" s="47"/>
      <c r="AC25" s="47"/>
      <c r="AD25" s="47"/>
      <c r="AE25" s="47"/>
      <c r="AF25" s="47"/>
      <c r="AG25" s="47"/>
      <c r="AH25" s="47"/>
      <c r="AI25" s="47"/>
      <c r="AJ25" s="47">
        <v>0.95299999999999996</v>
      </c>
      <c r="AK25" s="47">
        <v>0.53200000000000003</v>
      </c>
      <c r="AL25" s="47"/>
      <c r="AM25" s="47"/>
      <c r="AN25" s="47"/>
      <c r="AO25" s="47"/>
      <c r="AP25" s="25">
        <f t="shared" si="0"/>
        <v>4.448833333333333</v>
      </c>
      <c r="AQ25" s="47">
        <f t="shared" si="1"/>
        <v>2.9638333333333331</v>
      </c>
      <c r="AR25" s="47">
        <f t="shared" si="2"/>
        <v>1.4849999999999999</v>
      </c>
      <c r="AS25" s="47">
        <f t="shared" si="3"/>
        <v>0.61599999999999999</v>
      </c>
      <c r="AT25" s="47">
        <f t="shared" si="4"/>
        <v>0</v>
      </c>
      <c r="AU25" s="47">
        <f t="shared" si="5"/>
        <v>2.347833333333333</v>
      </c>
      <c r="AV25" s="47">
        <f t="shared" si="6"/>
        <v>1.4849999999999999</v>
      </c>
      <c r="AW25" s="47">
        <v>1.1834583032602188</v>
      </c>
      <c r="AX25" s="47">
        <v>0.76276645617558891</v>
      </c>
      <c r="AY25" s="6">
        <v>0.44377346573323717</v>
      </c>
      <c r="AZ25" s="25">
        <v>0.26673582436560711</v>
      </c>
      <c r="BA25" s="47">
        <v>0</v>
      </c>
      <c r="BB25" s="47">
        <v>1.0284712866677415</v>
      </c>
      <c r="BC25" s="6">
        <v>0.62230313152032257</v>
      </c>
    </row>
    <row r="26" spans="2:55" x14ac:dyDescent="0.25">
      <c r="B26" s="55"/>
      <c r="C26" s="55">
        <v>136</v>
      </c>
      <c r="D26" s="48"/>
      <c r="E26" s="48"/>
      <c r="F26" s="48"/>
      <c r="G26" s="48"/>
      <c r="H26" s="48"/>
      <c r="I26" s="48"/>
      <c r="J26" s="48"/>
      <c r="K26" s="48"/>
      <c r="L26" s="48"/>
      <c r="M26" s="48"/>
      <c r="N26" s="48"/>
      <c r="O26" s="48"/>
      <c r="P26" s="48"/>
      <c r="Q26" s="48"/>
      <c r="R26" s="48"/>
      <c r="S26" s="48"/>
      <c r="T26" s="48"/>
      <c r="U26" s="48"/>
      <c r="V26" s="48"/>
      <c r="W26" s="48"/>
      <c r="X26" s="48"/>
      <c r="Y26" s="48"/>
      <c r="Z26" s="48"/>
      <c r="AA26" s="48"/>
      <c r="AB26" s="48"/>
      <c r="AC26" s="48"/>
      <c r="AD26" s="48"/>
      <c r="AE26" s="48"/>
      <c r="AF26" s="48"/>
      <c r="AG26" s="48"/>
      <c r="AH26" s="48"/>
      <c r="AI26" s="48"/>
      <c r="AJ26" s="48"/>
      <c r="AK26" s="48"/>
      <c r="AL26" s="48"/>
      <c r="AM26" s="48"/>
      <c r="AN26" s="48"/>
      <c r="AO26" s="48"/>
      <c r="AP26" s="49">
        <f t="shared" si="0"/>
        <v>0</v>
      </c>
      <c r="AQ26" s="48">
        <f t="shared" si="1"/>
        <v>0</v>
      </c>
      <c r="AR26" s="48">
        <f t="shared" si="2"/>
        <v>0</v>
      </c>
      <c r="AS26" s="48">
        <f t="shared" si="3"/>
        <v>0</v>
      </c>
      <c r="AT26" s="48">
        <f t="shared" si="4"/>
        <v>0</v>
      </c>
      <c r="AU26" s="48">
        <f t="shared" si="5"/>
        <v>0</v>
      </c>
      <c r="AV26" s="48">
        <f t="shared" si="6"/>
        <v>0</v>
      </c>
      <c r="AW26" s="48">
        <v>0</v>
      </c>
      <c r="AX26" s="48">
        <v>0</v>
      </c>
      <c r="AY26" s="8">
        <v>0</v>
      </c>
      <c r="AZ26" s="49">
        <v>0</v>
      </c>
      <c r="BA26" s="48">
        <v>0</v>
      </c>
      <c r="BB26" s="48">
        <v>0</v>
      </c>
      <c r="BC26" s="8">
        <v>0</v>
      </c>
    </row>
    <row r="27" spans="2:55" x14ac:dyDescent="0.25">
      <c r="B27" s="54" t="s">
        <v>130</v>
      </c>
      <c r="C27" s="54">
        <v>1</v>
      </c>
      <c r="D27" s="47"/>
      <c r="E27" s="47"/>
      <c r="F27" s="47"/>
      <c r="G27" s="47"/>
      <c r="H27" s="47"/>
      <c r="I27" s="47"/>
      <c r="J27" s="47"/>
      <c r="K27" s="47"/>
      <c r="L27" s="47"/>
      <c r="M27" s="47"/>
      <c r="N27" s="47"/>
      <c r="O27" s="47"/>
      <c r="P27" s="47"/>
      <c r="Q27" s="47"/>
      <c r="R27" s="47"/>
      <c r="S27" s="47"/>
      <c r="T27" s="47"/>
      <c r="U27" s="47"/>
      <c r="V27" s="47"/>
      <c r="W27" s="47"/>
      <c r="X27" s="47"/>
      <c r="Y27" s="47"/>
      <c r="Z27" s="47"/>
      <c r="AA27" s="47"/>
      <c r="AB27" s="47"/>
      <c r="AC27" s="47"/>
      <c r="AD27" s="47"/>
      <c r="AE27" s="47"/>
      <c r="AF27" s="47"/>
      <c r="AG27" s="47"/>
      <c r="AH27" s="47"/>
      <c r="AI27" s="47"/>
      <c r="AJ27" s="47"/>
      <c r="AK27" s="47"/>
      <c r="AL27" s="47"/>
      <c r="AM27" s="47"/>
      <c r="AN27" s="47"/>
      <c r="AO27" s="6"/>
      <c r="AP27" s="25">
        <f t="shared" si="0"/>
        <v>0</v>
      </c>
      <c r="AQ27" s="47">
        <f t="shared" si="1"/>
        <v>0</v>
      </c>
      <c r="AR27" s="47">
        <f t="shared" si="2"/>
        <v>0</v>
      </c>
      <c r="AS27" s="47">
        <f t="shared" si="3"/>
        <v>0</v>
      </c>
      <c r="AT27" s="47">
        <f t="shared" si="4"/>
        <v>0</v>
      </c>
      <c r="AU27" s="47">
        <f t="shared" si="5"/>
        <v>0</v>
      </c>
      <c r="AV27" s="47">
        <f t="shared" si="6"/>
        <v>0</v>
      </c>
      <c r="AW27" s="47">
        <v>0</v>
      </c>
      <c r="AX27" s="47">
        <v>0</v>
      </c>
      <c r="AY27" s="6">
        <v>0</v>
      </c>
      <c r="AZ27" s="56">
        <v>0</v>
      </c>
      <c r="BA27" s="3">
        <v>0</v>
      </c>
      <c r="BB27" s="3">
        <v>0</v>
      </c>
      <c r="BC27" s="28">
        <v>0</v>
      </c>
    </row>
    <row r="28" spans="2:55" x14ac:dyDescent="0.25">
      <c r="B28" s="54"/>
      <c r="C28" s="54">
        <v>5</v>
      </c>
      <c r="D28" s="47">
        <v>5.2666666666666666</v>
      </c>
      <c r="E28" s="47">
        <v>3.4866666666666668</v>
      </c>
      <c r="F28" s="47"/>
      <c r="G28" s="47"/>
      <c r="H28" s="47"/>
      <c r="I28" s="47"/>
      <c r="J28" s="47"/>
      <c r="K28" s="47"/>
      <c r="L28" s="47"/>
      <c r="M28" s="47"/>
      <c r="N28" s="47"/>
      <c r="O28" s="47"/>
      <c r="P28" s="47"/>
      <c r="Q28" s="47"/>
      <c r="R28" s="47"/>
      <c r="S28" s="47">
        <v>0.82</v>
      </c>
      <c r="T28" s="47">
        <v>0.84533333333333338</v>
      </c>
      <c r="U28" s="47">
        <v>3.0966666666666671</v>
      </c>
      <c r="V28" s="47">
        <v>0.72399999999999998</v>
      </c>
      <c r="W28" s="47">
        <v>0.97649999999999992</v>
      </c>
      <c r="X28" s="47"/>
      <c r="Y28" s="47"/>
      <c r="Z28" s="47"/>
      <c r="AA28" s="47"/>
      <c r="AB28" s="47"/>
      <c r="AC28" s="47"/>
      <c r="AD28" s="47"/>
      <c r="AE28" s="47"/>
      <c r="AF28" s="47"/>
      <c r="AG28" s="47"/>
      <c r="AH28" s="47"/>
      <c r="AI28" s="47"/>
      <c r="AJ28" s="47"/>
      <c r="AK28" s="47">
        <v>0.92300000000000004</v>
      </c>
      <c r="AL28" s="47">
        <v>1.4266666666666667</v>
      </c>
      <c r="AM28" s="47">
        <v>2.1033333333333335</v>
      </c>
      <c r="AN28" s="47">
        <v>4.3833333333333337</v>
      </c>
      <c r="AO28" s="6">
        <v>5.1899999999999995</v>
      </c>
      <c r="AP28" s="25">
        <f t="shared" si="0"/>
        <v>29.242166666666662</v>
      </c>
      <c r="AQ28" s="47">
        <f t="shared" si="1"/>
        <v>15.215833333333334</v>
      </c>
      <c r="AR28" s="47">
        <f t="shared" si="2"/>
        <v>14.026333333333334</v>
      </c>
      <c r="AS28" s="47">
        <f t="shared" si="3"/>
        <v>8.7533333333333339</v>
      </c>
      <c r="AT28" s="47">
        <f t="shared" si="4"/>
        <v>0</v>
      </c>
      <c r="AU28" s="47">
        <f t="shared" si="5"/>
        <v>6.4625000000000004</v>
      </c>
      <c r="AV28" s="47">
        <f t="shared" si="6"/>
        <v>14.026333333333334</v>
      </c>
      <c r="AW28" s="47">
        <v>9.3843314922031471</v>
      </c>
      <c r="AX28" s="47">
        <v>5.9910036443543175</v>
      </c>
      <c r="AY28" s="6">
        <v>3.4003946176224273</v>
      </c>
      <c r="AZ28" s="25">
        <v>5.3484600587458822</v>
      </c>
      <c r="BA28" s="47">
        <v>0</v>
      </c>
      <c r="BB28" s="47">
        <v>3.1739838826780455</v>
      </c>
      <c r="BC28" s="6">
        <v>6.630222696109084</v>
      </c>
    </row>
    <row r="29" spans="2:55" x14ac:dyDescent="0.25">
      <c r="B29" s="54"/>
      <c r="C29" s="54">
        <v>17</v>
      </c>
      <c r="D29" s="47">
        <v>4.3899999999999997</v>
      </c>
      <c r="E29" s="47">
        <v>3.4433333333333334</v>
      </c>
      <c r="F29" s="47"/>
      <c r="G29" s="47"/>
      <c r="H29" s="47">
        <v>0.52600000000000002</v>
      </c>
      <c r="I29" s="47"/>
      <c r="J29" s="47"/>
      <c r="K29" s="47"/>
      <c r="L29" s="47"/>
      <c r="M29" s="47"/>
      <c r="N29" s="47"/>
      <c r="O29" s="47"/>
      <c r="P29" s="47"/>
      <c r="Q29" s="47"/>
      <c r="R29" s="47"/>
      <c r="S29" s="47">
        <v>7.1466666666666674</v>
      </c>
      <c r="T29" s="47">
        <v>10.166666666666666</v>
      </c>
      <c r="U29" s="47">
        <v>18.066666666666666</v>
      </c>
      <c r="V29" s="47">
        <v>3.0766666666666662</v>
      </c>
      <c r="W29" s="47">
        <v>3.2033333333333336</v>
      </c>
      <c r="X29" s="47">
        <v>0.67</v>
      </c>
      <c r="Y29" s="47"/>
      <c r="Z29" s="47"/>
      <c r="AA29" s="47"/>
      <c r="AB29" s="47"/>
      <c r="AC29" s="47"/>
      <c r="AD29" s="47"/>
      <c r="AE29" s="47"/>
      <c r="AF29" s="47"/>
      <c r="AG29" s="47"/>
      <c r="AH29" s="47"/>
      <c r="AI29" s="47"/>
      <c r="AJ29" s="47">
        <v>0.97699999999999987</v>
      </c>
      <c r="AK29" s="47">
        <v>14.6</v>
      </c>
      <c r="AL29" s="47">
        <v>21.833333333333332</v>
      </c>
      <c r="AM29" s="47">
        <v>8.0666666666666682</v>
      </c>
      <c r="AN29" s="47">
        <v>13.896666666666667</v>
      </c>
      <c r="AO29" s="6">
        <v>3.276666666666666</v>
      </c>
      <c r="AP29" s="25">
        <f t="shared" si="0"/>
        <v>113.33966666666666</v>
      </c>
      <c r="AQ29" s="47">
        <f t="shared" si="1"/>
        <v>50.689333333333337</v>
      </c>
      <c r="AR29" s="47">
        <f t="shared" si="2"/>
        <v>62.650333333333336</v>
      </c>
      <c r="AS29" s="47">
        <f t="shared" si="3"/>
        <v>8.3593333333333337</v>
      </c>
      <c r="AT29" s="47">
        <f t="shared" si="4"/>
        <v>0</v>
      </c>
      <c r="AU29" s="47">
        <f t="shared" si="5"/>
        <v>42.33</v>
      </c>
      <c r="AV29" s="47">
        <f t="shared" si="6"/>
        <v>62.650333333333336</v>
      </c>
      <c r="AW29" s="47">
        <v>29.978446928121929</v>
      </c>
      <c r="AX29" s="47">
        <v>16.182707890420147</v>
      </c>
      <c r="AY29" s="6">
        <v>14.947715551957176</v>
      </c>
      <c r="AZ29" s="25">
        <v>4.0266731615565714</v>
      </c>
      <c r="BA29" s="47">
        <v>0</v>
      </c>
      <c r="BB29" s="47">
        <v>23.961023950365732</v>
      </c>
      <c r="BC29" s="6">
        <v>30.058695916281867</v>
      </c>
    </row>
    <row r="30" spans="2:55" x14ac:dyDescent="0.25">
      <c r="B30" s="54"/>
      <c r="C30" s="54">
        <v>57</v>
      </c>
      <c r="D30" s="47">
        <v>2.3066666666666666</v>
      </c>
      <c r="E30" s="47">
        <v>2.06</v>
      </c>
      <c r="F30" s="47"/>
      <c r="G30" s="47"/>
      <c r="H30" s="47"/>
      <c r="I30" s="47"/>
      <c r="J30" s="47"/>
      <c r="K30" s="47"/>
      <c r="L30" s="47"/>
      <c r="M30" s="47"/>
      <c r="N30" s="47"/>
      <c r="O30" s="47"/>
      <c r="P30" s="47"/>
      <c r="Q30" s="47"/>
      <c r="R30" s="47"/>
      <c r="S30" s="47">
        <v>14.833333333333334</v>
      </c>
      <c r="T30" s="47">
        <v>13.266666666666666</v>
      </c>
      <c r="U30" s="47">
        <v>20.733333333333334</v>
      </c>
      <c r="V30" s="47">
        <v>3.5966666666666662</v>
      </c>
      <c r="W30" s="47">
        <v>3.4333333333333336</v>
      </c>
      <c r="X30" s="47">
        <v>0.53200000000000003</v>
      </c>
      <c r="Y30" s="47"/>
      <c r="Z30" s="47"/>
      <c r="AA30" s="47"/>
      <c r="AB30" s="47"/>
      <c r="AC30" s="47"/>
      <c r="AD30" s="47"/>
      <c r="AE30" s="47"/>
      <c r="AF30" s="47"/>
      <c r="AG30" s="47"/>
      <c r="AH30" s="47"/>
      <c r="AI30" s="47"/>
      <c r="AJ30" s="47">
        <v>1.5266666666666666</v>
      </c>
      <c r="AK30" s="47">
        <v>21.766666666666669</v>
      </c>
      <c r="AL30" s="47">
        <v>26.033333333333331</v>
      </c>
      <c r="AM30" s="47">
        <v>13.733333333333334</v>
      </c>
      <c r="AN30" s="47">
        <v>12.799999999999999</v>
      </c>
      <c r="AO30" s="6">
        <v>10.223333333333334</v>
      </c>
      <c r="AP30" s="25">
        <f t="shared" si="0"/>
        <v>146.84533333333334</v>
      </c>
      <c r="AQ30" s="47">
        <f t="shared" si="1"/>
        <v>60.762</v>
      </c>
      <c r="AR30" s="47">
        <f t="shared" si="2"/>
        <v>86.083333333333329</v>
      </c>
      <c r="AS30" s="47">
        <f t="shared" si="3"/>
        <v>4.3666666666666671</v>
      </c>
      <c r="AT30" s="47">
        <f t="shared" si="4"/>
        <v>0</v>
      </c>
      <c r="AU30" s="47">
        <f t="shared" si="5"/>
        <v>56.395333333333326</v>
      </c>
      <c r="AV30" s="47">
        <f t="shared" si="6"/>
        <v>86.083333333333329</v>
      </c>
      <c r="AW30" s="47">
        <v>31.815767862282719</v>
      </c>
      <c r="AX30" s="47">
        <v>20.462703313318325</v>
      </c>
      <c r="AY30" s="6">
        <v>28.098994446223358</v>
      </c>
      <c r="AZ30" s="25">
        <v>1.9022946669745997</v>
      </c>
      <c r="BA30" s="47">
        <v>0</v>
      </c>
      <c r="BB30" s="47">
        <v>29.994508318190515</v>
      </c>
      <c r="BC30" s="6">
        <v>44.515209970862777</v>
      </c>
    </row>
    <row r="31" spans="2:55" x14ac:dyDescent="0.25">
      <c r="B31" s="54"/>
      <c r="C31" s="54">
        <v>61</v>
      </c>
      <c r="D31" s="47"/>
      <c r="E31" s="47"/>
      <c r="F31" s="47"/>
      <c r="G31" s="47"/>
      <c r="H31" s="47"/>
      <c r="I31" s="47"/>
      <c r="J31" s="47"/>
      <c r="K31" s="47"/>
      <c r="L31" s="47"/>
      <c r="M31" s="47"/>
      <c r="N31" s="47"/>
      <c r="O31" s="47"/>
      <c r="P31" s="47"/>
      <c r="Q31" s="47"/>
      <c r="R31" s="47"/>
      <c r="S31" s="47">
        <v>17.566666666666666</v>
      </c>
      <c r="T31" s="47">
        <v>20.399999999999999</v>
      </c>
      <c r="U31" s="47">
        <v>33.466666666666669</v>
      </c>
      <c r="V31" s="47">
        <v>3.1833333333333336</v>
      </c>
      <c r="W31" s="47">
        <v>2.3466666666666671</v>
      </c>
      <c r="X31" s="47"/>
      <c r="Y31" s="47"/>
      <c r="Z31" s="47"/>
      <c r="AA31" s="47"/>
      <c r="AB31" s="47"/>
      <c r="AC31" s="47"/>
      <c r="AD31" s="47"/>
      <c r="AE31" s="47"/>
      <c r="AF31" s="47"/>
      <c r="AG31" s="47"/>
      <c r="AH31" s="47"/>
      <c r="AI31" s="47"/>
      <c r="AJ31" s="47">
        <v>1.53</v>
      </c>
      <c r="AK31" s="47">
        <v>25.533333333333331</v>
      </c>
      <c r="AL31" s="47">
        <v>26.066666666666666</v>
      </c>
      <c r="AM31" s="47">
        <v>10.700000000000001</v>
      </c>
      <c r="AN31" s="47">
        <v>4.51</v>
      </c>
      <c r="AO31" s="6">
        <v>1.1045</v>
      </c>
      <c r="AP31" s="25">
        <f t="shared" si="0"/>
        <v>146.40783333333331</v>
      </c>
      <c r="AQ31" s="47">
        <f t="shared" si="1"/>
        <v>76.963333333333338</v>
      </c>
      <c r="AR31" s="47">
        <f t="shared" si="2"/>
        <v>69.444500000000005</v>
      </c>
      <c r="AS31" s="47">
        <f t="shared" si="3"/>
        <v>0</v>
      </c>
      <c r="AT31" s="47">
        <f t="shared" si="4"/>
        <v>0</v>
      </c>
      <c r="AU31" s="47">
        <f t="shared" si="5"/>
        <v>76.963333333333338</v>
      </c>
      <c r="AV31" s="47">
        <f t="shared" si="6"/>
        <v>69.444500000000005</v>
      </c>
      <c r="AW31" s="47">
        <v>35.437226662869001</v>
      </c>
      <c r="AX31" s="47">
        <v>16.200642648432858</v>
      </c>
      <c r="AY31" s="6">
        <v>19.236609720934613</v>
      </c>
      <c r="AZ31" s="25">
        <v>0</v>
      </c>
      <c r="BA31" s="47">
        <v>0</v>
      </c>
      <c r="BB31" s="47">
        <v>36.159018498156172</v>
      </c>
      <c r="BC31" s="6">
        <v>34.237393047478079</v>
      </c>
    </row>
    <row r="32" spans="2:55" x14ac:dyDescent="0.25">
      <c r="B32" s="55"/>
      <c r="C32" s="55">
        <v>136</v>
      </c>
      <c r="D32" s="48"/>
      <c r="E32" s="48"/>
      <c r="F32" s="48"/>
      <c r="G32" s="48"/>
      <c r="H32" s="48"/>
      <c r="I32" s="48"/>
      <c r="J32" s="48"/>
      <c r="K32" s="48"/>
      <c r="L32" s="48"/>
      <c r="M32" s="48"/>
      <c r="N32" s="48"/>
      <c r="O32" s="48"/>
      <c r="P32" s="48"/>
      <c r="Q32" s="48"/>
      <c r="R32" s="48"/>
      <c r="S32" s="48">
        <v>2.8233333333333337</v>
      </c>
      <c r="T32" s="48">
        <v>1.6406666666666665</v>
      </c>
      <c r="U32" s="48">
        <v>1.3199999999999998</v>
      </c>
      <c r="V32" s="48"/>
      <c r="W32" s="48"/>
      <c r="X32" s="48"/>
      <c r="Y32" s="48"/>
      <c r="Z32" s="48"/>
      <c r="AA32" s="48"/>
      <c r="AB32" s="48"/>
      <c r="AC32" s="48"/>
      <c r="AD32" s="48"/>
      <c r="AE32" s="48"/>
      <c r="AF32" s="48"/>
      <c r="AG32" s="48"/>
      <c r="AH32" s="48"/>
      <c r="AI32" s="48"/>
      <c r="AJ32" s="48"/>
      <c r="AK32" s="48">
        <v>3.1233333333333335</v>
      </c>
      <c r="AL32" s="48">
        <v>1.2925</v>
      </c>
      <c r="AM32" s="48"/>
      <c r="AN32" s="48"/>
      <c r="AO32" s="8"/>
      <c r="AP32" s="49">
        <f t="shared" si="0"/>
        <v>10.199833333333334</v>
      </c>
      <c r="AQ32" s="48">
        <f t="shared" si="1"/>
        <v>5.7840000000000007</v>
      </c>
      <c r="AR32" s="48">
        <f t="shared" si="2"/>
        <v>4.4158333333333335</v>
      </c>
      <c r="AS32" s="48">
        <f t="shared" si="3"/>
        <v>0</v>
      </c>
      <c r="AT32" s="48">
        <f t="shared" si="4"/>
        <v>0</v>
      </c>
      <c r="AU32" s="48">
        <f t="shared" si="5"/>
        <v>5.7840000000000007</v>
      </c>
      <c r="AV32" s="48">
        <f t="shared" si="6"/>
        <v>4.4158333333333335</v>
      </c>
      <c r="AW32" s="48">
        <v>4.5158899455146155</v>
      </c>
      <c r="AX32" s="48">
        <v>2.3721028645486695</v>
      </c>
      <c r="AY32" s="8">
        <v>2.1437933669082945</v>
      </c>
      <c r="AZ32" s="49">
        <v>0</v>
      </c>
      <c r="BA32" s="48">
        <v>0</v>
      </c>
      <c r="BB32" s="48">
        <v>3.0943241588430905</v>
      </c>
      <c r="BC32" s="8">
        <v>2.53464587023513</v>
      </c>
    </row>
    <row r="33" spans="1:55" x14ac:dyDescent="0.25">
      <c r="B33" s="4" t="s">
        <v>350</v>
      </c>
      <c r="C33" s="63">
        <v>1</v>
      </c>
      <c r="D33" s="4">
        <v>174.94318619126</v>
      </c>
      <c r="E33" s="4">
        <v>42.114481079843465</v>
      </c>
      <c r="F33" s="4">
        <v>7.8371614534380782</v>
      </c>
      <c r="G33" s="4">
        <v>1.8840850181243944</v>
      </c>
      <c r="H33" s="4">
        <v>32.91335064371772</v>
      </c>
      <c r="I33" s="4">
        <v>0.20695650886551314</v>
      </c>
      <c r="J33" s="4">
        <v>0.40858836169307472</v>
      </c>
      <c r="K33" s="4">
        <v>0.21028213091197012</v>
      </c>
      <c r="L33" s="4">
        <v>0.28451861718023885</v>
      </c>
      <c r="M33" s="4">
        <v>0.1674303660925579</v>
      </c>
      <c r="N33" s="4">
        <v>0.12317348611750197</v>
      </c>
      <c r="O33" s="4">
        <v>0.52828644008932035</v>
      </c>
      <c r="P33" s="4">
        <v>0</v>
      </c>
      <c r="Q33" s="4">
        <v>0.90550813219752169</v>
      </c>
      <c r="R33" s="4">
        <v>0.20936758002849637</v>
      </c>
      <c r="S33" s="4">
        <v>49.138188011935938</v>
      </c>
      <c r="T33" s="4">
        <v>48.412844723986993</v>
      </c>
      <c r="U33" s="4">
        <v>77.502826763399412</v>
      </c>
      <c r="V33" s="4">
        <v>6.2965508709879749</v>
      </c>
      <c r="W33" s="4">
        <v>5.3266419294575265</v>
      </c>
      <c r="X33" s="4">
        <v>1.0506098773269035</v>
      </c>
      <c r="Y33" s="4">
        <v>0</v>
      </c>
      <c r="Z33" s="4">
        <v>0.25339484701469761</v>
      </c>
      <c r="AA33" s="4">
        <v>9.1334586376837734</v>
      </c>
      <c r="AB33" s="4">
        <v>0.11149121068407267</v>
      </c>
      <c r="AC33" s="4">
        <v>1.9916910551528572E-2</v>
      </c>
      <c r="AD33" s="4">
        <v>0.13862801736297889</v>
      </c>
      <c r="AE33" s="4">
        <v>0.58485508934526231</v>
      </c>
      <c r="AF33" s="4">
        <v>0.40489869131403922</v>
      </c>
      <c r="AG33" s="4">
        <v>0.7733469951791585</v>
      </c>
      <c r="AH33" s="4">
        <v>0.20588088930538251</v>
      </c>
      <c r="AI33" s="4">
        <v>0</v>
      </c>
      <c r="AJ33" s="4">
        <v>7.4132099676053507</v>
      </c>
      <c r="AK33" s="4">
        <v>95.473585232963842</v>
      </c>
      <c r="AL33" s="4">
        <v>61.507040737694766</v>
      </c>
      <c r="AM33" s="4">
        <v>37.804323845825451</v>
      </c>
      <c r="AN33" s="4">
        <v>20.991912309041862</v>
      </c>
      <c r="AO33" s="4">
        <v>22.595168661807797</v>
      </c>
      <c r="AP33" s="4">
        <f t="shared" ref="AP33:AP41" si="7">SUM(D33:AO33)</f>
        <v>707.87515023003448</v>
      </c>
      <c r="AQ33" s="4">
        <f t="shared" ref="AQ33:AQ41" si="8">SUM(D33:X33)</f>
        <v>450.46403818665465</v>
      </c>
      <c r="AR33" s="4">
        <f t="shared" ref="AR33:AR41" si="9">SUM(Y33:AO33)</f>
        <v>257.41111204337994</v>
      </c>
      <c r="AS33" s="4">
        <f t="shared" ref="AS33:AS41" si="10">SUM(D33:N33)</f>
        <v>261.09321385724456</v>
      </c>
      <c r="AT33" s="4">
        <f t="shared" ref="AT33:AT41" si="11">SUM(Y33:AG33)</f>
        <v>11.419990399135511</v>
      </c>
      <c r="AU33" s="4">
        <f t="shared" ref="AU33:AU41" si="12">SUM(O33:X33)</f>
        <v>189.37082432941008</v>
      </c>
      <c r="AV33">
        <f t="shared" ref="AV33:AV41" si="13">SUM(AH33:AO33)</f>
        <v>245.99112164424446</v>
      </c>
      <c r="AW33">
        <v>4.5158899455146155</v>
      </c>
      <c r="AX33">
        <v>2.3721028645486695</v>
      </c>
      <c r="AY33">
        <v>2.1437933669082945</v>
      </c>
      <c r="AZ33">
        <v>11.902892882319877</v>
      </c>
      <c r="BA33">
        <v>1.3926775235818045</v>
      </c>
      <c r="BB33">
        <v>17.724969954572234</v>
      </c>
      <c r="BC33">
        <v>32.229367730490431</v>
      </c>
    </row>
    <row r="34" spans="1:55" x14ac:dyDescent="0.25">
      <c r="B34" s="4"/>
      <c r="C34" s="63">
        <v>5</v>
      </c>
      <c r="D34" s="4">
        <v>172.55025729380066</v>
      </c>
      <c r="E34" s="4">
        <v>40.583648136263442</v>
      </c>
      <c r="F34" s="4">
        <v>8.9387467419751303</v>
      </c>
      <c r="G34" s="4">
        <v>2.7605349244588533</v>
      </c>
      <c r="H34" s="4">
        <v>52.628559747525046</v>
      </c>
      <c r="I34" s="4">
        <v>0.38618262110255053</v>
      </c>
      <c r="J34" s="4">
        <v>0.95992861357052561</v>
      </c>
      <c r="K34" s="4">
        <v>0.53897320576267504</v>
      </c>
      <c r="L34" s="4">
        <v>0.79266203665573742</v>
      </c>
      <c r="M34" s="4">
        <v>0.49535022842932763</v>
      </c>
      <c r="N34" s="4">
        <v>0.35040926588403248</v>
      </c>
      <c r="O34" s="4">
        <v>0.63234551943528439</v>
      </c>
      <c r="P34" s="4">
        <v>0</v>
      </c>
      <c r="Q34" s="4">
        <v>1.0394325474807991</v>
      </c>
      <c r="R34" s="4">
        <v>0.36172652046195153</v>
      </c>
      <c r="S34" s="4">
        <v>107.6981278245207</v>
      </c>
      <c r="T34" s="4">
        <v>107.00052868222582</v>
      </c>
      <c r="U34" s="4">
        <v>186.50743612315901</v>
      </c>
      <c r="V34" s="4">
        <v>24.503443624397423</v>
      </c>
      <c r="W34" s="4">
        <v>20.833200892598349</v>
      </c>
      <c r="X34" s="4">
        <v>5.0875445544118971</v>
      </c>
      <c r="Y34" s="4">
        <v>0</v>
      </c>
      <c r="Z34" s="4">
        <v>0.43714189734942899</v>
      </c>
      <c r="AA34" s="4">
        <v>16.591308447039602</v>
      </c>
      <c r="AB34" s="4">
        <v>0.20444843670944568</v>
      </c>
      <c r="AC34" s="4">
        <v>0.16960943959123462</v>
      </c>
      <c r="AD34" s="4">
        <v>0.51812802519687484</v>
      </c>
      <c r="AE34" s="4">
        <v>2.3449070878245095</v>
      </c>
      <c r="AF34" s="4">
        <v>1.4483619134168007</v>
      </c>
      <c r="AG34" s="4">
        <v>2.2616032257494196</v>
      </c>
      <c r="AH34" s="4">
        <v>0.21289956715955391</v>
      </c>
      <c r="AI34" s="4">
        <v>0</v>
      </c>
      <c r="AJ34" s="4">
        <v>17.867613808849956</v>
      </c>
      <c r="AK34" s="4">
        <v>232.68122448949794</v>
      </c>
      <c r="AL34" s="4">
        <v>172.43337110671223</v>
      </c>
      <c r="AM34" s="4">
        <v>137.76974280995077</v>
      </c>
      <c r="AN34" s="4">
        <v>83.664403990786809</v>
      </c>
      <c r="AO34" s="4">
        <v>89.578592344575796</v>
      </c>
      <c r="AP34" s="4">
        <f t="shared" si="7"/>
        <v>1492.8323956945294</v>
      </c>
      <c r="AQ34" s="4">
        <f t="shared" si="8"/>
        <v>734.6490391041192</v>
      </c>
      <c r="AR34" s="4">
        <f t="shared" si="9"/>
        <v>758.18335659041031</v>
      </c>
      <c r="AS34" s="4">
        <f t="shared" si="10"/>
        <v>280.98525281542794</v>
      </c>
      <c r="AT34" s="4">
        <f t="shared" si="11"/>
        <v>23.975508472877312</v>
      </c>
      <c r="AU34" s="4">
        <f t="shared" si="12"/>
        <v>453.66378628869126</v>
      </c>
      <c r="AV34">
        <f t="shared" si="13"/>
        <v>734.2078481175331</v>
      </c>
      <c r="AW34">
        <v>4.5158899455146155</v>
      </c>
      <c r="AX34">
        <v>2.3721028645486695</v>
      </c>
      <c r="AY34">
        <v>2.1437933669082945</v>
      </c>
      <c r="AZ34">
        <v>38.505193239784283</v>
      </c>
      <c r="BA34">
        <v>4.1517024829345734</v>
      </c>
      <c r="BB34">
        <v>121.61903286097458</v>
      </c>
      <c r="BC34">
        <v>219.73519455042501</v>
      </c>
    </row>
    <row r="35" spans="1:55" s="4" customFormat="1" x14ac:dyDescent="0.25">
      <c r="A35">
        <v>10</v>
      </c>
      <c r="B35" t="s">
        <v>43</v>
      </c>
      <c r="C35">
        <v>10</v>
      </c>
      <c r="D35" s="4">
        <v>284.32575756922301</v>
      </c>
      <c r="E35" s="4">
        <v>66.610045035157299</v>
      </c>
      <c r="F35" s="4">
        <v>10.6523045877275</v>
      </c>
      <c r="G35" s="4">
        <v>2.7120494761520599</v>
      </c>
      <c r="H35" s="4">
        <v>43.394169635806499</v>
      </c>
      <c r="I35" s="4">
        <v>0.25347807396588001</v>
      </c>
      <c r="J35" s="4">
        <v>0.57317397410050497</v>
      </c>
      <c r="K35" s="4">
        <v>0.33631849532568497</v>
      </c>
      <c r="L35" s="4">
        <v>0.48063332634213402</v>
      </c>
      <c r="M35" s="4">
        <v>0.27289544722628301</v>
      </c>
      <c r="N35" s="4">
        <v>0.19295079247776598</v>
      </c>
      <c r="O35" s="4">
        <v>0.86500697399903803</v>
      </c>
      <c r="P35" s="4">
        <v>0</v>
      </c>
      <c r="Q35" s="4">
        <v>1.0759265205715201</v>
      </c>
      <c r="R35" s="4">
        <v>0.26610812994675698</v>
      </c>
      <c r="S35" s="4">
        <v>85.465817528683203</v>
      </c>
      <c r="T35" s="4">
        <v>70.588763305956292</v>
      </c>
      <c r="U35" s="4">
        <v>123.59458905088501</v>
      </c>
      <c r="V35" s="4">
        <v>11.552653616138</v>
      </c>
      <c r="W35" s="4">
        <v>11.547370434899099</v>
      </c>
      <c r="X35" s="4">
        <v>2.0875674191361999</v>
      </c>
      <c r="Y35" s="4">
        <v>0.29599852653898201</v>
      </c>
      <c r="Z35" s="4">
        <v>12.0173908073373</v>
      </c>
      <c r="AA35" s="4">
        <v>0</v>
      </c>
      <c r="AB35" s="4">
        <v>0</v>
      </c>
      <c r="AC35" s="4">
        <v>0.30387874611136645</v>
      </c>
      <c r="AD35" s="4">
        <v>1.766692467812949</v>
      </c>
      <c r="AE35" s="4">
        <v>0.93718110211579209</v>
      </c>
      <c r="AF35" s="4">
        <v>1.4976930296121671</v>
      </c>
      <c r="AG35" s="4">
        <v>0.19701246686466301</v>
      </c>
      <c r="AH35" s="4">
        <v>0</v>
      </c>
      <c r="AI35" s="4">
        <v>12.606628840942276</v>
      </c>
      <c r="AJ35" s="4">
        <v>159.02238441509951</v>
      </c>
      <c r="AK35" s="4">
        <v>108.2577960675208</v>
      </c>
      <c r="AL35" s="4">
        <v>82.727715867479546</v>
      </c>
      <c r="AM35" s="4">
        <v>47.817826812809749</v>
      </c>
      <c r="AN35" s="4">
        <v>47.969998027418121</v>
      </c>
      <c r="AO35" s="4">
        <v>13.51467110942863</v>
      </c>
      <c r="AP35" s="4">
        <v>1516.898550624757</v>
      </c>
      <c r="AQ35" s="4">
        <f t="shared" ref="AQ35" si="14">SUM(D35:X35)</f>
        <v>716.84757939371968</v>
      </c>
      <c r="AR35" s="4">
        <f t="shared" ref="AR35" si="15">SUM(Y35:AO35)</f>
        <v>488.93286828709182</v>
      </c>
      <c r="AS35" s="4">
        <f t="shared" ref="AS35" si="16">SUM(D35:N35)</f>
        <v>409.80377641350464</v>
      </c>
      <c r="AT35" s="4">
        <f t="shared" ref="AT35" si="17">SUM(Y35:AG35)</f>
        <v>17.01584714639322</v>
      </c>
      <c r="AU35" s="4">
        <f t="shared" ref="AU35" si="18">SUM(O35:X35)</f>
        <v>307.0438029802151</v>
      </c>
      <c r="AV35">
        <f t="shared" ref="AV35" si="19">SUM(AH35:AO35)</f>
        <v>471.91702114069864</v>
      </c>
    </row>
    <row r="36" spans="1:55" x14ac:dyDescent="0.25">
      <c r="B36" s="4"/>
      <c r="C36" s="63">
        <v>17</v>
      </c>
      <c r="D36" s="4">
        <v>218.376371445464</v>
      </c>
      <c r="E36" s="4">
        <v>53.105685457190098</v>
      </c>
      <c r="F36" s="4">
        <v>11.2437509363321</v>
      </c>
      <c r="G36" s="4">
        <v>3.3347835682208702</v>
      </c>
      <c r="H36" s="4">
        <v>77.045806591399412</v>
      </c>
      <c r="I36" s="4">
        <v>0.39748327683575796</v>
      </c>
      <c r="J36" s="4">
        <v>0.90041145810422996</v>
      </c>
      <c r="K36" s="4">
        <v>0.59737938427432902</v>
      </c>
      <c r="L36" s="4">
        <v>0.83409934677813502</v>
      </c>
      <c r="M36" s="4">
        <v>0.53578700364111598</v>
      </c>
      <c r="N36" s="4">
        <v>0.41609464937940499</v>
      </c>
      <c r="O36" s="4">
        <v>0.79719931461819704</v>
      </c>
      <c r="P36" s="4">
        <v>0</v>
      </c>
      <c r="Q36" s="4">
        <v>1.19410425279479</v>
      </c>
      <c r="R36" s="4">
        <v>0.33223387645118996</v>
      </c>
      <c r="S36" s="4">
        <v>110.36203337917699</v>
      </c>
      <c r="T36" s="4">
        <v>116.368513359074</v>
      </c>
      <c r="U36" s="4">
        <v>208.901888897612</v>
      </c>
      <c r="V36" s="4">
        <v>24.055441471286201</v>
      </c>
      <c r="W36" s="4">
        <v>22.0436688310037</v>
      </c>
      <c r="X36" s="4">
        <v>4.7982055111767501</v>
      </c>
      <c r="Y36" s="4">
        <v>0</v>
      </c>
      <c r="Z36" s="4">
        <v>0.38373492039532697</v>
      </c>
      <c r="AA36" s="4">
        <v>21.472340384024399</v>
      </c>
      <c r="AB36" s="4">
        <v>0.26380949213907701</v>
      </c>
      <c r="AC36" s="4">
        <v>0.15888313030511553</v>
      </c>
      <c r="AD36" s="4">
        <v>0.40669477758276495</v>
      </c>
      <c r="AE36" s="4">
        <v>2.7602047254563282</v>
      </c>
      <c r="AF36" s="4">
        <v>1.5991733186905421</v>
      </c>
      <c r="AG36" s="4">
        <v>2.0541929666236749</v>
      </c>
      <c r="AH36" s="4">
        <v>0.2030070180817605</v>
      </c>
      <c r="AI36" s="4">
        <v>0</v>
      </c>
      <c r="AJ36" s="4">
        <v>17.930209122602253</v>
      </c>
      <c r="AK36" s="4">
        <v>252.31629336598149</v>
      </c>
      <c r="AL36" s="4">
        <v>199.02908846975811</v>
      </c>
      <c r="AM36" s="4">
        <v>163.23895821010387</v>
      </c>
      <c r="AN36" s="4">
        <v>95.938403390697857</v>
      </c>
      <c r="AO36" s="4">
        <v>106.23086859369408</v>
      </c>
      <c r="AP36" s="4">
        <f t="shared" si="7"/>
        <v>1719.6268038969502</v>
      </c>
      <c r="AQ36" s="4">
        <f t="shared" si="8"/>
        <v>855.64094201081343</v>
      </c>
      <c r="AR36" s="4">
        <f t="shared" si="9"/>
        <v>863.98586188613672</v>
      </c>
      <c r="AS36" s="4">
        <f t="shared" si="10"/>
        <v>366.78765311761953</v>
      </c>
      <c r="AT36" s="4">
        <f t="shared" si="11"/>
        <v>29.099033715217232</v>
      </c>
      <c r="AU36" s="4">
        <f t="shared" si="12"/>
        <v>488.85328889319385</v>
      </c>
      <c r="AV36" s="4">
        <f>SUM(AH36:AO36)</f>
        <v>834.88682817091944</v>
      </c>
      <c r="AW36">
        <v>4.5158899455146155</v>
      </c>
      <c r="AX36">
        <v>2.3721028645486695</v>
      </c>
      <c r="AY36">
        <v>2.1437933669082945</v>
      </c>
      <c r="AZ36">
        <v>0</v>
      </c>
      <c r="BA36">
        <v>0</v>
      </c>
      <c r="BB36">
        <v>0</v>
      </c>
      <c r="BC36">
        <v>0</v>
      </c>
    </row>
    <row r="37" spans="1:55" s="4" customFormat="1" x14ac:dyDescent="0.25">
      <c r="A37">
        <v>24</v>
      </c>
      <c r="B37" t="s">
        <v>45</v>
      </c>
      <c r="C37">
        <v>24</v>
      </c>
      <c r="D37" s="4">
        <v>188.50481550517</v>
      </c>
      <c r="E37" s="4">
        <v>50.489828206579396</v>
      </c>
      <c r="F37" s="4">
        <v>12.932840401327899</v>
      </c>
      <c r="G37" s="4">
        <v>2.3886460803776899</v>
      </c>
      <c r="H37" s="4">
        <v>42.806243816647097</v>
      </c>
      <c r="I37" s="4">
        <v>0.24180542495007601</v>
      </c>
      <c r="J37" s="4">
        <v>0.41964530868030997</v>
      </c>
      <c r="K37" s="4">
        <v>0.151580398769354</v>
      </c>
      <c r="L37" s="4">
        <v>0.19621007491470399</v>
      </c>
      <c r="M37" s="4">
        <v>9.7031372512366099E-2</v>
      </c>
      <c r="N37" s="4">
        <v>7.7226986158126606E-2</v>
      </c>
      <c r="O37" s="4">
        <v>0.60539990859661097</v>
      </c>
      <c r="P37" s="4">
        <v>0</v>
      </c>
      <c r="Q37" s="4">
        <v>1.1923203807252001</v>
      </c>
      <c r="R37" s="4">
        <v>0.24952304370417802</v>
      </c>
      <c r="S37" s="4">
        <v>53.759837074223796</v>
      </c>
      <c r="T37" s="4">
        <v>43.5677790501285</v>
      </c>
      <c r="U37" s="4">
        <v>55.719323873776098</v>
      </c>
      <c r="V37" s="4">
        <v>3.2961674323459902</v>
      </c>
      <c r="W37" s="4">
        <v>3.0607343075600002</v>
      </c>
      <c r="X37" s="4">
        <v>0.64139967264845399</v>
      </c>
      <c r="Y37" s="4">
        <v>0.400860768942084</v>
      </c>
      <c r="Z37" s="4">
        <v>11.631072337249099</v>
      </c>
      <c r="AA37" s="4">
        <v>0.175494591979246</v>
      </c>
      <c r="AB37" s="4">
        <v>0</v>
      </c>
      <c r="AC37" s="4">
        <v>0.14409037170091987</v>
      </c>
      <c r="AD37" s="4">
        <v>0.46919717118661058</v>
      </c>
      <c r="AE37" s="4">
        <v>0.25379292421275451</v>
      </c>
      <c r="AF37" s="4">
        <v>0.43592414153411152</v>
      </c>
      <c r="AG37" s="4">
        <v>0.27587292578328154</v>
      </c>
      <c r="AH37" s="4">
        <v>0</v>
      </c>
      <c r="AI37" s="4">
        <v>8.7755491828019156</v>
      </c>
      <c r="AJ37" s="4">
        <v>101.3570487991916</v>
      </c>
      <c r="AK37" s="4">
        <v>47.709236948560893</v>
      </c>
      <c r="AL37" s="4">
        <v>26.147073210981166</v>
      </c>
      <c r="AM37" s="4">
        <v>13.63635381550885</v>
      </c>
      <c r="AN37" s="4">
        <v>15.131122069129935</v>
      </c>
      <c r="AO37" s="4">
        <v>7.1571124511038997</v>
      </c>
      <c r="AP37" s="4">
        <v>830.2427656394874</v>
      </c>
      <c r="AQ37" s="4">
        <f>SUM(D37:X37)</f>
        <v>460.39835831979582</v>
      </c>
      <c r="AR37" s="4">
        <f>SUM(Y37:AO37)</f>
        <v>233.69980170986636</v>
      </c>
      <c r="AS37" s="4">
        <f>SUM(D37:N37)</f>
        <v>298.30587357608698</v>
      </c>
      <c r="AT37" s="4">
        <f>SUM(Y37:AG37)</f>
        <v>13.786305232588107</v>
      </c>
      <c r="AU37" s="4">
        <f>SUM(O37:X37)</f>
        <v>162.09248474370881</v>
      </c>
      <c r="AV37">
        <f>SUM(AH37:AO37)</f>
        <v>219.91349647727824</v>
      </c>
    </row>
    <row r="38" spans="1:55" s="4" customFormat="1" x14ac:dyDescent="0.25">
      <c r="A38">
        <v>31</v>
      </c>
      <c r="B38" t="s">
        <v>46</v>
      </c>
      <c r="C38">
        <v>31</v>
      </c>
      <c r="D38" s="4">
        <v>213.14220835196099</v>
      </c>
      <c r="E38" s="4">
        <v>49.031122410387304</v>
      </c>
      <c r="F38" s="4">
        <v>9.9122905174793505</v>
      </c>
      <c r="G38" s="4">
        <v>2.39241020104572</v>
      </c>
      <c r="H38" s="4">
        <v>35.394656171988096</v>
      </c>
      <c r="I38" s="4">
        <v>0.18942493784011402</v>
      </c>
      <c r="J38" s="4">
        <v>0.24967474201027098</v>
      </c>
      <c r="K38" s="4">
        <v>0.16983818082031499</v>
      </c>
      <c r="L38" s="4">
        <v>0.24775821269648099</v>
      </c>
      <c r="M38" s="4">
        <v>0.111269994694038</v>
      </c>
      <c r="N38" s="4">
        <v>9.8907880260458991E-2</v>
      </c>
      <c r="O38" s="4">
        <v>0.69014539151080101</v>
      </c>
      <c r="P38" s="4">
        <v>0</v>
      </c>
      <c r="Q38" s="4">
        <v>1.2135880738040101</v>
      </c>
      <c r="R38" s="4">
        <v>0.22658387477957101</v>
      </c>
      <c r="S38" s="4">
        <v>29.482274855545203</v>
      </c>
      <c r="T38" s="4">
        <v>53.546750215337298</v>
      </c>
      <c r="U38" s="4">
        <v>69.830993597615389</v>
      </c>
      <c r="V38" s="4">
        <v>5.2514271548025002</v>
      </c>
      <c r="W38" s="4">
        <v>4.0144556212458404</v>
      </c>
      <c r="X38" s="4">
        <v>0.82094855651462206</v>
      </c>
      <c r="Y38" s="4">
        <v>0.37150016060428098</v>
      </c>
      <c r="Z38" s="4">
        <v>9.851591451310231</v>
      </c>
      <c r="AA38" s="4">
        <v>0</v>
      </c>
      <c r="AB38" s="4">
        <v>0</v>
      </c>
      <c r="AC38" s="4">
        <v>9.0707362629725355E-2</v>
      </c>
      <c r="AD38" s="4">
        <v>0.56358101827903107</v>
      </c>
      <c r="AE38" s="4">
        <v>0.2915946614780105</v>
      </c>
      <c r="AF38" s="4">
        <v>0.53974165380752148</v>
      </c>
      <c r="AG38" s="4">
        <v>0.3178977288218845</v>
      </c>
      <c r="AH38" s="4">
        <v>0</v>
      </c>
      <c r="AI38" s="4">
        <v>6.7626082119626352</v>
      </c>
      <c r="AJ38" s="4">
        <v>77.074243278770709</v>
      </c>
      <c r="AK38" s="4">
        <v>60.162180951924654</v>
      </c>
      <c r="AL38" s="4">
        <v>30.703482155774587</v>
      </c>
      <c r="AM38" s="4">
        <v>17.049817566424391</v>
      </c>
      <c r="AN38" s="4">
        <v>18.335865545857079</v>
      </c>
      <c r="AO38" s="4">
        <v>7.1875534364403064</v>
      </c>
      <c r="AP38" s="4">
        <v>837.0706021420832</v>
      </c>
      <c r="AQ38" s="4">
        <f>SUM(D38:X38)</f>
        <v>476.01672894233832</v>
      </c>
      <c r="AR38" s="4">
        <f>SUM(Y38:AO38)</f>
        <v>229.30236518408506</v>
      </c>
      <c r="AS38" s="4">
        <f>SUM(D38:N38)</f>
        <v>310.93956160118313</v>
      </c>
      <c r="AT38" s="4">
        <f>SUM(Y38:AG38)</f>
        <v>12.026614036930685</v>
      </c>
      <c r="AU38" s="4">
        <f>SUM(O38:X38)</f>
        <v>165.07716734115525</v>
      </c>
      <c r="AV38">
        <f>SUM(AH38:AO38)</f>
        <v>217.27575114715438</v>
      </c>
    </row>
    <row r="39" spans="1:55" x14ac:dyDescent="0.25">
      <c r="B39" s="4"/>
      <c r="C39" s="63">
        <v>38</v>
      </c>
      <c r="D39" s="4">
        <v>155.47020090144011</v>
      </c>
      <c r="E39" s="4">
        <v>37.090027792033517</v>
      </c>
      <c r="F39" s="4">
        <v>8.0491206778539865</v>
      </c>
      <c r="G39" s="4">
        <v>1.7629997888338071</v>
      </c>
      <c r="H39" s="4">
        <v>27.926420806537408</v>
      </c>
      <c r="I39" s="4">
        <v>0.22179836975832079</v>
      </c>
      <c r="J39" s="4">
        <v>0.50418508967587095</v>
      </c>
      <c r="K39" s="4">
        <v>0.22197198355747338</v>
      </c>
      <c r="L39" s="4">
        <v>0.28378982277853176</v>
      </c>
      <c r="M39" s="4">
        <v>0.14252656987057394</v>
      </c>
      <c r="N39" s="4">
        <v>0.10102500597245961</v>
      </c>
      <c r="O39" s="4">
        <v>0.71331767181043659</v>
      </c>
      <c r="P39" s="4">
        <v>0</v>
      </c>
      <c r="Q39" s="4">
        <v>0.81463041090390254</v>
      </c>
      <c r="R39" s="4">
        <v>0.20024382012773187</v>
      </c>
      <c r="S39" s="4">
        <v>58.639419751260618</v>
      </c>
      <c r="T39" s="4">
        <v>77.958307148240607</v>
      </c>
      <c r="U39" s="4">
        <v>79.505231826687506</v>
      </c>
      <c r="V39" s="4">
        <v>6.5710760996155164</v>
      </c>
      <c r="W39" s="4">
        <v>5.0083262007883871</v>
      </c>
      <c r="X39" s="4">
        <v>1.1469450474711063</v>
      </c>
      <c r="Y39" s="4">
        <v>0</v>
      </c>
      <c r="Z39" s="4">
        <v>0.30935189510169997</v>
      </c>
      <c r="AA39" s="4">
        <v>6.8426307821480634</v>
      </c>
      <c r="AB39" s="4">
        <v>4.6627031360728328E-2</v>
      </c>
      <c r="AC39" s="4">
        <v>2.3388949583332007E-2</v>
      </c>
      <c r="AD39" s="4">
        <v>0.17730225701107249</v>
      </c>
      <c r="AE39" s="4">
        <v>0.62010145224592939</v>
      </c>
      <c r="AF39" s="4">
        <v>0.31332968671912054</v>
      </c>
      <c r="AG39" s="4">
        <v>0.55487205952460772</v>
      </c>
      <c r="AH39" s="4">
        <v>0.19405605273753757</v>
      </c>
      <c r="AI39" s="4">
        <v>0</v>
      </c>
      <c r="AJ39" s="4">
        <v>7.5286040622558001</v>
      </c>
      <c r="AK39" s="4">
        <v>138.46662341183415</v>
      </c>
      <c r="AL39" s="4">
        <v>77.050581745597441</v>
      </c>
      <c r="AM39" s="4">
        <v>42.034433392079691</v>
      </c>
      <c r="AN39" s="4">
        <v>21.446036836039834</v>
      </c>
      <c r="AO39" s="4">
        <v>22.068410639462034</v>
      </c>
      <c r="AP39" s="4">
        <f t="shared" si="7"/>
        <v>780.0079150389189</v>
      </c>
      <c r="AQ39" s="4">
        <f t="shared" si="8"/>
        <v>462.33156478521778</v>
      </c>
      <c r="AR39" s="4">
        <f t="shared" si="9"/>
        <v>317.67635025370106</v>
      </c>
      <c r="AS39" s="4">
        <f t="shared" si="10"/>
        <v>231.77406680831203</v>
      </c>
      <c r="AT39" s="4">
        <f t="shared" si="11"/>
        <v>8.8876041136945521</v>
      </c>
      <c r="AU39" s="4">
        <f t="shared" si="12"/>
        <v>230.55749797690578</v>
      </c>
      <c r="AV39">
        <f t="shared" si="13"/>
        <v>308.78874614000648</v>
      </c>
      <c r="AW39">
        <v>4.5158899455146155</v>
      </c>
      <c r="AX39">
        <v>2.3721028645486695</v>
      </c>
      <c r="AY39">
        <v>2.1437933669082945</v>
      </c>
      <c r="AZ39">
        <v>36.592779631695869</v>
      </c>
      <c r="BA39">
        <v>0.79230389271378521</v>
      </c>
      <c r="BB39">
        <v>63.043960488254875</v>
      </c>
      <c r="BC39">
        <v>108.44542695513725</v>
      </c>
    </row>
    <row r="40" spans="1:55" s="4" customFormat="1" x14ac:dyDescent="0.25">
      <c r="A40">
        <v>45</v>
      </c>
      <c r="B40" t="s">
        <v>48</v>
      </c>
      <c r="C40">
        <v>45</v>
      </c>
      <c r="D40" s="4">
        <v>146.81634775720602</v>
      </c>
      <c r="E40" s="4">
        <v>40.860076959305601</v>
      </c>
      <c r="F40" s="4">
        <v>10.366333827226999</v>
      </c>
      <c r="G40" s="4">
        <v>2.7501510068173203</v>
      </c>
      <c r="H40" s="4">
        <v>55.472942945914106</v>
      </c>
      <c r="I40" s="4">
        <v>0.32587024272866399</v>
      </c>
      <c r="J40" s="4">
        <v>0.66018318238595097</v>
      </c>
      <c r="K40" s="4">
        <v>0.36770725160448697</v>
      </c>
      <c r="L40" s="4">
        <v>0.64114752555755794</v>
      </c>
      <c r="M40" s="4">
        <v>0.43346451840690903</v>
      </c>
      <c r="N40" s="4">
        <v>0.33506044065206103</v>
      </c>
      <c r="O40" s="4">
        <v>0.55934074711017101</v>
      </c>
      <c r="P40" s="4">
        <v>0</v>
      </c>
      <c r="Q40" s="4">
        <v>1.06404343577386</v>
      </c>
      <c r="R40" s="4">
        <v>0.277560255112072</v>
      </c>
      <c r="S40" s="4">
        <v>84.216197655081004</v>
      </c>
      <c r="T40" s="4">
        <v>80.531931708892088</v>
      </c>
      <c r="U40" s="4">
        <v>164.707981235082</v>
      </c>
      <c r="V40" s="4">
        <v>20.964391713288698</v>
      </c>
      <c r="W40" s="4">
        <v>20.367033104817402</v>
      </c>
      <c r="X40" s="4">
        <v>3.9143631078406202</v>
      </c>
      <c r="Y40" s="4">
        <v>0.395669788884489</v>
      </c>
      <c r="Z40" s="4">
        <v>13.129689424524001</v>
      </c>
      <c r="AA40" s="4">
        <v>0</v>
      </c>
      <c r="AB40" s="4">
        <v>0</v>
      </c>
      <c r="AC40" s="4">
        <v>0.18249808234634554</v>
      </c>
      <c r="AD40" s="4">
        <v>1.2187910155110331</v>
      </c>
      <c r="AE40" s="4">
        <v>0.83575233306572505</v>
      </c>
      <c r="AF40" s="4">
        <v>1.3891175753222273</v>
      </c>
      <c r="AG40" s="4">
        <v>0.21095148456611099</v>
      </c>
      <c r="AH40" s="4">
        <v>0</v>
      </c>
      <c r="AI40" s="4">
        <v>11.700777914422989</v>
      </c>
      <c r="AJ40" s="4">
        <v>151.32869878388075</v>
      </c>
      <c r="AK40" s="4">
        <v>100.44029472393295</v>
      </c>
      <c r="AL40" s="4">
        <v>86.897248893185903</v>
      </c>
      <c r="AM40" s="4">
        <v>56.760654738063749</v>
      </c>
      <c r="AN40" s="4">
        <v>63.421701472931403</v>
      </c>
      <c r="AO40" s="4">
        <v>12.487632700171286</v>
      </c>
      <c r="AP40" s="4">
        <v>1453.8308383557342</v>
      </c>
      <c r="AQ40" s="4">
        <f t="shared" ref="AQ40" si="20">SUM(D40:X40)</f>
        <v>635.63212862080366</v>
      </c>
      <c r="AR40" s="4">
        <f t="shared" ref="AR40" si="21">SUM(Y40:AO40)</f>
        <v>500.39947893080898</v>
      </c>
      <c r="AS40" s="4">
        <f t="shared" ref="AS40" si="22">SUM(D40:N40)</f>
        <v>259.02928565780576</v>
      </c>
      <c r="AT40" s="4">
        <f t="shared" ref="AT40" si="23">SUM(Y40:AG40)</f>
        <v>17.362469704219929</v>
      </c>
      <c r="AU40" s="4">
        <f t="shared" ref="AU40" si="24">SUM(O40:X40)</f>
        <v>376.6028429629979</v>
      </c>
      <c r="AV40">
        <f t="shared" ref="AV40" si="25">SUM(AH40:AO40)</f>
        <v>483.03700922658902</v>
      </c>
    </row>
    <row r="41" spans="1:55" x14ac:dyDescent="0.25">
      <c r="B41" s="4"/>
      <c r="C41" s="63">
        <v>54</v>
      </c>
      <c r="D41" s="4">
        <v>146.425504220753</v>
      </c>
      <c r="E41" s="4">
        <v>39.474002096377198</v>
      </c>
      <c r="F41" s="4">
        <v>10.412261070908901</v>
      </c>
      <c r="G41" s="4">
        <v>3.10841470884594</v>
      </c>
      <c r="H41" s="4">
        <v>64.349862861675902</v>
      </c>
      <c r="I41" s="4">
        <v>0.33704811618345898</v>
      </c>
      <c r="J41" s="4">
        <v>0.61942591056679708</v>
      </c>
      <c r="K41" s="4">
        <v>0.28389636812834901</v>
      </c>
      <c r="L41" s="4">
        <v>0.35383699277453601</v>
      </c>
      <c r="M41" s="4">
        <v>0.195124215996584</v>
      </c>
      <c r="N41" s="4">
        <v>0.14479768914199501</v>
      </c>
      <c r="O41" s="4">
        <v>0.59187344211599302</v>
      </c>
      <c r="P41" s="4">
        <v>0</v>
      </c>
      <c r="Q41" s="4">
        <v>1.07062830535455</v>
      </c>
      <c r="R41" s="4">
        <v>0.262164070660097</v>
      </c>
      <c r="S41" s="4">
        <v>82.329132145330192</v>
      </c>
      <c r="T41" s="4">
        <v>75.193975807539999</v>
      </c>
      <c r="U41" s="4">
        <v>112.53699801953199</v>
      </c>
      <c r="V41" s="4">
        <v>8.3088763006417601</v>
      </c>
      <c r="W41" s="4">
        <v>6.1939318079831605</v>
      </c>
      <c r="X41" s="4">
        <v>1.6233744701902499</v>
      </c>
      <c r="Y41" s="4">
        <v>0</v>
      </c>
      <c r="Z41" s="4">
        <v>0.43076466121907403</v>
      </c>
      <c r="AA41" s="4">
        <v>16.361427991519299</v>
      </c>
      <c r="AB41" s="4">
        <v>0.195461901986451</v>
      </c>
      <c r="AC41" s="4">
        <v>0.10268902897180246</v>
      </c>
      <c r="AD41" s="4">
        <v>0.19399390437815192</v>
      </c>
      <c r="AE41" s="4">
        <v>0.85807408592702106</v>
      </c>
      <c r="AF41" s="4">
        <v>0.51756825450535904</v>
      </c>
      <c r="AG41" s="4">
        <v>0.97506320197313945</v>
      </c>
      <c r="AH41" s="4">
        <v>0.20154178690187802</v>
      </c>
      <c r="AI41" s="4">
        <v>0</v>
      </c>
      <c r="AJ41" s="4">
        <v>11.258560692495381</v>
      </c>
      <c r="AK41" s="4">
        <v>149.04818280892346</v>
      </c>
      <c r="AL41" s="4">
        <v>87.609408194482157</v>
      </c>
      <c r="AM41" s="4">
        <v>50.278417380908692</v>
      </c>
      <c r="AN41" s="4">
        <v>28.023422094363486</v>
      </c>
      <c r="AO41" s="4">
        <v>30.058392848269872</v>
      </c>
      <c r="AP41" s="4">
        <f t="shared" si="7"/>
        <v>929.92809745752595</v>
      </c>
      <c r="AQ41" s="4">
        <f t="shared" si="8"/>
        <v>553.81512862070065</v>
      </c>
      <c r="AR41" s="4">
        <f t="shared" si="9"/>
        <v>376.11296883682525</v>
      </c>
      <c r="AS41" s="4">
        <f t="shared" si="10"/>
        <v>265.70417425135264</v>
      </c>
      <c r="AT41" s="4">
        <f t="shared" si="11"/>
        <v>19.635043030480301</v>
      </c>
      <c r="AU41" s="4">
        <f t="shared" si="12"/>
        <v>288.11095436934801</v>
      </c>
      <c r="AV41">
        <f t="shared" si="13"/>
        <v>356.4779258063449</v>
      </c>
      <c r="AW41">
        <v>4.5158899455146155</v>
      </c>
      <c r="AX41">
        <v>2.3721028645486695</v>
      </c>
      <c r="AY41">
        <v>2.1437933669082945</v>
      </c>
      <c r="AZ41">
        <v>0</v>
      </c>
      <c r="BA41">
        <v>0</v>
      </c>
      <c r="BB41">
        <v>0</v>
      </c>
      <c r="BC41">
        <v>0</v>
      </c>
    </row>
    <row r="44" spans="1:55" x14ac:dyDescent="0.25">
      <c r="AP44" t="s">
        <v>261</v>
      </c>
    </row>
    <row r="63" spans="42:42" x14ac:dyDescent="0.25">
      <c r="AP63" t="s">
        <v>262</v>
      </c>
    </row>
  </sheetData>
  <conditionalFormatting sqref="D2:AO11">
    <cfRule type="colorScale" priority="8">
      <colorScale>
        <cfvo type="min"/>
        <cfvo type="percentile" val="50"/>
        <cfvo type="max"/>
        <color rgb="FF63BE7B"/>
        <color rgb="FFFFEB84"/>
        <color rgb="FFF8696B"/>
      </colorScale>
    </cfRule>
  </conditionalFormatting>
  <conditionalFormatting sqref="D12:AO20">
    <cfRule type="colorScale" priority="7">
      <colorScale>
        <cfvo type="min"/>
        <cfvo type="percentile" val="50"/>
        <cfvo type="max"/>
        <color rgb="FF63BE7B"/>
        <color rgb="FFFFEB84"/>
        <color rgb="FFF8696B"/>
      </colorScale>
    </cfRule>
  </conditionalFormatting>
  <conditionalFormatting sqref="D21:AO26">
    <cfRule type="colorScale" priority="5">
      <colorScale>
        <cfvo type="min"/>
        <cfvo type="percentile" val="50"/>
        <cfvo type="max"/>
        <color rgb="FF63BE7B"/>
        <color rgb="FFFFEB84"/>
        <color rgb="FFF8696B"/>
      </colorScale>
    </cfRule>
  </conditionalFormatting>
  <conditionalFormatting sqref="D27:AO32">
    <cfRule type="colorScale" priority="4">
      <colorScale>
        <cfvo type="min"/>
        <cfvo type="percentile" val="50"/>
        <cfvo type="max"/>
        <color rgb="FF63BE7B"/>
        <color rgb="FFFFEB84"/>
        <color rgb="FFF8696B"/>
      </colorScale>
    </cfRule>
  </conditionalFormatting>
  <conditionalFormatting sqref="D33:AO41">
    <cfRule type="colorScale" priority="1">
      <colorScale>
        <cfvo type="min"/>
        <cfvo type="percentile" val="50"/>
        <cfvo type="max"/>
        <color rgb="FF63BE7B"/>
        <color rgb="FFFFEB84"/>
        <color rgb="FFF8696B"/>
      </colorScale>
    </cfRule>
  </conditionalFormatting>
  <pageMargins left="0.7" right="0.7" top="0.78740157499999996" bottom="0.78740157499999996" header="0.3" footer="0.3"/>
  <pageSetup paperSize="9"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D3BF4-B9CB-473B-B3F1-A941D60F95DD}">
  <dimension ref="B1:CL147"/>
  <sheetViews>
    <sheetView zoomScale="70" zoomScaleNormal="70" workbookViewId="0">
      <pane xSplit="3" ySplit="4" topLeftCell="CM50" activePane="bottomRight" state="frozen"/>
      <selection pane="topRight" activeCell="D1" sqref="D1"/>
      <selection pane="bottomLeft" activeCell="A3" sqref="A3"/>
      <selection pane="bottomRight" activeCell="DP77" sqref="DP77"/>
    </sheetView>
  </sheetViews>
  <sheetFormatPr baseColWidth="10" defaultRowHeight="15" x14ac:dyDescent="0.25"/>
  <cols>
    <col min="79" max="79" width="11.42578125" style="38"/>
    <col min="80" max="85" width="11.42578125" style="40"/>
  </cols>
  <sheetData>
    <row r="1" spans="2:88" x14ac:dyDescent="0.25">
      <c r="D1" t="s">
        <v>264</v>
      </c>
      <c r="E1" t="s">
        <v>128</v>
      </c>
      <c r="F1" t="s">
        <v>264</v>
      </c>
      <c r="G1" t="s">
        <v>128</v>
      </c>
      <c r="H1" t="s">
        <v>264</v>
      </c>
      <c r="I1" t="s">
        <v>128</v>
      </c>
      <c r="J1" t="s">
        <v>264</v>
      </c>
      <c r="K1" t="s">
        <v>128</v>
      </c>
      <c r="L1" t="s">
        <v>264</v>
      </c>
      <c r="M1" t="s">
        <v>128</v>
      </c>
      <c r="N1" t="s">
        <v>264</v>
      </c>
      <c r="O1" t="s">
        <v>128</v>
      </c>
      <c r="P1" t="s">
        <v>264</v>
      </c>
      <c r="Q1" t="s">
        <v>128</v>
      </c>
      <c r="R1" t="s">
        <v>264</v>
      </c>
      <c r="S1" t="s">
        <v>128</v>
      </c>
      <c r="T1" t="s">
        <v>264</v>
      </c>
      <c r="U1" t="s">
        <v>128</v>
      </c>
      <c r="V1" t="s">
        <v>264</v>
      </c>
      <c r="W1" t="s">
        <v>128</v>
      </c>
      <c r="X1" t="s">
        <v>264</v>
      </c>
      <c r="Y1" t="s">
        <v>128</v>
      </c>
      <c r="Z1" t="s">
        <v>264</v>
      </c>
      <c r="AA1" t="s">
        <v>128</v>
      </c>
      <c r="AB1" t="s">
        <v>264</v>
      </c>
      <c r="AC1" t="s">
        <v>128</v>
      </c>
      <c r="AD1" t="s">
        <v>264</v>
      </c>
      <c r="AE1" t="s">
        <v>128</v>
      </c>
      <c r="AF1" t="s">
        <v>264</v>
      </c>
      <c r="AG1" t="s">
        <v>128</v>
      </c>
      <c r="AH1" t="s">
        <v>264</v>
      </c>
      <c r="AI1" t="s">
        <v>128</v>
      </c>
      <c r="AJ1" t="s">
        <v>264</v>
      </c>
      <c r="AK1" t="s">
        <v>128</v>
      </c>
      <c r="AL1" t="s">
        <v>264</v>
      </c>
      <c r="AM1" t="s">
        <v>128</v>
      </c>
      <c r="AN1" t="s">
        <v>264</v>
      </c>
      <c r="AO1" t="s">
        <v>128</v>
      </c>
      <c r="AP1" t="s">
        <v>264</v>
      </c>
      <c r="AQ1" t="s">
        <v>128</v>
      </c>
      <c r="AR1" t="s">
        <v>264</v>
      </c>
      <c r="AS1" t="s">
        <v>128</v>
      </c>
      <c r="AT1" t="s">
        <v>264</v>
      </c>
      <c r="AU1" t="s">
        <v>128</v>
      </c>
      <c r="AV1" t="s">
        <v>264</v>
      </c>
      <c r="AW1" t="s">
        <v>128</v>
      </c>
      <c r="AX1" t="s">
        <v>264</v>
      </c>
      <c r="AY1" t="s">
        <v>128</v>
      </c>
      <c r="AZ1" t="s">
        <v>264</v>
      </c>
      <c r="BA1" t="s">
        <v>128</v>
      </c>
      <c r="BB1" t="s">
        <v>264</v>
      </c>
      <c r="BC1" t="s">
        <v>128</v>
      </c>
      <c r="BD1" t="s">
        <v>264</v>
      </c>
      <c r="BE1" t="s">
        <v>128</v>
      </c>
      <c r="BF1" t="s">
        <v>264</v>
      </c>
      <c r="BG1" t="s">
        <v>128</v>
      </c>
      <c r="BH1" t="s">
        <v>264</v>
      </c>
      <c r="BI1" t="s">
        <v>128</v>
      </c>
      <c r="BJ1" t="s">
        <v>264</v>
      </c>
      <c r="BK1" t="s">
        <v>128</v>
      </c>
      <c r="BL1" t="s">
        <v>264</v>
      </c>
      <c r="BM1" t="s">
        <v>128</v>
      </c>
      <c r="BN1" t="s">
        <v>264</v>
      </c>
      <c r="BO1" t="s">
        <v>128</v>
      </c>
      <c r="BP1" t="s">
        <v>264</v>
      </c>
      <c r="BQ1" t="s">
        <v>128</v>
      </c>
      <c r="BR1" t="s">
        <v>264</v>
      </c>
      <c r="BS1" t="s">
        <v>128</v>
      </c>
      <c r="BT1" t="s">
        <v>264</v>
      </c>
      <c r="BU1" t="s">
        <v>128</v>
      </c>
      <c r="BV1" t="s">
        <v>264</v>
      </c>
      <c r="BW1" t="s">
        <v>128</v>
      </c>
      <c r="BX1" t="s">
        <v>264</v>
      </c>
      <c r="BY1" t="s">
        <v>128</v>
      </c>
      <c r="BZ1" t="s">
        <v>264</v>
      </c>
      <c r="CA1" s="38" t="s">
        <v>128</v>
      </c>
      <c r="CB1" s="40" t="s">
        <v>264</v>
      </c>
      <c r="CC1" s="40" t="s">
        <v>128</v>
      </c>
      <c r="CD1" s="40" t="s">
        <v>264</v>
      </c>
      <c r="CE1" s="40" t="s">
        <v>128</v>
      </c>
    </row>
    <row r="2" spans="2:88" x14ac:dyDescent="0.25">
      <c r="D2" t="s">
        <v>0</v>
      </c>
      <c r="AT2" t="s">
        <v>17</v>
      </c>
    </row>
    <row r="3" spans="2:88" x14ac:dyDescent="0.25">
      <c r="D3" s="43" t="s">
        <v>227</v>
      </c>
      <c r="F3" s="43" t="s">
        <v>236</v>
      </c>
      <c r="H3" t="s">
        <v>237</v>
      </c>
      <c r="J3" t="s">
        <v>238</v>
      </c>
      <c r="L3" s="43" t="s">
        <v>239</v>
      </c>
      <c r="N3" t="s">
        <v>240</v>
      </c>
      <c r="P3" t="s">
        <v>241</v>
      </c>
      <c r="R3" t="s">
        <v>242</v>
      </c>
      <c r="T3" t="s">
        <v>243</v>
      </c>
      <c r="V3" t="s">
        <v>244</v>
      </c>
      <c r="X3" t="s">
        <v>245</v>
      </c>
      <c r="Z3" t="s">
        <v>246</v>
      </c>
      <c r="AB3" t="s">
        <v>247</v>
      </c>
      <c r="AD3" t="s">
        <v>248</v>
      </c>
      <c r="AF3" t="s">
        <v>249</v>
      </c>
      <c r="AH3" s="43" t="s">
        <v>250</v>
      </c>
      <c r="AI3" s="44"/>
      <c r="AJ3" s="43" t="s">
        <v>251</v>
      </c>
      <c r="AK3" s="44"/>
      <c r="AL3" s="43" t="s">
        <v>252</v>
      </c>
      <c r="AM3" s="44"/>
      <c r="AN3" t="s">
        <v>253</v>
      </c>
      <c r="AP3" t="s">
        <v>254</v>
      </c>
      <c r="AR3" t="s">
        <v>255</v>
      </c>
      <c r="AT3" t="s">
        <v>256</v>
      </c>
      <c r="AV3" t="s">
        <v>238</v>
      </c>
      <c r="AX3" t="s">
        <v>239</v>
      </c>
      <c r="AZ3" t="s">
        <v>240</v>
      </c>
      <c r="BB3" t="s">
        <v>241</v>
      </c>
      <c r="BD3" t="s">
        <v>242</v>
      </c>
      <c r="BF3" t="s">
        <v>243</v>
      </c>
      <c r="BH3" t="s">
        <v>244</v>
      </c>
      <c r="BJ3" t="s">
        <v>245</v>
      </c>
      <c r="BL3" t="s">
        <v>257</v>
      </c>
      <c r="BN3" t="s">
        <v>258</v>
      </c>
      <c r="BP3" s="43" t="s">
        <v>250</v>
      </c>
      <c r="BQ3" s="44"/>
      <c r="BR3" s="43" t="s">
        <v>251</v>
      </c>
      <c r="BS3" s="44"/>
      <c r="BT3" s="43" t="s">
        <v>252</v>
      </c>
      <c r="BU3" s="44"/>
      <c r="BV3" s="43" t="s">
        <v>253</v>
      </c>
      <c r="BX3" s="43" t="s">
        <v>254</v>
      </c>
      <c r="BZ3" s="43" t="s">
        <v>255</v>
      </c>
      <c r="CB3" s="40" t="s">
        <v>170</v>
      </c>
      <c r="CD3" s="40" t="s">
        <v>171</v>
      </c>
    </row>
    <row r="5" spans="2:88" x14ac:dyDescent="0.25">
      <c r="C5">
        <v>0</v>
      </c>
      <c r="CI5" t="s">
        <v>174</v>
      </c>
      <c r="CJ5" t="s">
        <v>175</v>
      </c>
    </row>
    <row r="6" spans="2:88" x14ac:dyDescent="0.25">
      <c r="B6" t="s">
        <v>89</v>
      </c>
      <c r="C6">
        <v>1</v>
      </c>
      <c r="D6">
        <v>174.94318619126</v>
      </c>
      <c r="E6">
        <v>5.1723938859974047E-3</v>
      </c>
      <c r="F6">
        <v>42.114481079843465</v>
      </c>
      <c r="G6">
        <v>0</v>
      </c>
      <c r="H6">
        <v>7.8371614534380782</v>
      </c>
      <c r="I6">
        <v>0</v>
      </c>
      <c r="J6">
        <v>1.8840850181243944</v>
      </c>
      <c r="K6">
        <v>0</v>
      </c>
      <c r="L6">
        <v>32.91335064371772</v>
      </c>
      <c r="M6">
        <v>2.5333937095100499E-4</v>
      </c>
      <c r="N6">
        <v>0.20695650886551314</v>
      </c>
      <c r="O6">
        <v>1.0040110226742674E-3</v>
      </c>
      <c r="P6">
        <v>0.40858836169307472</v>
      </c>
      <c r="Q6">
        <v>9.5267019176279253E-3</v>
      </c>
      <c r="R6">
        <v>0.21028213091197012</v>
      </c>
      <c r="S6">
        <v>6.4728707277456499E-4</v>
      </c>
      <c r="T6">
        <v>0.28451861718023885</v>
      </c>
      <c r="U6">
        <v>0</v>
      </c>
      <c r="V6">
        <v>0.1674303660925579</v>
      </c>
      <c r="W6">
        <v>0</v>
      </c>
      <c r="X6">
        <v>0.12317348611750197</v>
      </c>
      <c r="Y6">
        <v>0</v>
      </c>
      <c r="Z6">
        <v>0.52828644008932035</v>
      </c>
      <c r="AA6">
        <v>0</v>
      </c>
      <c r="AB6">
        <v>0</v>
      </c>
      <c r="AC6">
        <v>0</v>
      </c>
      <c r="AD6">
        <v>0.90550813219752169</v>
      </c>
      <c r="AE6">
        <v>0</v>
      </c>
      <c r="AF6">
        <v>0.20936758002849637</v>
      </c>
      <c r="AG6">
        <v>0</v>
      </c>
      <c r="AH6">
        <v>49.138188011935938</v>
      </c>
      <c r="AI6">
        <v>0</v>
      </c>
      <c r="AJ6">
        <v>48.412844723986993</v>
      </c>
      <c r="AK6">
        <v>0</v>
      </c>
      <c r="AL6">
        <v>77.502826763399412</v>
      </c>
      <c r="AM6">
        <v>0</v>
      </c>
      <c r="AN6">
        <v>6.2965508709879749</v>
      </c>
      <c r="AO6">
        <v>0</v>
      </c>
      <c r="AP6">
        <v>5.3266419294575265</v>
      </c>
      <c r="AQ6">
        <v>0</v>
      </c>
      <c r="AR6">
        <v>1.0506098773269035</v>
      </c>
      <c r="AS6">
        <v>0</v>
      </c>
      <c r="AT6">
        <v>0</v>
      </c>
      <c r="AU6">
        <v>0</v>
      </c>
      <c r="AV6">
        <v>0.25339484701469761</v>
      </c>
      <c r="AW6">
        <v>0</v>
      </c>
      <c r="AX6">
        <v>9.1334586376837734</v>
      </c>
      <c r="AY6">
        <v>1.3230305350351995E-5</v>
      </c>
      <c r="AZ6">
        <v>0.11149121068407267</v>
      </c>
      <c r="BA6">
        <v>0</v>
      </c>
      <c r="BB6">
        <v>1.9916910551528572E-2</v>
      </c>
      <c r="BC6">
        <v>0</v>
      </c>
      <c r="BD6">
        <v>0.13862801736297889</v>
      </c>
      <c r="BE6">
        <v>0</v>
      </c>
      <c r="BF6">
        <v>0.58485508934526231</v>
      </c>
      <c r="BG6">
        <v>0</v>
      </c>
      <c r="BH6">
        <v>0.40489869131403922</v>
      </c>
      <c r="BI6">
        <v>0</v>
      </c>
      <c r="BJ6">
        <v>0.7733469951791585</v>
      </c>
      <c r="BK6">
        <v>0</v>
      </c>
      <c r="BL6">
        <v>0.20588088930538251</v>
      </c>
      <c r="BM6">
        <v>0</v>
      </c>
      <c r="BN6">
        <v>0</v>
      </c>
      <c r="BO6">
        <v>0</v>
      </c>
      <c r="BP6">
        <v>7.4132099676053507</v>
      </c>
      <c r="BQ6">
        <v>0</v>
      </c>
      <c r="BR6">
        <v>95.473585232963842</v>
      </c>
      <c r="BS6">
        <v>0</v>
      </c>
      <c r="BT6">
        <v>61.507040737694766</v>
      </c>
      <c r="BU6">
        <v>0</v>
      </c>
      <c r="BV6">
        <v>37.804323845825451</v>
      </c>
      <c r="BW6">
        <v>0</v>
      </c>
      <c r="BX6">
        <v>20.991912309041862</v>
      </c>
      <c r="BY6">
        <v>0</v>
      </c>
      <c r="BZ6">
        <v>22.595168661807797</v>
      </c>
      <c r="CA6">
        <v>0</v>
      </c>
      <c r="CB6" s="40">
        <f>SUM(H6,J6,N6,P6,R6,T6,V6,X6,Z6,AB6,AD6,AF6,AT6,AV6,AX6,AZ6,BB6,BD6,BF6,BH6,BJ6,BL6,BN6)</f>
        <v>24.391229383179564</v>
      </c>
      <c r="CC6" s="40">
        <f>SUM(I6,K6,O6,Q6,S6,U6,W6,Y6,AA6,AC6,AE6,AG6,AU6,AW6,AY6,BA6,BC6,BE6,BG6,BI6,BK6,BM6,BO6,BW6,BY6,CA6,G6,M6,AO6,AQ6,AS6)</f>
        <v>1.1444569689378115E-2</v>
      </c>
      <c r="CD6" s="40">
        <f>SUM(D6,F6,H6,J6,L6,N6,P6,R6,T6,V6,X6,Z6,AB6,AD6,AF6,AH6,AJ6,AL6,AN6,AP6,AR6,AT6,AV6,AX6,AZ6,BB6,BD6,BF6,BH6,BJ6,BL6,BN6,BP6,BR6,BT6,BV6,BX6,BZ6)</f>
        <v>707.87515023003448</v>
      </c>
      <c r="CE6" s="40">
        <f>SUM(E6,G6,I6,K6,M6,O6,Q6,S6,U6,W6,Y6,AA6,AC6,AE6,AG6,AI6,AK6,AM6,AO6,AQ6,AS6,AU6,AW6,AY6,BA6,BC6,BE6,BG6,BI6,BK6,BM6,BO6,BQ6,BS6,BU6,BW6,BY6,CA6)</f>
        <v>1.661696357537552E-2</v>
      </c>
    </row>
    <row r="7" spans="2:88" x14ac:dyDescent="0.25">
      <c r="C7">
        <v>2</v>
      </c>
      <c r="CI7" t="s">
        <v>89</v>
      </c>
    </row>
    <row r="8" spans="2:88" x14ac:dyDescent="0.25">
      <c r="C8">
        <v>3</v>
      </c>
    </row>
    <row r="9" spans="2:88" x14ac:dyDescent="0.25">
      <c r="C9">
        <v>4</v>
      </c>
    </row>
    <row r="10" spans="2:88" x14ac:dyDescent="0.25">
      <c r="C10">
        <v>5</v>
      </c>
      <c r="D10">
        <v>172.55025729380066</v>
      </c>
      <c r="E10">
        <v>0.85321208016812011</v>
      </c>
      <c r="F10">
        <v>40.583648136263442</v>
      </c>
      <c r="G10">
        <v>1.3417906553632578E-2</v>
      </c>
      <c r="H10">
        <v>8.9387467419751303</v>
      </c>
      <c r="I10">
        <v>0</v>
      </c>
      <c r="J10">
        <v>2.7605349244588533</v>
      </c>
      <c r="K10">
        <v>0</v>
      </c>
      <c r="L10">
        <v>52.628559747525046</v>
      </c>
      <c r="M10">
        <v>7.117249006218368E-2</v>
      </c>
      <c r="N10">
        <v>0.38618262110255053</v>
      </c>
      <c r="O10">
        <v>3.4768101231260175E-3</v>
      </c>
      <c r="P10">
        <v>0.95992861357052561</v>
      </c>
      <c r="Q10">
        <v>2.0213739617112324E-2</v>
      </c>
      <c r="R10">
        <v>0.53897320576267504</v>
      </c>
      <c r="S10">
        <v>5.5917078665083803E-3</v>
      </c>
      <c r="T10">
        <v>0.79266203665573742</v>
      </c>
      <c r="U10">
        <v>1.97412126330273E-3</v>
      </c>
      <c r="V10">
        <v>0.49535022842932763</v>
      </c>
      <c r="W10">
        <v>0</v>
      </c>
      <c r="X10">
        <v>0.35040926588403248</v>
      </c>
      <c r="Y10">
        <v>0</v>
      </c>
      <c r="Z10">
        <v>0.63234551943528439</v>
      </c>
      <c r="AA10">
        <v>0</v>
      </c>
      <c r="AB10">
        <v>0</v>
      </c>
      <c r="AC10">
        <v>0</v>
      </c>
      <c r="AD10">
        <v>1.0394325474807991</v>
      </c>
      <c r="AE10">
        <v>0</v>
      </c>
      <c r="AF10">
        <v>0.36172652046195153</v>
      </c>
      <c r="AG10">
        <v>0</v>
      </c>
      <c r="AH10">
        <v>107.6981278245207</v>
      </c>
      <c r="AI10">
        <v>0.76866936520161011</v>
      </c>
      <c r="AJ10">
        <v>107.00052868222582</v>
      </c>
      <c r="AK10">
        <v>0.47404368291357957</v>
      </c>
      <c r="AL10">
        <v>186.50743612315901</v>
      </c>
      <c r="AM10">
        <v>0.3304335211617157</v>
      </c>
      <c r="AN10">
        <v>24.503443624397423</v>
      </c>
      <c r="AO10">
        <v>3.172583200893675E-2</v>
      </c>
      <c r="AP10">
        <v>20.833200892598349</v>
      </c>
      <c r="AQ10">
        <v>1.1606909627734998E-2</v>
      </c>
      <c r="AR10">
        <v>5.0875445544118971</v>
      </c>
      <c r="AS10">
        <v>0</v>
      </c>
      <c r="AT10">
        <v>0</v>
      </c>
      <c r="AU10">
        <v>0</v>
      </c>
      <c r="AV10">
        <v>0.43714189734942899</v>
      </c>
      <c r="AW10">
        <v>0</v>
      </c>
      <c r="AX10">
        <v>16.591308447039602</v>
      </c>
      <c r="AY10">
        <v>6.6656346684719038E-3</v>
      </c>
      <c r="AZ10">
        <v>0.20444843670944568</v>
      </c>
      <c r="BA10">
        <v>4.1172349751166751E-4</v>
      </c>
      <c r="BB10">
        <v>0.16960943959123462</v>
      </c>
      <c r="BC10">
        <v>0</v>
      </c>
      <c r="BD10">
        <v>0.51812802519687484</v>
      </c>
      <c r="BE10">
        <v>0</v>
      </c>
      <c r="BF10">
        <v>2.3449070878245095</v>
      </c>
      <c r="BG10">
        <v>7.0205606805730182E-4</v>
      </c>
      <c r="BH10">
        <v>1.4483619134168007</v>
      </c>
      <c r="BI10">
        <v>2.5133203793562845E-3</v>
      </c>
      <c r="BJ10">
        <v>2.2616032257494196</v>
      </c>
      <c r="BK10">
        <v>2.7415149856105272E-3</v>
      </c>
      <c r="BL10">
        <v>0.21289956715955391</v>
      </c>
      <c r="BM10">
        <v>0</v>
      </c>
      <c r="BN10">
        <v>0</v>
      </c>
      <c r="BO10">
        <v>0</v>
      </c>
      <c r="BP10">
        <v>17.867613808849956</v>
      </c>
      <c r="BQ10">
        <v>0.14172760057861289</v>
      </c>
      <c r="BR10">
        <v>232.68122448949794</v>
      </c>
      <c r="BS10">
        <v>0.80640764981079505</v>
      </c>
      <c r="BT10">
        <v>172.43337110671223</v>
      </c>
      <c r="BU10">
        <v>0.20883309613596324</v>
      </c>
      <c r="BV10">
        <v>137.76974280995077</v>
      </c>
      <c r="BW10">
        <v>0.18899551615248475</v>
      </c>
      <c r="BX10">
        <v>83.664403990786809</v>
      </c>
      <c r="BY10">
        <v>5.4757186843355177E-2</v>
      </c>
      <c r="BZ10">
        <v>89.578592344575796</v>
      </c>
      <c r="CA10">
        <v>2.5464359033751355E-2</v>
      </c>
      <c r="CB10" s="40">
        <f>SUM(H10,J10,N10,P10,R10,T10,V10,X10,Z10,AB10,AD10,AF10,AT10,AV10,AX10,AZ10,BB10,BD10,BF10,BH10,BJ10,BL10,BN10)</f>
        <v>41.444700265253736</v>
      </c>
      <c r="CC10" s="40">
        <f>SUM(I10,K10,O10,Q10,S10,U10,W10,Y10,AA10,AC10,AE10,AG10,AU10,AW10,AY10,BA10,BC10,BE10,BG10,BI10,BK10,BM10,BO10,BW10,BY10,CA10,G10,M10,AO10,AQ10,AS10)</f>
        <v>0.44143082875113632</v>
      </c>
      <c r="CD10" s="40">
        <f>SUM(D10,F10,H10,J10,L10,N10,P10,R10,T10,V10,X10,Z10,AB10,AD10,AF10,AH10,AJ10,AL10,AN10,AP10,AR10,AT10,AV10,AX10,AZ10,BB10,BD10,BF10,BH10,BJ10,BL10,BN10,BP10,BR10,BT10,BV10,BX10,BZ10)</f>
        <v>1492.8323956945294</v>
      </c>
      <c r="CE10" s="40">
        <f>SUM(E10,G10,I10,K10,M10,O10,Q10,S10,U10,W10,Y10,AA10,AC10,AE10,AG10,AI10,AK10,AM10,AO10,AQ10,AS10,AU10,AW10,AY10,BA10,BC10,BE10,BG10,BI10,BK10,BM10,BO10,BQ10,BS10,BU10,BW10,BY10,CA10)</f>
        <v>4.0247578247215339</v>
      </c>
    </row>
    <row r="11" spans="2:88" x14ac:dyDescent="0.25">
      <c r="C11">
        <v>6</v>
      </c>
    </row>
    <row r="12" spans="2:88" x14ac:dyDescent="0.25">
      <c r="C12">
        <v>7</v>
      </c>
    </row>
    <row r="13" spans="2:88" x14ac:dyDescent="0.25">
      <c r="C13">
        <v>8</v>
      </c>
    </row>
    <row r="14" spans="2:88" x14ac:dyDescent="0.25">
      <c r="C14">
        <v>9</v>
      </c>
    </row>
    <row r="15" spans="2:88" x14ac:dyDescent="0.25">
      <c r="C15">
        <v>10</v>
      </c>
      <c r="D15" s="4">
        <v>284.32575756922301</v>
      </c>
      <c r="E15" s="4"/>
      <c r="F15" s="4">
        <v>66.610045035157299</v>
      </c>
      <c r="G15" s="4"/>
      <c r="H15" s="4">
        <v>10.6523045877275</v>
      </c>
      <c r="I15" s="4"/>
      <c r="J15" s="4">
        <v>2.7120494761520599</v>
      </c>
      <c r="K15" s="4"/>
      <c r="L15" s="4">
        <v>43.394169635806499</v>
      </c>
      <c r="M15" s="4"/>
      <c r="N15" s="4">
        <v>0.25347807396588001</v>
      </c>
      <c r="O15" s="4"/>
      <c r="P15" s="4">
        <v>0.57317397410050497</v>
      </c>
      <c r="Q15" s="4"/>
      <c r="R15" s="4">
        <v>0.33631849532568497</v>
      </c>
      <c r="S15" s="4"/>
      <c r="T15" s="4">
        <v>0.48063332634213402</v>
      </c>
      <c r="U15" s="4"/>
      <c r="V15" s="4">
        <v>0.27289544722628301</v>
      </c>
      <c r="W15" s="4"/>
      <c r="X15" s="4">
        <v>0.19295079247776598</v>
      </c>
      <c r="Y15" s="4"/>
      <c r="Z15" s="4">
        <v>0.86500697399903803</v>
      </c>
      <c r="AA15" s="4"/>
      <c r="AB15" s="4">
        <v>0</v>
      </c>
      <c r="AC15" s="4"/>
      <c r="AD15" s="4">
        <v>1.0759265205715201</v>
      </c>
      <c r="AE15" s="4"/>
      <c r="AF15" s="4">
        <v>0.26610812994675698</v>
      </c>
      <c r="AG15" s="4"/>
      <c r="AH15" s="4">
        <v>85.465817528683203</v>
      </c>
      <c r="AI15" s="4"/>
      <c r="AJ15" s="4">
        <v>70.588763305956292</v>
      </c>
      <c r="AK15" s="4"/>
      <c r="AL15" s="4">
        <v>123.59458905088501</v>
      </c>
      <c r="AM15" s="4"/>
      <c r="AN15" s="4">
        <v>11.552653616138</v>
      </c>
      <c r="AO15" s="4"/>
      <c r="AP15" s="4">
        <v>11.547370434899099</v>
      </c>
      <c r="AQ15" s="4"/>
      <c r="AR15" s="4">
        <v>2.0875674191361999</v>
      </c>
      <c r="AS15" s="4"/>
      <c r="AV15" s="4">
        <v>0.29599852653898201</v>
      </c>
      <c r="AW15" s="4"/>
      <c r="AX15" s="4">
        <v>12.0173908073373</v>
      </c>
      <c r="AY15" s="4"/>
      <c r="AZ15" s="4">
        <v>0</v>
      </c>
      <c r="BA15" s="4"/>
      <c r="BB15" s="4">
        <v>0</v>
      </c>
      <c r="BC15" s="4"/>
      <c r="BD15" s="4">
        <v>0.49419784376887999</v>
      </c>
      <c r="BE15" s="4"/>
      <c r="BF15" s="4">
        <v>3.1197069727431499</v>
      </c>
      <c r="BG15" s="4"/>
      <c r="BH15" s="4">
        <v>1.4287050431349402</v>
      </c>
      <c r="BI15" s="4"/>
      <c r="BJ15" s="4">
        <v>2.2234480337065703</v>
      </c>
      <c r="BK15" s="4"/>
      <c r="BL15" s="4">
        <v>0.241640015183433</v>
      </c>
      <c r="BM15" s="4"/>
      <c r="BP15" s="4">
        <v>16.650852434292901</v>
      </c>
      <c r="BQ15" s="4"/>
      <c r="BR15" s="4">
        <v>248.80756377494203</v>
      </c>
      <c r="BS15" s="4"/>
      <c r="BT15" s="4">
        <v>177.553335974833</v>
      </c>
      <c r="BU15" s="4"/>
      <c r="BV15" s="4">
        <v>152.498992336415</v>
      </c>
      <c r="BW15" s="4"/>
      <c r="BX15" s="4">
        <v>82.618174902960391</v>
      </c>
      <c r="BY15" s="4"/>
      <c r="BZ15" s="4">
        <v>88.5862934557519</v>
      </c>
      <c r="CB15" s="40">
        <f>SUM(H15,J15,N15,P15,R15,T15,V15,X15,Z15,AB15,AD15,AF15,AT15,AV15,AX15,AZ15,BB15,BD15,BF15,BH15,BJ15,BL15,BN15)</f>
        <v>37.501933040248389</v>
      </c>
      <c r="CD15" s="40">
        <f>SUM(D15,F15,H15,J15,L15,N15,P15,R15,T15,V15,X15,Z15,AB15,AD15,AF15,AH15,AJ15,AL15,AN15,AP15,AR15,AT15,AV15,AX15,AZ15,BB15,BD15,BF15,BH15,BJ15,BL15,BN15,BP15,BR15,BT15,BV15,BX15,BZ15)</f>
        <v>1503.3838795153283</v>
      </c>
    </row>
    <row r="16" spans="2:88" x14ac:dyDescent="0.25">
      <c r="C16">
        <v>11</v>
      </c>
      <c r="F16" s="36"/>
      <c r="G16" s="36"/>
      <c r="H16" s="36"/>
      <c r="I16" s="36"/>
      <c r="J16" s="36"/>
      <c r="K16" s="36"/>
      <c r="L16" s="36"/>
      <c r="M16" s="36"/>
      <c r="N16" s="36"/>
      <c r="O16" s="36"/>
      <c r="P16" s="36"/>
      <c r="Q16" s="36"/>
      <c r="R16" s="36"/>
      <c r="S16" s="36"/>
      <c r="T16" s="36"/>
      <c r="U16" s="36"/>
      <c r="V16" s="36"/>
      <c r="W16" s="36"/>
      <c r="X16" s="36"/>
      <c r="Y16" s="36"/>
      <c r="Z16" s="36"/>
      <c r="AA16" s="36"/>
      <c r="AB16" s="36"/>
      <c r="AC16" s="36"/>
      <c r="AD16" s="36"/>
      <c r="AE16" s="36"/>
      <c r="AF16" s="36"/>
      <c r="AG16" s="36"/>
      <c r="AH16" s="36"/>
      <c r="AI16" s="36"/>
      <c r="AJ16" s="36"/>
      <c r="AK16" s="36"/>
      <c r="AL16" s="36"/>
      <c r="AM16" s="36"/>
      <c r="AN16" s="36"/>
      <c r="AO16" s="36"/>
      <c r="AP16" s="36"/>
      <c r="AQ16" s="36"/>
      <c r="AR16" s="36"/>
      <c r="AS16" s="36"/>
      <c r="AT16" s="36"/>
      <c r="AU16" s="36"/>
      <c r="AX16" s="36"/>
      <c r="AY16" s="36"/>
      <c r="AZ16" s="36"/>
      <c r="BA16" s="36"/>
      <c r="BB16" s="36"/>
      <c r="BC16" s="36"/>
      <c r="BD16" s="36"/>
      <c r="BE16" s="36"/>
      <c r="BF16" s="36"/>
      <c r="BG16" s="36"/>
      <c r="BH16" s="36"/>
      <c r="BI16" s="36"/>
      <c r="BJ16" s="36"/>
      <c r="BK16" s="36"/>
      <c r="BL16" s="36"/>
      <c r="BM16" s="36"/>
      <c r="BN16" s="36"/>
      <c r="BO16" s="36"/>
      <c r="BR16" s="36"/>
      <c r="BS16" s="36"/>
      <c r="BT16" s="36"/>
      <c r="BU16" s="36"/>
      <c r="BV16" s="36"/>
      <c r="BW16" s="36"/>
      <c r="BX16" s="36"/>
      <c r="BY16" s="36"/>
      <c r="BZ16" s="36"/>
      <c r="CA16" s="45"/>
      <c r="CB16" s="41"/>
    </row>
    <row r="17" spans="3:83" x14ac:dyDescent="0.25">
      <c r="C17">
        <v>12</v>
      </c>
    </row>
    <row r="18" spans="3:83" x14ac:dyDescent="0.25">
      <c r="C18">
        <v>13</v>
      </c>
    </row>
    <row r="19" spans="3:83" x14ac:dyDescent="0.25">
      <c r="C19">
        <v>14</v>
      </c>
    </row>
    <row r="20" spans="3:83" x14ac:dyDescent="0.25">
      <c r="C20">
        <v>15</v>
      </c>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X20" s="4"/>
      <c r="AY20" s="4"/>
      <c r="AZ20" s="4"/>
      <c r="BA20" s="4"/>
      <c r="BB20" s="4"/>
      <c r="BC20" s="4"/>
      <c r="BD20" s="4"/>
      <c r="BE20" s="4"/>
      <c r="BF20" s="4"/>
      <c r="BG20" s="4"/>
      <c r="BH20" s="4"/>
      <c r="BI20" s="4"/>
      <c r="BJ20" s="4"/>
      <c r="BK20" s="4"/>
      <c r="BL20" s="4"/>
      <c r="BM20" s="4"/>
      <c r="BN20" s="4"/>
      <c r="BO20" s="4"/>
      <c r="BR20" s="4"/>
      <c r="BS20" s="4"/>
      <c r="BT20" s="4"/>
      <c r="BU20" s="4"/>
      <c r="BV20" s="4"/>
      <c r="BW20" s="4"/>
      <c r="BX20" s="4"/>
      <c r="BY20" s="4"/>
      <c r="BZ20" s="4"/>
      <c r="CA20" s="46"/>
      <c r="CB20" s="42"/>
    </row>
    <row r="21" spans="3:83" x14ac:dyDescent="0.25">
      <c r="C21">
        <v>16</v>
      </c>
    </row>
    <row r="22" spans="3:83" x14ac:dyDescent="0.25">
      <c r="C22">
        <v>17</v>
      </c>
      <c r="D22">
        <v>218.376371445464</v>
      </c>
      <c r="E22">
        <v>2.3089174589498578</v>
      </c>
      <c r="F22">
        <v>53.105685457190098</v>
      </c>
      <c r="G22">
        <v>4.0332966435350448E-2</v>
      </c>
      <c r="H22">
        <v>11.2437509363321</v>
      </c>
      <c r="I22">
        <v>0</v>
      </c>
      <c r="J22">
        <v>3.3347835682208702</v>
      </c>
      <c r="K22">
        <v>0</v>
      </c>
      <c r="L22">
        <v>77.045806591399412</v>
      </c>
      <c r="M22">
        <v>0.1414289265028722</v>
      </c>
      <c r="N22">
        <v>0.39748327683575796</v>
      </c>
      <c r="O22">
        <v>9.7374995094770336E-3</v>
      </c>
      <c r="P22">
        <v>0.90041145810422996</v>
      </c>
      <c r="Q22">
        <v>5.8444619636963291E-2</v>
      </c>
      <c r="R22">
        <v>0.59737938427432902</v>
      </c>
      <c r="S22">
        <v>2.8027010168973979E-2</v>
      </c>
      <c r="T22">
        <v>0.83409934677813502</v>
      </c>
      <c r="U22">
        <v>2.3854710311027448E-2</v>
      </c>
      <c r="V22">
        <v>0.53578700364111598</v>
      </c>
      <c r="W22">
        <v>8.3714475931800682E-3</v>
      </c>
      <c r="X22">
        <v>0.41609464937940499</v>
      </c>
      <c r="Y22">
        <v>1.9510441128170802E-3</v>
      </c>
      <c r="Z22">
        <v>0.79719931461819704</v>
      </c>
      <c r="AA22">
        <v>0</v>
      </c>
      <c r="AB22">
        <v>0</v>
      </c>
      <c r="AC22">
        <v>0</v>
      </c>
      <c r="AD22">
        <v>1.19410425279479</v>
      </c>
      <c r="AE22">
        <v>1.1669057824726343E-2</v>
      </c>
      <c r="AF22">
        <v>0.33223387645118996</v>
      </c>
      <c r="AG22">
        <v>8.0804028258339468E-3</v>
      </c>
      <c r="AH22">
        <v>110.36203337917699</v>
      </c>
      <c r="AI22">
        <v>7.4547068733911726</v>
      </c>
      <c r="AJ22">
        <v>116.368513359074</v>
      </c>
      <c r="AK22">
        <v>4.7880910271523653</v>
      </c>
      <c r="AL22">
        <v>208.901888897612</v>
      </c>
      <c r="AM22">
        <v>2.7656977465827026</v>
      </c>
      <c r="AN22">
        <v>24.055441471286201</v>
      </c>
      <c r="AO22">
        <v>0.25512834508986248</v>
      </c>
      <c r="AP22">
        <v>22.0436688310037</v>
      </c>
      <c r="AQ22">
        <v>0.12933294383887428</v>
      </c>
      <c r="AR22">
        <v>4.7982055111767501</v>
      </c>
      <c r="AS22">
        <v>1.5083610966765599E-2</v>
      </c>
      <c r="AT22">
        <v>0</v>
      </c>
      <c r="AU22">
        <v>0</v>
      </c>
      <c r="AV22">
        <v>0.38373492039532697</v>
      </c>
      <c r="AW22">
        <v>0</v>
      </c>
      <c r="AX22">
        <v>21.472340384024399</v>
      </c>
      <c r="AY22">
        <v>1.6566822189054919E-2</v>
      </c>
      <c r="AZ22">
        <v>0.26380949213907701</v>
      </c>
      <c r="BA22">
        <v>1.4264531186678039E-3</v>
      </c>
      <c r="BB22">
        <v>0.15888313030511553</v>
      </c>
      <c r="BC22">
        <v>7.0955579918327496E-4</v>
      </c>
      <c r="BD22">
        <v>0.40669477758276495</v>
      </c>
      <c r="BE22">
        <v>9.5527262010306237E-3</v>
      </c>
      <c r="BF22">
        <v>2.7602047254563282</v>
      </c>
      <c r="BG22">
        <v>3.5557836605531926E-2</v>
      </c>
      <c r="BH22">
        <v>1.5991733186905421</v>
      </c>
      <c r="BI22">
        <v>2.0303427222428429E-2</v>
      </c>
      <c r="BJ22">
        <v>2.0541929666236749</v>
      </c>
      <c r="BK22">
        <v>1.4997562172844203E-2</v>
      </c>
      <c r="BL22">
        <v>0.2030070180817605</v>
      </c>
      <c r="BM22">
        <v>0</v>
      </c>
      <c r="BN22">
        <v>0</v>
      </c>
      <c r="BO22">
        <v>0</v>
      </c>
      <c r="BP22">
        <v>17.930209122602253</v>
      </c>
      <c r="BQ22">
        <v>0.99622041122724947</v>
      </c>
      <c r="BR22">
        <v>252.31629336598149</v>
      </c>
      <c r="BS22">
        <v>10.134075497016578</v>
      </c>
      <c r="BT22">
        <v>199.02908846975811</v>
      </c>
      <c r="BU22">
        <v>2.0577039885451338</v>
      </c>
      <c r="BV22">
        <v>163.23895821010387</v>
      </c>
      <c r="BW22">
        <v>1.1944071029853354</v>
      </c>
      <c r="BX22">
        <v>95.938403390697857</v>
      </c>
      <c r="BY22">
        <v>0.26709595247278245</v>
      </c>
      <c r="BZ22">
        <v>106.23086859369408</v>
      </c>
      <c r="CA22">
        <v>0.12181007200107703</v>
      </c>
      <c r="CB22" s="40">
        <f>SUM(H22,J22,N22,P22,R22,T22,V22,X22,Z22,AB22,AD22,AF22,AT22,AV22,AX22,AZ22,BB22,BD22,BF22,BH22,BJ22,BL22,BN22)</f>
        <v>49.885367800729107</v>
      </c>
      <c r="CC22" s="40">
        <f>SUM(I22,K22,O22,Q22,S22,U22,W22,Y22,AA22,AC22,AE22,AG22,AU22,AW22,AY22,BA22,BC22,BE22,BG22,BI22,BK22,BM22,BO22,BW22,BY22,CA22,G22,M22,AO22,AQ22,AS22)</f>
        <v>2.4138700955846608</v>
      </c>
      <c r="CD22" s="40">
        <f>SUM(D22,F22,H22,J22,L22,N22,P22,R22,T22,V22,X22,Z22,AB22,AD22,AF22,AH22,AJ22,AL22,AN22,AP22,AR22,AT22,AV22,AX22,AZ22,BB22,BD22,BF22,BH22,BJ22,BL22,BN22,BP22,BR22,BT22,BV22,BX22,BZ22)</f>
        <v>1719.6268038969502</v>
      </c>
      <c r="CE22" s="40">
        <f>SUM(E22,G22,I22,K22,M22,O22,Q22,S22,U22,W22,Y22,AA22,AC22,AE22,AG22,AI22,AK22,AM22,AO22,AQ22,AS22,AU22,AW22,AY22,BA22,BC22,BE22,BG22,BI22,BK22,BM22,BO22,BQ22,BS22,BU22,BW22,BY22,CA22)</f>
        <v>32.919283098449718</v>
      </c>
    </row>
    <row r="23" spans="3:83" x14ac:dyDescent="0.25">
      <c r="C23">
        <v>18</v>
      </c>
    </row>
    <row r="24" spans="3:83" x14ac:dyDescent="0.25">
      <c r="C24">
        <v>19</v>
      </c>
    </row>
    <row r="25" spans="3:83" x14ac:dyDescent="0.25">
      <c r="C25">
        <v>20</v>
      </c>
    </row>
    <row r="26" spans="3:83" x14ac:dyDescent="0.25">
      <c r="C26">
        <v>21</v>
      </c>
    </row>
    <row r="27" spans="3:83" x14ac:dyDescent="0.25">
      <c r="C27">
        <v>22</v>
      </c>
    </row>
    <row r="28" spans="3:83" x14ac:dyDescent="0.25">
      <c r="C28">
        <v>23</v>
      </c>
    </row>
    <row r="29" spans="3:83" x14ac:dyDescent="0.25">
      <c r="C29">
        <v>24</v>
      </c>
      <c r="D29" s="4">
        <v>188.50481550517</v>
      </c>
      <c r="E29" s="4"/>
      <c r="F29" s="4">
        <v>50.489828206579396</v>
      </c>
      <c r="G29" s="4"/>
      <c r="H29" s="4">
        <v>12.932840401327899</v>
      </c>
      <c r="I29" s="4"/>
      <c r="J29" s="4">
        <v>2.3886460803776899</v>
      </c>
      <c r="K29" s="4"/>
      <c r="L29" s="4">
        <v>42.806243816647097</v>
      </c>
      <c r="M29" s="4"/>
      <c r="N29" s="4">
        <v>0.24180542495007601</v>
      </c>
      <c r="O29" s="4"/>
      <c r="P29" s="4">
        <v>0.41964530868030997</v>
      </c>
      <c r="Q29" s="4"/>
      <c r="R29" s="4">
        <v>0.151580398769354</v>
      </c>
      <c r="S29" s="4"/>
      <c r="T29" s="4">
        <v>0.19621007491470399</v>
      </c>
      <c r="U29" s="4"/>
      <c r="V29" s="4">
        <v>9.7031372512366099E-2</v>
      </c>
      <c r="W29" s="4"/>
      <c r="X29" s="4">
        <v>7.7226986158126606E-2</v>
      </c>
      <c r="Y29" s="4"/>
      <c r="Z29" s="4">
        <v>0.60539990859661097</v>
      </c>
      <c r="AA29" s="4"/>
      <c r="AB29" s="4">
        <v>0</v>
      </c>
      <c r="AC29" s="4"/>
      <c r="AD29" s="4">
        <v>1.1923203807252001</v>
      </c>
      <c r="AE29" s="4"/>
      <c r="AF29" s="4">
        <v>0.24952304370417802</v>
      </c>
      <c r="AG29" s="4"/>
      <c r="AH29" s="4">
        <v>53.759837074223796</v>
      </c>
      <c r="AI29" s="4"/>
      <c r="AJ29" s="4">
        <v>43.5677790501285</v>
      </c>
      <c r="AK29" s="4"/>
      <c r="AL29" s="4">
        <v>55.719323873776098</v>
      </c>
      <c r="AM29" s="4"/>
      <c r="AN29" s="4">
        <v>3.2961674323459902</v>
      </c>
      <c r="AO29" s="4"/>
      <c r="AP29" s="4">
        <v>3.0607343075600002</v>
      </c>
      <c r="AQ29" s="4"/>
      <c r="AR29" s="4">
        <v>0.64139967264845399</v>
      </c>
      <c r="AS29" s="4"/>
      <c r="AV29" s="4">
        <v>0.400860768942084</v>
      </c>
      <c r="AW29" s="4"/>
      <c r="AX29" s="4">
        <v>11.631072337249099</v>
      </c>
      <c r="AY29" s="4"/>
      <c r="AZ29" s="4">
        <v>0.175494591979246</v>
      </c>
      <c r="BA29" s="4"/>
      <c r="BB29" s="4">
        <v>0</v>
      </c>
      <c r="BC29" s="4"/>
      <c r="BD29" s="4">
        <v>0.228737468824875</v>
      </c>
      <c r="BE29" s="4"/>
      <c r="BF29" s="4">
        <v>0.85916439065576999</v>
      </c>
      <c r="BG29" s="4"/>
      <c r="BH29" s="4">
        <v>0.392360301335549</v>
      </c>
      <c r="BI29" s="4"/>
      <c r="BJ29" s="4">
        <v>0.67342633070296198</v>
      </c>
      <c r="BK29" s="4"/>
      <c r="BL29" s="4">
        <v>0.32545038707158197</v>
      </c>
      <c r="BM29" s="4"/>
      <c r="BP29" s="4">
        <v>11.705069385867001</v>
      </c>
      <c r="BQ29" s="4"/>
      <c r="BR29" s="4">
        <v>160.25291660039298</v>
      </c>
      <c r="BS29" s="4"/>
      <c r="BT29" s="4">
        <v>76.710755967089298</v>
      </c>
      <c r="BU29" s="4"/>
      <c r="BV29" s="4">
        <v>47.379473277695702</v>
      </c>
      <c r="BW29" s="4"/>
      <c r="BX29" s="4">
        <v>23.862555927357501</v>
      </c>
      <c r="BY29" s="4"/>
      <c r="BZ29" s="4">
        <v>28.089957133424001</v>
      </c>
      <c r="CB29" s="40">
        <f>SUM(H29,J29,N29,P29,R29,T29,V29,X29,Z29,AB29,AD29,AF29,AT29,AV29,AX29,AZ29,BB29,BD29,BF29,BH29,BJ29,BL29,BN29)</f>
        <v>33.238795957477684</v>
      </c>
      <c r="CD29" s="40">
        <f>SUM(D29,F29,H29,J29,L29,N29,P29,R29,T29,V29,X29,Z29,AB29,AD29,AF29,AH29,AJ29,AL29,AN29,AP29,AR29,AT29,AV29,AX29,AZ29,BB29,BD29,BF29,BH29,BJ29,BL29,BN29,BP29,BR29,BT29,BV29,BX29,BZ29)</f>
        <v>823.0856531883835</v>
      </c>
    </row>
    <row r="30" spans="3:83" x14ac:dyDescent="0.25">
      <c r="C30">
        <v>25</v>
      </c>
    </row>
    <row r="31" spans="3:83" x14ac:dyDescent="0.25">
      <c r="C31">
        <v>26</v>
      </c>
    </row>
    <row r="32" spans="3:83" x14ac:dyDescent="0.25">
      <c r="C32">
        <v>27</v>
      </c>
    </row>
    <row r="33" spans="3:83" x14ac:dyDescent="0.25">
      <c r="C33">
        <v>28</v>
      </c>
    </row>
    <row r="34" spans="3:83" x14ac:dyDescent="0.25">
      <c r="C34">
        <v>29</v>
      </c>
    </row>
    <row r="35" spans="3:83" x14ac:dyDescent="0.25">
      <c r="C35">
        <v>30</v>
      </c>
    </row>
    <row r="36" spans="3:83" x14ac:dyDescent="0.25">
      <c r="C36">
        <v>31</v>
      </c>
      <c r="D36" s="4">
        <v>213.14220835196099</v>
      </c>
      <c r="E36" s="4"/>
      <c r="F36" s="4">
        <v>49.031122410387304</v>
      </c>
      <c r="G36" s="4"/>
      <c r="H36" s="4">
        <v>9.9122905174793505</v>
      </c>
      <c r="I36" s="4"/>
      <c r="J36" s="4">
        <v>2.39241020104572</v>
      </c>
      <c r="K36" s="4"/>
      <c r="L36" s="4">
        <v>35.394656171988096</v>
      </c>
      <c r="M36" s="4"/>
      <c r="N36" s="4">
        <v>0.18942493784011402</v>
      </c>
      <c r="O36" s="4"/>
      <c r="P36" s="4">
        <v>0.24967474201027098</v>
      </c>
      <c r="Q36" s="4"/>
      <c r="R36" s="4">
        <v>0.16983818082031499</v>
      </c>
      <c r="S36" s="4"/>
      <c r="T36" s="4">
        <v>0.24775821269648099</v>
      </c>
      <c r="U36" s="4"/>
      <c r="V36" s="4">
        <v>0.111269994694038</v>
      </c>
      <c r="W36" s="4"/>
      <c r="X36" s="4">
        <v>9.8907880260458991E-2</v>
      </c>
      <c r="Y36" s="4"/>
      <c r="Z36" s="4">
        <v>0.69014539151080101</v>
      </c>
      <c r="AA36" s="4"/>
      <c r="AB36" s="4">
        <v>0</v>
      </c>
      <c r="AC36" s="4"/>
      <c r="AD36" s="4">
        <v>1.2135880738040101</v>
      </c>
      <c r="AE36" s="4"/>
      <c r="AF36" s="4">
        <v>0.22658387477957101</v>
      </c>
      <c r="AG36" s="4"/>
      <c r="AH36" s="4">
        <v>29.482274855545203</v>
      </c>
      <c r="AI36" s="4"/>
      <c r="AJ36" s="4">
        <v>53.546750215337298</v>
      </c>
      <c r="AK36" s="4"/>
      <c r="AL36" s="4">
        <v>69.830993597615389</v>
      </c>
      <c r="AM36" s="4"/>
      <c r="AN36" s="4">
        <v>5.2514271548025002</v>
      </c>
      <c r="AO36" s="4"/>
      <c r="AP36" s="4">
        <v>4.0144556212458404</v>
      </c>
      <c r="AQ36" s="4"/>
      <c r="AR36" s="4">
        <v>0.82094855651462206</v>
      </c>
      <c r="AS36" s="4"/>
      <c r="AV36" s="4">
        <v>0.37150016060428098</v>
      </c>
      <c r="AW36" s="4"/>
      <c r="AX36" s="4">
        <v>9.851591451310231</v>
      </c>
      <c r="AY36" s="4"/>
      <c r="AZ36" s="4">
        <v>0</v>
      </c>
      <c r="BA36" s="4"/>
      <c r="BB36" s="4">
        <v>0</v>
      </c>
      <c r="BC36" s="4"/>
      <c r="BD36" s="4">
        <v>0.14880025624629301</v>
      </c>
      <c r="BE36" s="4"/>
      <c r="BF36" s="4">
        <v>0.99854782526217001</v>
      </c>
      <c r="BG36" s="4"/>
      <c r="BH36" s="4">
        <v>0.443585488306385</v>
      </c>
      <c r="BI36" s="4"/>
      <c r="BJ36" s="4">
        <v>0.84910629036340701</v>
      </c>
      <c r="BK36" s="4"/>
      <c r="BL36" s="4">
        <v>0.37167297787863601</v>
      </c>
      <c r="BM36" s="4"/>
      <c r="BP36" s="4">
        <v>8.9718800506483891</v>
      </c>
      <c r="BQ36" s="4"/>
      <c r="BR36" s="4">
        <v>115.423358757155</v>
      </c>
      <c r="BS36" s="4"/>
      <c r="BT36" s="4">
        <v>98.520132704316197</v>
      </c>
      <c r="BU36" s="4"/>
      <c r="BV36" s="4">
        <v>55.523788940391505</v>
      </c>
      <c r="BW36" s="4"/>
      <c r="BX36" s="4">
        <v>28.760986497563202</v>
      </c>
      <c r="BY36" s="4"/>
      <c r="BZ36" s="4">
        <v>33.631368363258801</v>
      </c>
      <c r="CB36" s="40">
        <f>SUM(H36,J36,N36,P36,R36,T36,V36,X36,Z36,AB36,AD36,AF36,AT36,AV36,AX36,AZ36,BB36,BD36,BF36,BH36,BJ36,BL36,BN36)</f>
        <v>28.536696456912534</v>
      </c>
      <c r="CD36" s="40">
        <f>SUM(D36,F36,H36,J36,L36,N36,P36,R36,T36,V36,X36,Z36,AB36,AD36,AF36,AH36,AJ36,AL36,AN36,AP36,AR36,AT36,AV36,AX36,AZ36,BB36,BD36,BF36,BH36,BJ36,BL36,BN36,BP36,BR36,BT36,BV36,BX36,BZ36)</f>
        <v>829.88304870564286</v>
      </c>
    </row>
    <row r="37" spans="3:83" x14ac:dyDescent="0.25">
      <c r="C37">
        <v>32</v>
      </c>
    </row>
    <row r="38" spans="3:83" x14ac:dyDescent="0.25">
      <c r="C38">
        <v>33</v>
      </c>
    </row>
    <row r="39" spans="3:83" x14ac:dyDescent="0.25">
      <c r="C39">
        <v>34</v>
      </c>
    </row>
    <row r="40" spans="3:83" x14ac:dyDescent="0.25">
      <c r="C40">
        <v>35</v>
      </c>
    </row>
    <row r="41" spans="3:83" x14ac:dyDescent="0.25">
      <c r="C41">
        <v>36</v>
      </c>
    </row>
    <row r="42" spans="3:83" x14ac:dyDescent="0.25">
      <c r="C42">
        <v>37</v>
      </c>
    </row>
    <row r="43" spans="3:83" x14ac:dyDescent="0.25">
      <c r="C43">
        <v>38</v>
      </c>
      <c r="D43">
        <v>155.47020090144011</v>
      </c>
      <c r="E43">
        <v>0.61947876401251878</v>
      </c>
      <c r="F43">
        <v>37.090027792033517</v>
      </c>
      <c r="G43">
        <v>1.5853995684656501E-2</v>
      </c>
      <c r="H43">
        <v>8.0491206778539865</v>
      </c>
      <c r="I43">
        <v>0</v>
      </c>
      <c r="J43">
        <v>1.7629997888338071</v>
      </c>
      <c r="K43">
        <v>0</v>
      </c>
      <c r="L43">
        <v>27.926420806537408</v>
      </c>
      <c r="M43">
        <v>2.5698304791204801E-2</v>
      </c>
      <c r="N43">
        <v>0.22179836975832079</v>
      </c>
      <c r="O43">
        <v>4.4841359669472742E-3</v>
      </c>
      <c r="P43">
        <v>0.50418508967587095</v>
      </c>
      <c r="Q43">
        <v>7.2693502659969059E-2</v>
      </c>
      <c r="R43">
        <v>0.22197198355747338</v>
      </c>
      <c r="S43">
        <v>3.8092317237744699E-2</v>
      </c>
      <c r="T43">
        <v>0.28378982277853176</v>
      </c>
      <c r="U43">
        <v>2.8409015678178148E-2</v>
      </c>
      <c r="V43">
        <v>0.14252656987057394</v>
      </c>
      <c r="W43">
        <v>1.0017572817538165E-2</v>
      </c>
      <c r="X43">
        <v>0.10102500597245961</v>
      </c>
      <c r="Y43">
        <v>1.751743256959135E-3</v>
      </c>
      <c r="Z43">
        <v>0.71331767181043659</v>
      </c>
      <c r="AA43">
        <v>0</v>
      </c>
      <c r="AB43">
        <v>0</v>
      </c>
      <c r="AC43">
        <v>0</v>
      </c>
      <c r="AD43">
        <v>0.81463041090390254</v>
      </c>
      <c r="AE43">
        <v>1.9639776176058475E-2</v>
      </c>
      <c r="AF43">
        <v>0.20024382012773187</v>
      </c>
      <c r="AG43">
        <v>1.5628639064206949E-2</v>
      </c>
      <c r="AH43">
        <v>58.639419751260618</v>
      </c>
      <c r="AI43">
        <v>11.605000344309133</v>
      </c>
      <c r="AJ43">
        <v>77.958307148240607</v>
      </c>
      <c r="AK43">
        <v>9.1402489407894727</v>
      </c>
      <c r="AL43">
        <v>79.505231826687506</v>
      </c>
      <c r="AM43">
        <v>3.6659224497913052</v>
      </c>
      <c r="AN43">
        <v>6.5710760996155164</v>
      </c>
      <c r="AO43">
        <v>0.29728735555045505</v>
      </c>
      <c r="AP43">
        <v>5.0083262007883871</v>
      </c>
      <c r="AQ43">
        <v>0.13548303765611597</v>
      </c>
      <c r="AR43">
        <v>1.1469450474711063</v>
      </c>
      <c r="AS43">
        <v>2.2057276647693649E-2</v>
      </c>
      <c r="AT43">
        <v>0</v>
      </c>
      <c r="AU43">
        <v>0</v>
      </c>
      <c r="AV43">
        <v>0.30935189510169997</v>
      </c>
      <c r="AW43">
        <v>0</v>
      </c>
      <c r="AX43">
        <v>6.8426307821480634</v>
      </c>
      <c r="AY43">
        <v>3.3886488638472266E-3</v>
      </c>
      <c r="AZ43">
        <v>4.6627031360728328E-2</v>
      </c>
      <c r="BA43">
        <v>6.5905630316147123E-5</v>
      </c>
      <c r="BB43">
        <v>2.3388949583332007E-2</v>
      </c>
      <c r="BC43">
        <v>3.4930438908842999E-3</v>
      </c>
      <c r="BD43">
        <v>0.17730225701107249</v>
      </c>
      <c r="BE43">
        <v>1.5172736562437047E-2</v>
      </c>
      <c r="BF43">
        <v>0.62010145224592939</v>
      </c>
      <c r="BG43">
        <v>4.9795363117221818E-2</v>
      </c>
      <c r="BH43">
        <v>0.31332968671912054</v>
      </c>
      <c r="BI43">
        <v>1.6244120266830316E-2</v>
      </c>
      <c r="BJ43">
        <v>0.55487205952460772</v>
      </c>
      <c r="BK43">
        <v>4.8260881816243545E-3</v>
      </c>
      <c r="BL43">
        <v>0.19405605273753757</v>
      </c>
      <c r="BM43">
        <v>0</v>
      </c>
      <c r="BN43">
        <v>0</v>
      </c>
      <c r="BO43">
        <v>0</v>
      </c>
      <c r="BP43">
        <v>7.5286040622558001</v>
      </c>
      <c r="BQ43">
        <v>2.1150749164059017</v>
      </c>
      <c r="BR43">
        <v>138.46662341183415</v>
      </c>
      <c r="BS43">
        <v>19.204016230503196</v>
      </c>
      <c r="BT43">
        <v>77.050581745597441</v>
      </c>
      <c r="BU43">
        <v>2.6862473119152526</v>
      </c>
      <c r="BV43">
        <v>42.034433392079691</v>
      </c>
      <c r="BW43">
        <v>0.73668682239732575</v>
      </c>
      <c r="BX43">
        <v>21.446036836039834</v>
      </c>
      <c r="BY43">
        <v>0.1014179690881214</v>
      </c>
      <c r="BZ43">
        <v>22.068410639462034</v>
      </c>
      <c r="CA43">
        <v>3.3668774822408515E-2</v>
      </c>
      <c r="CB43" s="40">
        <f>SUM(H43,J43,N43,P43,R43,T43,V43,X43,Z43,AB43,AD43,AF43,AT43,AV43,AX43,AZ43,BB43,BD43,BF43,BH43,BJ43,BL43,BN43)</f>
        <v>22.097269377575191</v>
      </c>
      <c r="CC43" s="40">
        <f>SUM(I43,K43,O43,Q43,S43,U43,W43,Y43,AA43,AC43,AE43,AG43,AU43,AW43,AY43,BA43,BC43,BE43,BG43,BI43,BK43,BM43,BO43,BW43,BY43,CA43,G43,M43,AO43,AQ43,AS43)</f>
        <v>1.6518561460087446</v>
      </c>
      <c r="CD43" s="40">
        <f>SUM(D43,F43,H43,J43,L43,N43,P43,R43,T43,V43,X43,Z43,AB43,AD43,AF43,AH43,AJ43,AL43,AN43,AP43,AR43,AT43,AV43,AX43,AZ43,BB43,BD43,BF43,BH43,BJ43,BL43,BN43,BP43,BR43,BT43,BV43,BX43,BZ43)</f>
        <v>780.0079150389189</v>
      </c>
      <c r="CE43" s="40">
        <f>SUM(E43,G43,I43,K43,M43,O43,Q43,S43,U43,W43,Y43,AA43,AC43,AE43,AG43,AI43,AK43,AM43,AO43,AQ43,AS43,AU43,AW43,AY43,BA43,BC43,BE43,BG43,BI43,BK43,BM43,BO43,BQ43,BS43,BU43,BW43,BY43,CA43)</f>
        <v>50.687845103735519</v>
      </c>
    </row>
    <row r="44" spans="3:83" x14ac:dyDescent="0.25">
      <c r="C44">
        <v>39</v>
      </c>
    </row>
    <row r="45" spans="3:83" x14ac:dyDescent="0.25">
      <c r="C45">
        <v>40</v>
      </c>
    </row>
    <row r="46" spans="3:83" x14ac:dyDescent="0.25">
      <c r="C46">
        <v>41</v>
      </c>
    </row>
    <row r="47" spans="3:83" x14ac:dyDescent="0.25">
      <c r="C47">
        <v>42</v>
      </c>
    </row>
    <row r="48" spans="3:83" x14ac:dyDescent="0.25">
      <c r="C48">
        <v>43</v>
      </c>
    </row>
    <row r="49" spans="3:90" x14ac:dyDescent="0.25">
      <c r="C49">
        <v>44</v>
      </c>
    </row>
    <row r="50" spans="3:90" x14ac:dyDescent="0.25">
      <c r="C50">
        <v>45</v>
      </c>
      <c r="D50" s="4">
        <v>146.81634775720602</v>
      </c>
      <c r="E50" s="4"/>
      <c r="F50" s="4">
        <v>40.860076959305601</v>
      </c>
      <c r="G50" s="4"/>
      <c r="H50" s="4">
        <v>10.366333827226999</v>
      </c>
      <c r="I50" s="4"/>
      <c r="J50" s="4">
        <v>2.7501510068173203</v>
      </c>
      <c r="K50" s="4"/>
      <c r="L50" s="4">
        <v>55.472942945914106</v>
      </c>
      <c r="M50" s="4"/>
      <c r="N50" s="4">
        <v>0.32587024272866399</v>
      </c>
      <c r="O50" s="4"/>
      <c r="P50" s="4">
        <v>0.66018318238595097</v>
      </c>
      <c r="Q50" s="4"/>
      <c r="R50" s="4">
        <v>0.36770725160448697</v>
      </c>
      <c r="S50" s="4"/>
      <c r="T50" s="4">
        <v>0.64114752555755794</v>
      </c>
      <c r="U50" s="4"/>
      <c r="V50" s="4">
        <v>0.43346451840690903</v>
      </c>
      <c r="W50" s="4"/>
      <c r="X50" s="4">
        <v>0.33506044065206103</v>
      </c>
      <c r="Y50" s="4"/>
      <c r="Z50" s="4">
        <v>0.55934074711017101</v>
      </c>
      <c r="AA50" s="4"/>
      <c r="AB50" s="4">
        <v>0</v>
      </c>
      <c r="AC50" s="4"/>
      <c r="AD50" s="4">
        <v>1.06404343577386</v>
      </c>
      <c r="AE50" s="4"/>
      <c r="AF50" s="4">
        <v>0.277560255112072</v>
      </c>
      <c r="AG50" s="4"/>
      <c r="AH50" s="4">
        <v>84.216197655081004</v>
      </c>
      <c r="AI50" s="4"/>
      <c r="AJ50" s="4">
        <v>80.531931708892088</v>
      </c>
      <c r="AK50" s="4"/>
      <c r="AL50" s="4">
        <v>164.707981235082</v>
      </c>
      <c r="AM50" s="4"/>
      <c r="AN50" s="4">
        <v>20.964391713288698</v>
      </c>
      <c r="AO50" s="4"/>
      <c r="AP50" s="4">
        <v>20.367033104817402</v>
      </c>
      <c r="AQ50" s="4"/>
      <c r="AR50" s="4">
        <v>3.9143631078406202</v>
      </c>
      <c r="AS50" s="4"/>
      <c r="AV50" s="4">
        <v>0.395669788884489</v>
      </c>
      <c r="AW50" s="4"/>
      <c r="AX50" s="4">
        <v>13.129689424524001</v>
      </c>
      <c r="AY50" s="4"/>
      <c r="AZ50" s="4">
        <v>0</v>
      </c>
      <c r="BA50" s="4"/>
      <c r="BB50" s="4">
        <v>0</v>
      </c>
      <c r="BC50" s="4"/>
      <c r="BD50" s="4">
        <v>0.28916245215340503</v>
      </c>
      <c r="BE50" s="4"/>
      <c r="BF50" s="4">
        <v>2.1450500328969904</v>
      </c>
      <c r="BG50" s="4"/>
      <c r="BH50" s="4">
        <v>1.23889871637867</v>
      </c>
      <c r="BI50" s="4"/>
      <c r="BJ50" s="4">
        <v>2.0683665394825397</v>
      </c>
      <c r="BK50" s="4"/>
      <c r="BL50" s="4">
        <v>0.25708020725474701</v>
      </c>
      <c r="BM50" s="4"/>
      <c r="BP50" s="4">
        <v>15.950353546951201</v>
      </c>
      <c r="BQ50" s="4"/>
      <c r="BR50" s="4">
        <v>239.27138341265501</v>
      </c>
      <c r="BS50" s="4"/>
      <c r="BT50" s="4">
        <v>157.74471310328499</v>
      </c>
      <c r="BU50" s="4"/>
      <c r="BV50" s="4">
        <v>159.76419796254899</v>
      </c>
      <c r="BW50" s="4"/>
      <c r="BX50" s="4">
        <v>96.841285802701094</v>
      </c>
      <c r="BY50" s="4"/>
      <c r="BZ50" s="4">
        <v>116.615226045043</v>
      </c>
      <c r="CB50" s="40">
        <f>SUM(H50,J50,N50,P50,R50,T50,V50,X50,Z50,AB50,AD50,AF50,AT50,AV50,AX50,AZ50,BB50,BD50,BF50,BH50,BJ50,BL50,BN50)</f>
        <v>37.304779594950894</v>
      </c>
      <c r="CD50" s="40">
        <f>SUM(D50,F50,H50,J50,L50,N50,P50,R50,T50,V50,X50,Z50,AB50,AD50,AF50,AH50,AJ50,AL50,AN50,AP50,AR50,AT50,AV50,AX50,AZ50,BB50,BD50,BF50,BH50,BJ50,BL50,BN50,BP50,BR50,BT50,BV50,BX50,BZ50)</f>
        <v>1441.3432056555628</v>
      </c>
    </row>
    <row r="51" spans="3:90" x14ac:dyDescent="0.25">
      <c r="C51">
        <v>46</v>
      </c>
    </row>
    <row r="52" spans="3:90" x14ac:dyDescent="0.25">
      <c r="C52">
        <v>47</v>
      </c>
    </row>
    <row r="53" spans="3:90" x14ac:dyDescent="0.25">
      <c r="C53">
        <v>48</v>
      </c>
    </row>
    <row r="54" spans="3:90" x14ac:dyDescent="0.25">
      <c r="C54">
        <v>49</v>
      </c>
    </row>
    <row r="55" spans="3:90" x14ac:dyDescent="0.25">
      <c r="C55">
        <v>50</v>
      </c>
    </row>
    <row r="56" spans="3:90" x14ac:dyDescent="0.25">
      <c r="C56">
        <v>51</v>
      </c>
    </row>
    <row r="57" spans="3:90" x14ac:dyDescent="0.25">
      <c r="C57">
        <v>52</v>
      </c>
      <c r="CI57" t="s">
        <v>225</v>
      </c>
      <c r="CK57" t="s">
        <v>226</v>
      </c>
    </row>
    <row r="58" spans="3:90" x14ac:dyDescent="0.25">
      <c r="C58">
        <v>53</v>
      </c>
      <c r="CK58" s="43" t="s">
        <v>78</v>
      </c>
    </row>
    <row r="59" spans="3:90" x14ac:dyDescent="0.25">
      <c r="C59">
        <v>54</v>
      </c>
      <c r="D59">
        <v>146.425504220753</v>
      </c>
      <c r="E59">
        <v>0.93878124748748693</v>
      </c>
      <c r="F59">
        <v>39.474002096377198</v>
      </c>
      <c r="G59">
        <v>1.9572606556625478E-2</v>
      </c>
      <c r="H59">
        <v>10.412261070908901</v>
      </c>
      <c r="I59">
        <v>0</v>
      </c>
      <c r="J59">
        <v>3.10841470884594</v>
      </c>
      <c r="K59">
        <v>0</v>
      </c>
      <c r="L59">
        <v>64.349862861675902</v>
      </c>
      <c r="M59">
        <v>3.641465374733014E-2</v>
      </c>
      <c r="N59">
        <v>0.33704811618345898</v>
      </c>
      <c r="O59">
        <v>2.8477948201427973E-3</v>
      </c>
      <c r="P59">
        <v>0.61942591056679708</v>
      </c>
      <c r="Q59">
        <v>6.9340278462715399E-2</v>
      </c>
      <c r="R59">
        <v>0.28389636812834901</v>
      </c>
      <c r="S59">
        <v>3.2621673697004923E-2</v>
      </c>
      <c r="T59">
        <v>0.35383699277453601</v>
      </c>
      <c r="U59">
        <v>2.4411039298320149E-2</v>
      </c>
      <c r="V59">
        <v>0.195124215996584</v>
      </c>
      <c r="W59">
        <v>6.7601928425284645E-3</v>
      </c>
      <c r="X59">
        <v>0.14479768914199501</v>
      </c>
      <c r="Y59">
        <v>3.1638680952942376E-3</v>
      </c>
      <c r="Z59">
        <v>0.59187344211599302</v>
      </c>
      <c r="AA59">
        <v>0</v>
      </c>
      <c r="AB59">
        <v>0</v>
      </c>
      <c r="AC59">
        <v>0</v>
      </c>
      <c r="AD59">
        <v>1.07062830535455</v>
      </c>
      <c r="AE59">
        <v>1.2951559184429225E-2</v>
      </c>
      <c r="AF59">
        <v>0.262164070660097</v>
      </c>
      <c r="AG59">
        <v>1.533833398812855E-2</v>
      </c>
      <c r="AH59">
        <v>82.329132145330192</v>
      </c>
      <c r="AI59">
        <v>12.114684260748042</v>
      </c>
      <c r="AJ59">
        <v>75.193975807539999</v>
      </c>
      <c r="AK59">
        <v>7.8088782781780939</v>
      </c>
      <c r="AL59">
        <v>112.53699801953199</v>
      </c>
      <c r="AM59">
        <v>5.1831890988993026</v>
      </c>
      <c r="AN59">
        <v>8.3088763006417601</v>
      </c>
      <c r="AO59">
        <v>0.26429538497007299</v>
      </c>
      <c r="AP59">
        <v>6.1939318079831605</v>
      </c>
      <c r="AQ59">
        <v>0.123179478032613</v>
      </c>
      <c r="AR59">
        <v>1.6233744701902499</v>
      </c>
      <c r="AS59">
        <v>1.6188053596271425E-2</v>
      </c>
      <c r="AT59">
        <v>0</v>
      </c>
      <c r="AU59">
        <v>0</v>
      </c>
      <c r="AV59">
        <v>0.43076466121907403</v>
      </c>
      <c r="AW59">
        <v>0</v>
      </c>
      <c r="AX59">
        <v>16.361427991519299</v>
      </c>
      <c r="AY59">
        <v>4.4242580664495736E-3</v>
      </c>
      <c r="AZ59">
        <v>0.195461901986451</v>
      </c>
      <c r="BA59">
        <v>6.7760773280484135E-5</v>
      </c>
      <c r="BB59">
        <v>0.10268902897180246</v>
      </c>
      <c r="BC59">
        <v>8.4950384452249386E-4</v>
      </c>
      <c r="BD59">
        <v>0.19399390437815192</v>
      </c>
      <c r="BE59">
        <v>1.4890973369154729E-2</v>
      </c>
      <c r="BF59">
        <v>0.85807408592702106</v>
      </c>
      <c r="BG59">
        <v>3.891122778689754E-2</v>
      </c>
      <c r="BH59">
        <v>0.51756825450535904</v>
      </c>
      <c r="BI59">
        <v>1.2913500800577613E-2</v>
      </c>
      <c r="BJ59">
        <v>0.97506320197313945</v>
      </c>
      <c r="BK59">
        <v>4.8088299198440635E-3</v>
      </c>
      <c r="BL59">
        <v>0.20154178690187802</v>
      </c>
      <c r="BM59">
        <v>0</v>
      </c>
      <c r="BN59">
        <v>0</v>
      </c>
      <c r="BO59">
        <v>0</v>
      </c>
      <c r="BP59">
        <v>11.258560692495381</v>
      </c>
      <c r="BQ59">
        <v>2.3834637520754574</v>
      </c>
      <c r="BR59">
        <v>149.04818280892346</v>
      </c>
      <c r="BS59">
        <v>19.288553936407038</v>
      </c>
      <c r="BT59">
        <v>87.609408194482157</v>
      </c>
      <c r="BU59">
        <v>3.0188717339607516</v>
      </c>
      <c r="BV59">
        <v>50.278417380908692</v>
      </c>
      <c r="BW59">
        <v>0.7454181149147433</v>
      </c>
      <c r="BX59">
        <v>28.023422094363486</v>
      </c>
      <c r="BY59">
        <v>0.15013892063543224</v>
      </c>
      <c r="BZ59">
        <v>30.058392848269872</v>
      </c>
      <c r="CA59" s="38">
        <v>6.3004407723677242E-2</v>
      </c>
      <c r="CB59" s="40">
        <f>SUM(H59,J59,N59,P59,R59,T59,V59,X59,Z59,AB59,AD59,AF59,AT59,AV59,AX59,AZ59,BB59,BD59,BF59,BH59,BJ59,BL59,BN59)</f>
        <v>37.216055708059379</v>
      </c>
      <c r="CC59" s="40">
        <f>SUM(I59,K59,O59,Q59,S59,U59,W59,Y59,AA59,AC59,AE59,AG59,AU59,AW59,AY59,BA59,BC59,BE59,BG59,BI59,BK59,BM59,BO59,BW59,BY59,CA59,G59,M59,AO59,AQ59,AS59)</f>
        <v>1.6625124151260562</v>
      </c>
      <c r="CD59" s="40">
        <f>SUM(D59,F59,H59,J59,L59,N59,P59,R59,T59,V59,X59,Z59,AB59,AD59,AF59,AH59,AJ59,AL59,AN59,AP59,AR59,AT59,AV59,AX59,AZ59,BB59,BD59,BF59,BH59,BJ59,BL59,BN59,BP59,BR59,BT59,BV59,BX59,BZ59)</f>
        <v>929.92809745752595</v>
      </c>
      <c r="CE59" s="40">
        <f>SUM(E59,G59,I59,K59,M59,O59,Q59,S59,U59,W59,Y59,AA59,AC59,AE59,AG59,AI59,AK59,AM59,AO59,AQ59,AS59,AU59,AW59,AY59,BA59,BC59,BE59,BG59,BI59,BK59,BM59,BO59,BQ59,BS59,BU59,BW59,BY59,CA59)</f>
        <v>52.398934722882231</v>
      </c>
      <c r="CK59" s="43" t="s">
        <v>79</v>
      </c>
    </row>
    <row r="60" spans="3:90" x14ac:dyDescent="0.25">
      <c r="C60">
        <v>55</v>
      </c>
      <c r="CI60" t="s">
        <v>80</v>
      </c>
      <c r="CJ60" t="s">
        <v>76</v>
      </c>
      <c r="CK60" t="s">
        <v>80</v>
      </c>
      <c r="CL60" t="s">
        <v>76</v>
      </c>
    </row>
    <row r="61" spans="3:90" x14ac:dyDescent="0.25">
      <c r="C61">
        <v>56</v>
      </c>
      <c r="CI61" t="s">
        <v>1</v>
      </c>
      <c r="CJ61" t="s">
        <v>18</v>
      </c>
      <c r="CK61" t="s">
        <v>1</v>
      </c>
      <c r="CL61" t="s">
        <v>18</v>
      </c>
    </row>
    <row r="62" spans="3:90" x14ac:dyDescent="0.25">
      <c r="C62">
        <v>57</v>
      </c>
      <c r="E62">
        <v>0.40822934085581897</v>
      </c>
      <c r="G62">
        <v>8.6545184158462306E-3</v>
      </c>
      <c r="I62">
        <v>0</v>
      </c>
      <c r="K62">
        <v>0</v>
      </c>
      <c r="M62">
        <v>1.5278870960463086E-2</v>
      </c>
      <c r="O62">
        <v>3.0239708036575519E-3</v>
      </c>
      <c r="Q62">
        <v>8.4880293294181008E-2</v>
      </c>
      <c r="S62">
        <v>4.058967984185665E-2</v>
      </c>
      <c r="U62">
        <v>2.979014133004175E-2</v>
      </c>
      <c r="W62">
        <v>9.9662282371779948E-3</v>
      </c>
      <c r="Y62">
        <v>2.5899188419415452E-3</v>
      </c>
      <c r="AA62">
        <v>0</v>
      </c>
      <c r="AC62">
        <v>0</v>
      </c>
      <c r="AE62">
        <v>1.2746547846229405E-2</v>
      </c>
      <c r="AG62">
        <v>1.5669051325312426E-2</v>
      </c>
      <c r="AI62">
        <v>14.076704224348823</v>
      </c>
      <c r="AK62">
        <v>10.780668198294162</v>
      </c>
      <c r="AM62">
        <v>4.0865793591024495</v>
      </c>
      <c r="AO62">
        <v>0.34071257998891524</v>
      </c>
      <c r="AQ62">
        <v>0.16384706643913874</v>
      </c>
      <c r="AS62">
        <v>2.6691177867022724E-2</v>
      </c>
      <c r="AU62">
        <v>0</v>
      </c>
      <c r="AW62">
        <v>0</v>
      </c>
      <c r="AY62">
        <v>1.1115165815001008E-3</v>
      </c>
      <c r="BA62">
        <v>2.7385540593418113E-5</v>
      </c>
      <c r="BC62">
        <v>9.1641143603447622E-4</v>
      </c>
      <c r="BE62">
        <v>1.6622288173280701E-2</v>
      </c>
      <c r="BG62">
        <v>4.6756776342572602E-2</v>
      </c>
      <c r="BI62">
        <v>1.5065663346580231E-2</v>
      </c>
      <c r="BK62">
        <v>5.9025164979644466E-3</v>
      </c>
      <c r="BM62">
        <v>0</v>
      </c>
      <c r="BO62">
        <v>0</v>
      </c>
      <c r="BQ62">
        <v>2.4059463786285447</v>
      </c>
      <c r="BS62">
        <v>23.175070493982599</v>
      </c>
      <c r="BU62">
        <v>2.8364254659032624</v>
      </c>
      <c r="BW62">
        <v>0.81545233186239652</v>
      </c>
      <c r="BY62">
        <v>0.14310612453179825</v>
      </c>
      <c r="CA62" s="38">
        <v>4.7832423123505712E-2</v>
      </c>
      <c r="CB62" s="40">
        <f>SUM(H62,J62,N62,P62,R62,T62,V62,X62,Z62,AB62,AD62,AF62,AT62,AV62,AX62,AZ62,BB62,BD62,BF62,BH62,BJ62,BL62,BN62)</f>
        <v>0</v>
      </c>
      <c r="CC62" s="40">
        <f>SUM(I62,K62,O62,Q62,S62,U62,W62,Y62,AA62,AC62,AE62,AG62,AU62,AW62,AY62,BA62,BC62,BE62,BG62,BI62,BK62,BM62,BO62,BW62,BY62,CA62,G62,M62,AO62,AQ62,AS62)</f>
        <v>1.8472334826280106</v>
      </c>
      <c r="CD62" s="40">
        <f>SUM(D62,F62,H62,J62,L62,N62,P62,R62,T62,V62,X62,Z62,AB62,AD62,AF62,AH62,AJ62,AL62,AN62,AP62,AR62,AT62,AV62,AX62,AZ62,BB62,BD62,BF62,BH62,BJ62,BL62,BN62,BP62,BR62,BT62,BV62,BX62,BZ62)</f>
        <v>0</v>
      </c>
      <c r="CE62" s="40">
        <f>SUM(E62,G62,I62,K62,M62,O62,Q62,S62,U62,W62,Y62,AA62,AC62,AE62,AG62,AI62,AK62,AM62,AO62,AQ62,AS62,AU62,AW62,AY62,BA62,BC62,BE62,BG62,BI62,BK62,BM62,BO62,BQ62,BS62,BU62,BW62,BY62,CA62)</f>
        <v>59.616856943743677</v>
      </c>
      <c r="CJ62" t="s">
        <v>19</v>
      </c>
      <c r="CK62" s="43" t="s">
        <v>2</v>
      </c>
      <c r="CL62" t="s">
        <v>19</v>
      </c>
    </row>
    <row r="63" spans="3:90" x14ac:dyDescent="0.25">
      <c r="C63">
        <v>58</v>
      </c>
      <c r="CI63" t="s">
        <v>3</v>
      </c>
      <c r="CJ63" t="s">
        <v>20</v>
      </c>
      <c r="CK63" t="s">
        <v>3</v>
      </c>
      <c r="CL63" t="s">
        <v>20</v>
      </c>
    </row>
    <row r="64" spans="3:90" x14ac:dyDescent="0.25">
      <c r="C64">
        <v>59</v>
      </c>
      <c r="CI64" t="s">
        <v>4</v>
      </c>
      <c r="CJ64" t="s">
        <v>21</v>
      </c>
      <c r="CK64" t="s">
        <v>4</v>
      </c>
      <c r="CL64" t="s">
        <v>21</v>
      </c>
    </row>
    <row r="65" spans="3:90" x14ac:dyDescent="0.25">
      <c r="C65">
        <v>60</v>
      </c>
      <c r="CI65" t="s">
        <v>5</v>
      </c>
      <c r="CJ65" t="s">
        <v>22</v>
      </c>
      <c r="CK65" t="s">
        <v>5</v>
      </c>
      <c r="CL65" t="s">
        <v>22</v>
      </c>
    </row>
    <row r="66" spans="3:90" x14ac:dyDescent="0.25">
      <c r="C66">
        <v>61</v>
      </c>
      <c r="E66">
        <v>7.3325058500185898E-3</v>
      </c>
      <c r="G66">
        <v>0</v>
      </c>
      <c r="I66">
        <v>0</v>
      </c>
      <c r="K66">
        <v>0</v>
      </c>
      <c r="M66">
        <v>1.5661228155799275E-3</v>
      </c>
      <c r="O66">
        <v>1.962361435948265E-3</v>
      </c>
      <c r="Q66">
        <v>6.3439920700409339E-2</v>
      </c>
      <c r="S66">
        <v>3.054371713531593E-2</v>
      </c>
      <c r="U66">
        <v>2.1161698122101426E-2</v>
      </c>
      <c r="W66">
        <v>5.7717847948439401E-3</v>
      </c>
      <c r="Y66">
        <v>8.236536660502225E-4</v>
      </c>
      <c r="AA66">
        <v>0</v>
      </c>
      <c r="AC66">
        <v>0</v>
      </c>
      <c r="AE66">
        <v>6.5082837532847099E-3</v>
      </c>
      <c r="AG66">
        <v>1.071599614779597E-2</v>
      </c>
      <c r="AI66">
        <v>10.044136137578262</v>
      </c>
      <c r="AK66">
        <v>7.1658652879994094</v>
      </c>
      <c r="AM66">
        <v>2.3999744360749475</v>
      </c>
      <c r="AO66">
        <v>0.18284579112865801</v>
      </c>
      <c r="AQ66">
        <v>9.2933531679118456E-2</v>
      </c>
      <c r="AS66">
        <v>1.589937472433375E-2</v>
      </c>
      <c r="AU66">
        <v>0</v>
      </c>
      <c r="AW66">
        <v>0</v>
      </c>
      <c r="AY66">
        <v>3.1928429689304621E-5</v>
      </c>
      <c r="BA66">
        <v>0</v>
      </c>
      <c r="BC66">
        <v>6.1888828582567883E-4</v>
      </c>
      <c r="BE66">
        <v>1.2666054158735484E-2</v>
      </c>
      <c r="BG66">
        <v>3.4086192039754264E-2</v>
      </c>
      <c r="BI66">
        <v>7.2384018726777879E-3</v>
      </c>
      <c r="BK66">
        <v>6.2150509336594503E-4</v>
      </c>
      <c r="BM66">
        <v>0</v>
      </c>
      <c r="BO66">
        <v>0</v>
      </c>
      <c r="BQ66">
        <v>1.4996158559246471</v>
      </c>
      <c r="BS66">
        <v>13.345218149352268</v>
      </c>
      <c r="BU66">
        <v>1.3922926922367131</v>
      </c>
      <c r="BW66">
        <v>0.28691628090800103</v>
      </c>
      <c r="BY66">
        <v>3.4190712570129053E-2</v>
      </c>
      <c r="CA66" s="38">
        <v>5.1645926733535075E-3</v>
      </c>
      <c r="CB66" s="40">
        <f>SUM(H66,J66,N66,P66,R66,T66,V66,X66,Z66,AB66,AD66,AF66,AT66,AV66,AX66,AZ66,BB66,BD66,BF66,BH66,BJ66,BL66,BN66)</f>
        <v>0</v>
      </c>
      <c r="CC66" s="40">
        <f>SUM(I66,K66,O66,Q66,S66,U66,W66,Y66,AA66,AC66,AE66,AG66,AU66,AW66,AY66,BA66,BC66,BE66,BG66,BI66,BK66,BM66,BO66,BW66,BY66,CA66,G66,M66,AO66,AQ66,AS66)</f>
        <v>0.81570679213497199</v>
      </c>
      <c r="CD66" s="40">
        <f>SUM(D66,F66,H66,J66,L66,N66,P66,R66,T66,V66,X66,Z66,AB66,AD66,AF66,AH66,AJ66,AL66,AN66,AP66,AR66,AT66,AV66,AX66,AZ66,BB66,BD66,BF66,BH66,BJ66,BL66,BN66,BP66,BR66,BT66,BV66,BX66,BZ66)</f>
        <v>0</v>
      </c>
      <c r="CE66" s="40">
        <f>SUM(E66,G66,I66,K66,M66,O66,Q66,S66,U66,W66,Y66,AA66,AC66,AE66,AG66,AI66,AK66,AM66,AO66,AQ66,AS66,AU66,AW66,AY66,BA66,BC66,BE66,BG66,BI66,BK66,BM66,BO66,BQ66,BS66,BU66,BW66,BY66,CA66)</f>
        <v>36.670141857151243</v>
      </c>
      <c r="CI66" t="s">
        <v>6</v>
      </c>
      <c r="CJ66" t="s">
        <v>23</v>
      </c>
      <c r="CK66" t="s">
        <v>6</v>
      </c>
      <c r="CL66" t="s">
        <v>23</v>
      </c>
    </row>
    <row r="67" spans="3:90" x14ac:dyDescent="0.25">
      <c r="C67">
        <v>62</v>
      </c>
      <c r="CI67" t="s">
        <v>7</v>
      </c>
      <c r="CJ67" t="s">
        <v>24</v>
      </c>
      <c r="CK67" t="s">
        <v>7</v>
      </c>
      <c r="CL67" t="s">
        <v>24</v>
      </c>
    </row>
    <row r="68" spans="3:90" x14ac:dyDescent="0.25">
      <c r="C68">
        <v>63</v>
      </c>
      <c r="CI68" t="s">
        <v>8</v>
      </c>
      <c r="CJ68" t="s">
        <v>25</v>
      </c>
      <c r="CK68" t="s">
        <v>8</v>
      </c>
      <c r="CL68" t="s">
        <v>25</v>
      </c>
    </row>
    <row r="69" spans="3:90" x14ac:dyDescent="0.25">
      <c r="C69">
        <v>64</v>
      </c>
      <c r="CI69" t="s">
        <v>81</v>
      </c>
      <c r="CK69" t="s">
        <v>81</v>
      </c>
    </row>
    <row r="70" spans="3:90" x14ac:dyDescent="0.25">
      <c r="C70">
        <v>65</v>
      </c>
      <c r="CI70" t="s">
        <v>82</v>
      </c>
      <c r="CK70" t="s">
        <v>82</v>
      </c>
    </row>
    <row r="71" spans="3:90" x14ac:dyDescent="0.25">
      <c r="C71">
        <v>66</v>
      </c>
      <c r="CI71" t="s">
        <v>9</v>
      </c>
      <c r="CJ71" t="s">
        <v>26</v>
      </c>
      <c r="CK71" t="s">
        <v>9</v>
      </c>
      <c r="CL71" t="s">
        <v>26</v>
      </c>
    </row>
    <row r="72" spans="3:90" x14ac:dyDescent="0.25">
      <c r="C72">
        <v>67</v>
      </c>
      <c r="CI72" t="s">
        <v>10</v>
      </c>
      <c r="CJ72" t="s">
        <v>77</v>
      </c>
      <c r="CK72" t="s">
        <v>10</v>
      </c>
      <c r="CL72" t="s">
        <v>77</v>
      </c>
    </row>
    <row r="73" spans="3:90" x14ac:dyDescent="0.25">
      <c r="C73">
        <v>68</v>
      </c>
    </row>
    <row r="74" spans="3:90" x14ac:dyDescent="0.25">
      <c r="C74">
        <v>69</v>
      </c>
    </row>
    <row r="75" spans="3:90" x14ac:dyDescent="0.25">
      <c r="C75">
        <v>70</v>
      </c>
    </row>
    <row r="76" spans="3:90" x14ac:dyDescent="0.25">
      <c r="C76">
        <v>71</v>
      </c>
      <c r="CI76" t="s">
        <v>14</v>
      </c>
      <c r="CK76" t="s">
        <v>14</v>
      </c>
      <c r="CL76" s="43" t="s">
        <v>30</v>
      </c>
    </row>
    <row r="77" spans="3:90" x14ac:dyDescent="0.25">
      <c r="C77">
        <v>72</v>
      </c>
      <c r="CI77" t="s">
        <v>15</v>
      </c>
      <c r="CK77" t="s">
        <v>15</v>
      </c>
      <c r="CL77" s="43" t="s">
        <v>31</v>
      </c>
    </row>
    <row r="78" spans="3:90" x14ac:dyDescent="0.25">
      <c r="C78">
        <v>73</v>
      </c>
      <c r="E78">
        <v>6.1730808417599196E-3</v>
      </c>
      <c r="G78">
        <v>0</v>
      </c>
      <c r="I78">
        <v>0</v>
      </c>
      <c r="K78">
        <v>0</v>
      </c>
      <c r="M78">
        <v>1.55329173132934E-3</v>
      </c>
      <c r="O78">
        <v>1.2529159968816248E-3</v>
      </c>
      <c r="Q78">
        <v>7.5488264432546637E-2</v>
      </c>
      <c r="S78">
        <v>3.1717888853727096E-2</v>
      </c>
      <c r="U78">
        <v>1.6928699171639375E-2</v>
      </c>
      <c r="W78">
        <v>4.064834119247851E-3</v>
      </c>
      <c r="Y78">
        <v>0</v>
      </c>
      <c r="AA78">
        <v>0</v>
      </c>
      <c r="AC78">
        <v>0</v>
      </c>
      <c r="AE78">
        <v>0</v>
      </c>
      <c r="AG78">
        <v>1.0571896179888364E-2</v>
      </c>
      <c r="AI78">
        <v>11.184738733030041</v>
      </c>
      <c r="AK78">
        <v>7.5917563297611821</v>
      </c>
      <c r="AM78">
        <v>1.8726619176715349</v>
      </c>
      <c r="AO78">
        <v>0.10104042566593087</v>
      </c>
      <c r="AQ78">
        <v>3.7776014463438895E-2</v>
      </c>
      <c r="AS78">
        <v>6.7874211799915842E-3</v>
      </c>
      <c r="AU78">
        <v>0</v>
      </c>
      <c r="AW78">
        <v>0</v>
      </c>
      <c r="AY78">
        <v>1.0079106685117994E-5</v>
      </c>
      <c r="BA78">
        <v>0</v>
      </c>
      <c r="BC78">
        <v>5.0517857492787756E-4</v>
      </c>
      <c r="BE78">
        <v>1.5560484120744669E-2</v>
      </c>
      <c r="BG78">
        <v>2.6381674552878129E-2</v>
      </c>
      <c r="BI78">
        <v>2.5396506640408185E-3</v>
      </c>
      <c r="BK78">
        <v>6.8681134312208994E-5</v>
      </c>
      <c r="BM78">
        <v>0</v>
      </c>
      <c r="BO78">
        <v>0</v>
      </c>
      <c r="BQ78">
        <v>1.7641916354149023</v>
      </c>
      <c r="BS78">
        <v>15.207864218962332</v>
      </c>
      <c r="BU78">
        <v>0.90250363309860937</v>
      </c>
      <c r="BW78">
        <v>3.943240579007358E-2</v>
      </c>
      <c r="BY78">
        <v>7.06158355288255E-4</v>
      </c>
      <c r="CA78" s="38">
        <v>5.2049790325361879E-4</v>
      </c>
      <c r="CB78" s="40">
        <f>SUM(H78,J78,N78,P78,R78,T78,V78,X78,Z78,AB78,AD78,AF78,AT78,AV78,AX78,AZ78,BB78,BD78,BF78,BH78,BJ78,BL78,BN78)</f>
        <v>0</v>
      </c>
      <c r="CC78" s="40">
        <f>SUM(I78,K78,O78,Q78,S78,U78,W78,Y78,AA78,AC78,AE78,AG78,AU78,AW78,AY78,BA78,BC78,BE78,BG78,BI78,BK78,BM78,BO78,BW78,BY78,CA78,G78,M78,AO78,AQ78,AS78)</f>
        <v>0.37290646199682592</v>
      </c>
      <c r="CD78" s="40">
        <f>SUM(D78,F78,H78,J78,L78,N78,P78,R78,T78,V78,X78,Z78,AB78,AD78,AF78,AH78,AJ78,AL78,AN78,AP78,AR78,AT78,AV78,AX78,AZ78,BB78,BD78,BF78,BH78,BJ78,BL78,BN78,BP78,BR78,BT78,BV78,BX78,BZ78)</f>
        <v>0</v>
      </c>
      <c r="CE78" s="40">
        <f>SUM(E78,G78,I78,K78,M78,O78,Q78,S78,U78,W78,Y78,AA78,AC78,AE78,AG78,AI78,AK78,AM78,AO78,AQ78,AS78,AU78,AW78,AY78,BA78,BC78,BE78,BG78,BI78,BK78,BM78,BO78,BQ78,BS78,BU78,BW78,BY78,CA78)</f>
        <v>38.902796010777188</v>
      </c>
      <c r="CI78" t="s">
        <v>16</v>
      </c>
      <c r="CK78" t="s">
        <v>16</v>
      </c>
      <c r="CL78" s="43" t="s">
        <v>32</v>
      </c>
    </row>
    <row r="79" spans="3:90" x14ac:dyDescent="0.25">
      <c r="C79">
        <v>74</v>
      </c>
    </row>
    <row r="80" spans="3:90" x14ac:dyDescent="0.25">
      <c r="C80">
        <v>75</v>
      </c>
    </row>
    <row r="81" spans="3:87" x14ac:dyDescent="0.25">
      <c r="C81">
        <v>76</v>
      </c>
      <c r="CI81" t="s">
        <v>227</v>
      </c>
    </row>
    <row r="82" spans="3:87" x14ac:dyDescent="0.25">
      <c r="C82">
        <v>77</v>
      </c>
      <c r="CI82" t="s">
        <v>228</v>
      </c>
    </row>
    <row r="83" spans="3:87" x14ac:dyDescent="0.25">
      <c r="C83">
        <v>78</v>
      </c>
      <c r="CI83" t="s">
        <v>229</v>
      </c>
    </row>
    <row r="84" spans="3:87" x14ac:dyDescent="0.25">
      <c r="C84">
        <v>79</v>
      </c>
      <c r="CI84" t="s">
        <v>230</v>
      </c>
    </row>
    <row r="85" spans="3:87" x14ac:dyDescent="0.25">
      <c r="C85">
        <v>80</v>
      </c>
      <c r="CI85" t="s">
        <v>231</v>
      </c>
    </row>
    <row r="86" spans="3:87" x14ac:dyDescent="0.25">
      <c r="C86">
        <v>81</v>
      </c>
      <c r="CI86" t="s">
        <v>232</v>
      </c>
    </row>
    <row r="87" spans="3:87" x14ac:dyDescent="0.25">
      <c r="C87">
        <v>82</v>
      </c>
      <c r="CI87" t="s">
        <v>233</v>
      </c>
    </row>
    <row r="88" spans="3:87" x14ac:dyDescent="0.25">
      <c r="C88">
        <v>83</v>
      </c>
      <c r="CI88" t="s">
        <v>234</v>
      </c>
    </row>
    <row r="89" spans="3:87" x14ac:dyDescent="0.25">
      <c r="C89">
        <v>84</v>
      </c>
      <c r="CI89" t="s">
        <v>235</v>
      </c>
    </row>
    <row r="90" spans="3:87" x14ac:dyDescent="0.25">
      <c r="C90">
        <v>85</v>
      </c>
    </row>
    <row r="91" spans="3:87" x14ac:dyDescent="0.25">
      <c r="C91">
        <v>86</v>
      </c>
    </row>
    <row r="92" spans="3:87" x14ac:dyDescent="0.25">
      <c r="C92">
        <v>87</v>
      </c>
    </row>
    <row r="93" spans="3:87" x14ac:dyDescent="0.25">
      <c r="C93">
        <v>88</v>
      </c>
    </row>
    <row r="94" spans="3:87" x14ac:dyDescent="0.25">
      <c r="C94">
        <v>89</v>
      </c>
    </row>
    <row r="95" spans="3:87" x14ac:dyDescent="0.25">
      <c r="C95">
        <v>90</v>
      </c>
    </row>
    <row r="96" spans="3:87" x14ac:dyDescent="0.25">
      <c r="C96">
        <v>91</v>
      </c>
    </row>
    <row r="97" spans="3:83" x14ac:dyDescent="0.25">
      <c r="C97">
        <v>92</v>
      </c>
    </row>
    <row r="98" spans="3:83" x14ac:dyDescent="0.25">
      <c r="C98">
        <v>93</v>
      </c>
    </row>
    <row r="99" spans="3:83" x14ac:dyDescent="0.25">
      <c r="C99">
        <v>94</v>
      </c>
    </row>
    <row r="100" spans="3:83" x14ac:dyDescent="0.25">
      <c r="C100">
        <v>95</v>
      </c>
    </row>
    <row r="101" spans="3:83" x14ac:dyDescent="0.25">
      <c r="C101">
        <v>96</v>
      </c>
    </row>
    <row r="102" spans="3:83" x14ac:dyDescent="0.25">
      <c r="C102">
        <v>97</v>
      </c>
    </row>
    <row r="103" spans="3:83" x14ac:dyDescent="0.25">
      <c r="C103">
        <v>98</v>
      </c>
    </row>
    <row r="104" spans="3:83" x14ac:dyDescent="0.25">
      <c r="C104">
        <v>99</v>
      </c>
    </row>
    <row r="105" spans="3:83" x14ac:dyDescent="0.25">
      <c r="C105">
        <v>100</v>
      </c>
    </row>
    <row r="106" spans="3:83" x14ac:dyDescent="0.25">
      <c r="C106">
        <v>101</v>
      </c>
      <c r="E106">
        <v>8.7786808739833133E-3</v>
      </c>
      <c r="G106">
        <v>0</v>
      </c>
      <c r="I106">
        <v>0</v>
      </c>
      <c r="K106">
        <v>0</v>
      </c>
      <c r="M106">
        <v>6.1192362091205257E-4</v>
      </c>
      <c r="O106">
        <v>5.2078715969948756E-4</v>
      </c>
      <c r="Q106">
        <v>4.2460387938881967E-2</v>
      </c>
      <c r="S106">
        <v>1.4943290385150076E-2</v>
      </c>
      <c r="U106">
        <v>5.0868400515241977E-3</v>
      </c>
      <c r="W106">
        <v>0</v>
      </c>
      <c r="Y106">
        <v>0</v>
      </c>
      <c r="AA106">
        <v>0</v>
      </c>
      <c r="AC106">
        <v>0</v>
      </c>
      <c r="AE106">
        <v>0</v>
      </c>
      <c r="AG106">
        <v>3.2426175690903826E-3</v>
      </c>
      <c r="AI106">
        <v>6.5502433168814678</v>
      </c>
      <c r="AK106">
        <v>2.7015214236813452</v>
      </c>
      <c r="AM106">
        <v>0.50733103924064149</v>
      </c>
      <c r="AO106">
        <v>1.5974933137708775E-2</v>
      </c>
      <c r="AQ106">
        <v>5.5243730922837023E-3</v>
      </c>
      <c r="AS106">
        <v>5.0783188236733006E-4</v>
      </c>
      <c r="AU106">
        <v>0</v>
      </c>
      <c r="AW106">
        <v>0</v>
      </c>
      <c r="AY106">
        <v>2.6630698897605497E-5</v>
      </c>
      <c r="BA106">
        <v>0</v>
      </c>
      <c r="BC106">
        <v>2.2022419137443299E-4</v>
      </c>
      <c r="BE106">
        <v>1.0172282507818688E-2</v>
      </c>
      <c r="BG106">
        <v>1.1049445916705753E-2</v>
      </c>
      <c r="BI106">
        <v>8.4295018724994515E-5</v>
      </c>
      <c r="BK106">
        <v>0</v>
      </c>
      <c r="BM106">
        <v>0</v>
      </c>
      <c r="BO106">
        <v>0</v>
      </c>
      <c r="BQ106">
        <v>0.91542596545072874</v>
      </c>
      <c r="BS106">
        <v>6.4602050004256322</v>
      </c>
      <c r="BU106">
        <v>0.20082621346622848</v>
      </c>
      <c r="BW106">
        <v>1.5277022996786024E-3</v>
      </c>
      <c r="BY106">
        <v>0</v>
      </c>
      <c r="CA106" s="38">
        <v>0</v>
      </c>
      <c r="CB106" s="40">
        <f>SUM(H106,J106,N106,P106,R106,T106,V106,X106,Z106,AB106,AD106,AF106,AT106,AV106,AX106,AZ106,BB106,BD106,BF106,BH106,BJ106,BL106,BN106)</f>
        <v>0</v>
      </c>
      <c r="CC106" s="40">
        <f>SUM(I106,K106,O106,Q106,S106,U106,W106,Y106,AA106,AC106,AE106,AG106,AU106,AW106,AY106,BA106,BC106,BE106,BG106,BI106,BK106,BM106,BO106,BW106,BY106,CA106,G106,M106,AO106,AQ106,AS106)</f>
        <v>0.11195356547081808</v>
      </c>
      <c r="CD106" s="40">
        <f>SUM(D106,F106,H106,J106,L106,N106,P106,R106,T106,V106,X106,Z106,AB106,AD106,AF106,AH106,AJ106,AL106,AN106,AP106,AR106,AT106,AV106,AX106,AZ106,BB106,BD106,BF106,BH106,BJ106,BL106,BN106,BP106,BR106,BT106,BV106,BX106,BZ106)</f>
        <v>0</v>
      </c>
      <c r="CE106" s="40">
        <f>SUM(E106,G106,I106,K106,M106,O106,Q106,S106,U106,W106,Y106,AA106,AC106,AE106,AG106,AI106,AK106,AM106,AO106,AQ106,AS106,AU106,AW106,AY106,BA106,BC106,BE106,BG106,BI106,BK106,BM106,BO106,BQ106,BS106,BU106,BW106,BY106,CA106)</f>
        <v>17.456285205490847</v>
      </c>
    </row>
    <row r="107" spans="3:83" x14ac:dyDescent="0.25">
      <c r="C107">
        <v>102</v>
      </c>
    </row>
    <row r="108" spans="3:83" x14ac:dyDescent="0.25">
      <c r="C108">
        <v>103</v>
      </c>
    </row>
    <row r="109" spans="3:83" x14ac:dyDescent="0.25">
      <c r="C109">
        <v>104</v>
      </c>
    </row>
    <row r="110" spans="3:83" x14ac:dyDescent="0.25">
      <c r="C110">
        <v>105</v>
      </c>
    </row>
    <row r="111" spans="3:83" x14ac:dyDescent="0.25">
      <c r="C111">
        <v>106</v>
      </c>
    </row>
    <row r="112" spans="3:83" x14ac:dyDescent="0.25">
      <c r="C112">
        <v>107</v>
      </c>
    </row>
    <row r="113" spans="3:3" x14ac:dyDescent="0.25">
      <c r="C113">
        <v>108</v>
      </c>
    </row>
    <row r="114" spans="3:3" x14ac:dyDescent="0.25">
      <c r="C114">
        <v>109</v>
      </c>
    </row>
    <row r="115" spans="3:3" x14ac:dyDescent="0.25">
      <c r="C115">
        <v>110</v>
      </c>
    </row>
    <row r="116" spans="3:3" x14ac:dyDescent="0.25">
      <c r="C116">
        <v>111</v>
      </c>
    </row>
    <row r="117" spans="3:3" x14ac:dyDescent="0.25">
      <c r="C117">
        <v>112</v>
      </c>
    </row>
    <row r="118" spans="3:3" x14ac:dyDescent="0.25">
      <c r="C118">
        <v>113</v>
      </c>
    </row>
    <row r="119" spans="3:3" x14ac:dyDescent="0.25">
      <c r="C119">
        <v>114</v>
      </c>
    </row>
    <row r="120" spans="3:3" x14ac:dyDescent="0.25">
      <c r="C120">
        <v>115</v>
      </c>
    </row>
    <row r="121" spans="3:3" x14ac:dyDescent="0.25">
      <c r="C121">
        <v>116</v>
      </c>
    </row>
    <row r="122" spans="3:3" x14ac:dyDescent="0.25">
      <c r="C122">
        <v>117</v>
      </c>
    </row>
    <row r="123" spans="3:3" x14ac:dyDescent="0.25">
      <c r="C123">
        <v>118</v>
      </c>
    </row>
    <row r="124" spans="3:3" x14ac:dyDescent="0.25">
      <c r="C124">
        <v>119</v>
      </c>
    </row>
    <row r="125" spans="3:3" x14ac:dyDescent="0.25">
      <c r="C125">
        <v>120</v>
      </c>
    </row>
    <row r="126" spans="3:3" x14ac:dyDescent="0.25">
      <c r="C126">
        <v>121</v>
      </c>
    </row>
    <row r="127" spans="3:3" x14ac:dyDescent="0.25">
      <c r="C127">
        <v>122</v>
      </c>
    </row>
    <row r="128" spans="3:3" x14ac:dyDescent="0.25">
      <c r="C128">
        <v>123</v>
      </c>
    </row>
    <row r="129" spans="3:83" x14ac:dyDescent="0.25">
      <c r="C129">
        <v>124</v>
      </c>
    </row>
    <row r="130" spans="3:83" x14ac:dyDescent="0.25">
      <c r="C130">
        <v>125</v>
      </c>
    </row>
    <row r="131" spans="3:83" x14ac:dyDescent="0.25">
      <c r="C131">
        <v>126</v>
      </c>
    </row>
    <row r="132" spans="3:83" x14ac:dyDescent="0.25">
      <c r="C132">
        <v>127</v>
      </c>
    </row>
    <row r="133" spans="3:83" x14ac:dyDescent="0.25">
      <c r="C133">
        <v>128</v>
      </c>
    </row>
    <row r="134" spans="3:83" x14ac:dyDescent="0.25">
      <c r="C134">
        <v>129</v>
      </c>
    </row>
    <row r="135" spans="3:83" x14ac:dyDescent="0.25">
      <c r="C135">
        <v>130</v>
      </c>
    </row>
    <row r="136" spans="3:83" x14ac:dyDescent="0.25">
      <c r="C136">
        <v>131</v>
      </c>
    </row>
    <row r="137" spans="3:83" x14ac:dyDescent="0.25">
      <c r="C137">
        <v>132</v>
      </c>
    </row>
    <row r="138" spans="3:83" x14ac:dyDescent="0.25">
      <c r="C138">
        <v>133</v>
      </c>
    </row>
    <row r="139" spans="3:83" x14ac:dyDescent="0.25">
      <c r="C139">
        <v>134</v>
      </c>
    </row>
    <row r="140" spans="3:83" x14ac:dyDescent="0.25">
      <c r="C140">
        <v>135</v>
      </c>
    </row>
    <row r="141" spans="3:83" x14ac:dyDescent="0.25">
      <c r="C141">
        <v>136</v>
      </c>
      <c r="E141">
        <v>6.9320652725452132E-3</v>
      </c>
      <c r="G141">
        <v>0</v>
      </c>
      <c r="I141">
        <v>0</v>
      </c>
      <c r="K141">
        <v>0</v>
      </c>
      <c r="M141">
        <v>0</v>
      </c>
      <c r="O141">
        <v>0</v>
      </c>
      <c r="Q141">
        <v>9.0009340121872637E-3</v>
      </c>
      <c r="S141">
        <v>1.6614920594478775E-3</v>
      </c>
      <c r="U141">
        <v>0</v>
      </c>
      <c r="W141">
        <v>0</v>
      </c>
      <c r="Y141">
        <v>0</v>
      </c>
      <c r="AA141">
        <v>0</v>
      </c>
      <c r="AC141">
        <v>0</v>
      </c>
      <c r="AE141">
        <v>0</v>
      </c>
      <c r="AG141">
        <v>0</v>
      </c>
      <c r="AI141">
        <v>1.8733297201410348</v>
      </c>
      <c r="AK141">
        <v>0.33927030273870173</v>
      </c>
      <c r="AM141">
        <v>4.3991815676489028E-2</v>
      </c>
      <c r="AO141">
        <v>0</v>
      </c>
      <c r="AQ141">
        <v>0</v>
      </c>
      <c r="AS141">
        <v>0</v>
      </c>
      <c r="AU141">
        <v>0</v>
      </c>
      <c r="AW141">
        <v>0</v>
      </c>
      <c r="AY141">
        <v>1.964802978307012E-5</v>
      </c>
      <c r="BA141">
        <v>0</v>
      </c>
      <c r="BC141">
        <v>7.3654394017892759E-5</v>
      </c>
      <c r="BE141">
        <v>1.3171140879265964E-3</v>
      </c>
      <c r="BG141">
        <v>9.7861468610703321E-4</v>
      </c>
      <c r="BI141">
        <v>0</v>
      </c>
      <c r="BK141">
        <v>0</v>
      </c>
      <c r="BM141">
        <v>0</v>
      </c>
      <c r="BO141">
        <v>0</v>
      </c>
      <c r="BQ141">
        <v>0.307309575185157</v>
      </c>
      <c r="BS141">
        <v>1.2941348516501363</v>
      </c>
      <c r="BU141">
        <v>3.8199928301204944E-2</v>
      </c>
      <c r="BW141">
        <v>0</v>
      </c>
      <c r="BY141">
        <v>0</v>
      </c>
      <c r="CA141" s="38">
        <v>0</v>
      </c>
      <c r="CB141" s="40">
        <f>SUM(H141,J141,N141,P141,R141,T141,V141,X141,Z141,AB141,AD141,AF141,AT141,AV141,AX141,AZ141,BB141,BD141,BF141,BH141,BJ141,BL141,BN141)</f>
        <v>0</v>
      </c>
      <c r="CC141" s="40">
        <f>SUM(I141,K141,O141,Q141,S141,U141,W141,Y141,AA141,AC141,AE141,AG141,AU141,AW141,AY141,BA141,BC141,BE141,BG141,BI141,BK141,BM141,BO141,BW141,BY141,CA141,G141,M141,AO141,AQ141,AS141)</f>
        <v>1.3051457269469734E-2</v>
      </c>
      <c r="CD141" s="40">
        <f>SUM(D141,F141,H141,J141,L141,N141,P141,R141,T141,V141,X141,Z141,AB141,AD141,AF141,AH141,AJ141,AL141,AN141,AP141,AR141,AT141,AV141,AX141,AZ141,BB141,BD141,BF141,BH141,BJ141,BL141,BN141,BP141,BR141,BT141,BV141,BX141,BZ141)</f>
        <v>0</v>
      </c>
      <c r="CE141" s="40">
        <f>SUM(E141,G141,I141,K141,M141,O141,Q141,S141,U141,W141,Y141,AA141,AC141,AE141,AG141,AI141,AK141,AM141,AO141,AQ141,AS141,AU141,AW141,AY141,BA141,BC141,BE141,BG141,BI141,BK141,BM141,BO141,BQ141,BS141,BU141,BW141,BY141,CA141)</f>
        <v>3.9162197162347385</v>
      </c>
    </row>
    <row r="146" spans="8:9" x14ac:dyDescent="0.25">
      <c r="H146" t="s">
        <v>172</v>
      </c>
      <c r="I146" t="s">
        <v>173</v>
      </c>
    </row>
    <row r="147" spans="8:9" x14ac:dyDescent="0.25">
      <c r="H147" t="s">
        <v>174</v>
      </c>
      <c r="I147" t="s">
        <v>175</v>
      </c>
    </row>
  </sheetData>
  <conditionalFormatting sqref="D59 AT59 F59 H59 J59 L59 N59 P59 R59 T59 V59 X59 Z59 AB59 AD59 AF59 AH59 AJ59 AL59 AN59 AP59 AR59 AV59 AX59 AZ59 BB59 BD59 BF59 BH59 BJ59 BL59 BN59 BP59 BR59 BT59 BV59 BX59 BZ59">
    <cfRule type="colorScale" priority="4">
      <colorScale>
        <cfvo type="min"/>
        <cfvo type="percentile" val="50"/>
        <cfvo type="max"/>
        <color rgb="FF63BE7B"/>
        <color rgb="FFFFEB84"/>
        <color rgb="FFF8696B"/>
      </colorScale>
    </cfRule>
  </conditionalFormatting>
  <conditionalFormatting sqref="D59 F59 H59 J59 L59 N59 P59 R59 T59 V59 X59 Z59 AB59 AD59 AF59 AH59 AJ59 AL59 AN59 AP59 AR59 AT59 AV59 AX59 AZ59 BB59 BD59 BF59 BH59 BJ59 BL59 BN59 BP59 BR59 BT59 BV59 BX59 BZ59">
    <cfRule type="cellIs" dxfId="1" priority="3" operator="lessThan">
      <formula>20</formula>
    </cfRule>
  </conditionalFormatting>
  <conditionalFormatting sqref="E59 AU59 G59 I59 K59 M59 O59 Q59 S59 U59 W59 Y59 AA59 AC59 AE59 AG59 AI59 AK59 AM59 AO59 AQ59 AS59 AW59 AY59 BA59 BC59 BE59 BG59 BI59 BK59 BM59 BO59 BQ59 BS59 BU59 BW59 BY59">
    <cfRule type="colorScale" priority="2">
      <colorScale>
        <cfvo type="min"/>
        <cfvo type="percentile" val="50"/>
        <cfvo type="max"/>
        <color rgb="FF5A8AC6"/>
        <color rgb="FFFCFCFF"/>
        <color rgb="FFF8696B"/>
      </colorScale>
    </cfRule>
  </conditionalFormatting>
  <conditionalFormatting sqref="E59 G59 I59 K59 M59 O59 Q59 S59 U59 W59 Y59 AA59 AC59 AE59 AG59 AI59 AK59 AM59 AO59 AQ59 AS59 AU59 AW59 AY59 BA59 BC59 BE59 BG59 BI59 BK59 BM59 BO59 BQ59 BS59 BU59 BW59 BY59">
    <cfRule type="cellIs" dxfId="0" priority="1" operator="lessThan">
      <formula>1</formula>
    </cfRule>
  </conditionalFormatting>
  <pageMargins left="0.7" right="0.7" top="0.78740157499999996" bottom="0.78740157499999996" header="0.3" footer="0.3"/>
  <pageSetup paperSize="9"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95760-396E-4962-8557-A7AE14FB65B2}">
  <dimension ref="A1:AH22"/>
  <sheetViews>
    <sheetView workbookViewId="0">
      <selection activeCell="R9" sqref="R9"/>
    </sheetView>
  </sheetViews>
  <sheetFormatPr baseColWidth="10" defaultRowHeight="15" x14ac:dyDescent="0.25"/>
  <cols>
    <col min="1" max="1" width="19.5703125" bestFit="1" customWidth="1"/>
    <col min="2" max="2" width="17" bestFit="1" customWidth="1"/>
    <col min="3" max="3" width="17" customWidth="1"/>
    <col min="4" max="4" width="17.7109375" bestFit="1" customWidth="1"/>
    <col min="5" max="5" width="17" bestFit="1" customWidth="1"/>
    <col min="6" max="6" width="19.7109375" bestFit="1" customWidth="1"/>
    <col min="7" max="7" width="14.28515625" bestFit="1" customWidth="1"/>
    <col min="8" max="8" width="48.140625" customWidth="1"/>
    <col min="9" max="9" width="18.85546875" customWidth="1"/>
    <col min="10" max="10" width="52.5703125" bestFit="1" customWidth="1"/>
    <col min="11" max="11" width="7" bestFit="1" customWidth="1"/>
    <col min="12" max="12" width="7.28515625" bestFit="1" customWidth="1"/>
    <col min="13" max="13" width="4.85546875" bestFit="1" customWidth="1"/>
    <col min="14" max="14" width="7" bestFit="1" customWidth="1"/>
    <col min="15" max="15" width="5.7109375" bestFit="1" customWidth="1"/>
  </cols>
  <sheetData>
    <row r="1" spans="1:34" x14ac:dyDescent="0.25">
      <c r="A1" t="s">
        <v>286</v>
      </c>
      <c r="B1" t="s">
        <v>287</v>
      </c>
      <c r="C1" t="s">
        <v>307</v>
      </c>
      <c r="D1" t="s">
        <v>295</v>
      </c>
      <c r="E1" t="s">
        <v>288</v>
      </c>
      <c r="F1" t="s">
        <v>289</v>
      </c>
      <c r="G1" t="s">
        <v>324</v>
      </c>
      <c r="H1" t="s">
        <v>290</v>
      </c>
      <c r="I1" t="s">
        <v>169</v>
      </c>
      <c r="J1" t="s">
        <v>275</v>
      </c>
      <c r="K1" t="s">
        <v>278</v>
      </c>
      <c r="L1" t="s">
        <v>291</v>
      </c>
      <c r="M1" t="s">
        <v>276</v>
      </c>
      <c r="N1" t="s">
        <v>292</v>
      </c>
      <c r="O1" t="s">
        <v>277</v>
      </c>
      <c r="P1" t="s">
        <v>299</v>
      </c>
      <c r="Q1" t="s">
        <v>300</v>
      </c>
    </row>
    <row r="2" spans="1:34" ht="30" x14ac:dyDescent="0.25">
      <c r="A2" t="s">
        <v>339</v>
      </c>
      <c r="B2" t="s">
        <v>294</v>
      </c>
      <c r="C2" t="s">
        <v>308</v>
      </c>
      <c r="D2">
        <v>2</v>
      </c>
      <c r="E2" s="90" t="s">
        <v>296</v>
      </c>
      <c r="F2" t="s">
        <v>297</v>
      </c>
      <c r="I2" s="90" t="s">
        <v>298</v>
      </c>
      <c r="J2" t="s">
        <v>301</v>
      </c>
      <c r="K2" t="s">
        <v>301</v>
      </c>
      <c r="L2" t="s">
        <v>301</v>
      </c>
      <c r="P2" t="s">
        <v>303</v>
      </c>
      <c r="Q2" t="s">
        <v>302</v>
      </c>
    </row>
    <row r="3" spans="1:34" x14ac:dyDescent="0.25">
      <c r="A3" t="s">
        <v>304</v>
      </c>
      <c r="B3" t="s">
        <v>310</v>
      </c>
      <c r="C3" t="s">
        <v>309</v>
      </c>
      <c r="E3" t="s">
        <v>306</v>
      </c>
      <c r="F3" t="s">
        <v>311</v>
      </c>
      <c r="J3" t="s">
        <v>312</v>
      </c>
    </row>
    <row r="4" spans="1:34" x14ac:dyDescent="0.25">
      <c r="F4" t="s">
        <v>313</v>
      </c>
      <c r="G4" t="s">
        <v>313</v>
      </c>
      <c r="J4" s="90" t="s">
        <v>317</v>
      </c>
    </row>
    <row r="5" spans="1:34" x14ac:dyDescent="0.25">
      <c r="F5" t="s">
        <v>313</v>
      </c>
      <c r="G5" t="s">
        <v>316</v>
      </c>
      <c r="J5" t="s">
        <v>314</v>
      </c>
    </row>
    <row r="6" spans="1:34" x14ac:dyDescent="0.25">
      <c r="F6" t="s">
        <v>313</v>
      </c>
      <c r="G6" t="s">
        <v>311</v>
      </c>
      <c r="J6" t="s">
        <v>315</v>
      </c>
    </row>
    <row r="7" spans="1:34" ht="60" x14ac:dyDescent="0.25">
      <c r="A7" t="s">
        <v>327</v>
      </c>
      <c r="B7" t="s">
        <v>321</v>
      </c>
      <c r="C7" t="s">
        <v>322</v>
      </c>
      <c r="D7">
        <v>5</v>
      </c>
      <c r="E7" t="s">
        <v>323</v>
      </c>
      <c r="G7" t="s">
        <v>325</v>
      </c>
      <c r="H7" s="90" t="s">
        <v>326</v>
      </c>
    </row>
    <row r="8" spans="1:34" ht="90" x14ac:dyDescent="0.25">
      <c r="A8" t="s">
        <v>320</v>
      </c>
      <c r="B8" t="s">
        <v>328</v>
      </c>
      <c r="C8" t="s">
        <v>329</v>
      </c>
      <c r="D8" t="s">
        <v>330</v>
      </c>
      <c r="H8" s="90" t="s">
        <v>331</v>
      </c>
      <c r="R8" t="s">
        <v>355</v>
      </c>
      <c r="AH8" s="91" t="s">
        <v>332</v>
      </c>
    </row>
    <row r="9" spans="1:34" x14ac:dyDescent="0.25">
      <c r="B9" t="s">
        <v>305</v>
      </c>
      <c r="C9" t="s">
        <v>329</v>
      </c>
      <c r="D9">
        <v>7</v>
      </c>
      <c r="AH9" s="91" t="s">
        <v>333</v>
      </c>
    </row>
    <row r="10" spans="1:34" x14ac:dyDescent="0.25">
      <c r="A10" t="s">
        <v>293</v>
      </c>
      <c r="B10" t="s">
        <v>342</v>
      </c>
      <c r="C10" t="s">
        <v>341</v>
      </c>
      <c r="D10">
        <v>6</v>
      </c>
      <c r="F10" t="s">
        <v>319</v>
      </c>
      <c r="G10" t="s">
        <v>297</v>
      </c>
      <c r="AH10" s="91" t="s">
        <v>334</v>
      </c>
    </row>
    <row r="11" spans="1:34" ht="210" x14ac:dyDescent="0.25">
      <c r="A11" t="s">
        <v>318</v>
      </c>
      <c r="B11" t="s">
        <v>340</v>
      </c>
      <c r="C11" t="s">
        <v>345</v>
      </c>
      <c r="D11">
        <v>30</v>
      </c>
      <c r="E11" t="s">
        <v>346</v>
      </c>
      <c r="F11" t="s">
        <v>343</v>
      </c>
      <c r="G11" s="90" t="s">
        <v>344</v>
      </c>
      <c r="H11" s="92" t="s">
        <v>347</v>
      </c>
      <c r="AH11" s="91" t="s">
        <v>335</v>
      </c>
    </row>
    <row r="12" spans="1:34" ht="60" x14ac:dyDescent="0.25">
      <c r="H12" s="92" t="s">
        <v>348</v>
      </c>
      <c r="AH12" s="91" t="s">
        <v>336</v>
      </c>
    </row>
    <row r="13" spans="1:34" ht="30" x14ac:dyDescent="0.25">
      <c r="H13" s="92" t="s">
        <v>349</v>
      </c>
      <c r="AH13" s="91" t="s">
        <v>337</v>
      </c>
    </row>
    <row r="14" spans="1:34" x14ac:dyDescent="0.25">
      <c r="AH14" s="91" t="s">
        <v>338</v>
      </c>
    </row>
    <row r="22" spans="19:19" x14ac:dyDescent="0.25">
      <c r="S22" t="s">
        <v>318</v>
      </c>
    </row>
  </sheetData>
  <pageMargins left="0.7" right="0.7" top="0.78740157499999996" bottom="0.78740157499999996"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18</vt:i4>
      </vt:variant>
    </vt:vector>
  </HeadingPairs>
  <TitlesOfParts>
    <vt:vector size="18" baseType="lpstr">
      <vt:lpstr>Tabelle7 (2)</vt:lpstr>
      <vt:lpstr>Heu_neu_Pool</vt:lpstr>
      <vt:lpstr>Milch</vt:lpstr>
      <vt:lpstr>Heu-Milch</vt:lpstr>
      <vt:lpstr>MilkSerumRatio</vt:lpstr>
      <vt:lpstr>Milk_Serum</vt:lpstr>
      <vt:lpstr>Serum-Milk-Korr</vt:lpstr>
      <vt:lpstr>Serum</vt:lpstr>
      <vt:lpstr>Organe</vt:lpstr>
      <vt:lpstr>Kot</vt:lpstr>
      <vt:lpstr>Urin</vt:lpstr>
      <vt:lpstr>Mittelwerte</vt:lpstr>
      <vt:lpstr>Transferraten</vt:lpstr>
      <vt:lpstr>SPSS HL und TR</vt:lpstr>
      <vt:lpstr>Halbwertszeiten</vt:lpstr>
      <vt:lpstr>Grafik Gehalte</vt:lpstr>
      <vt:lpstr>Grafik Heu-Milch</vt:lpstr>
      <vt:lpstr>Literatur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Frau Hildegard Just</dc:creator>
  <cp:lastModifiedBy>Frau Hildegard Just</cp:lastModifiedBy>
  <dcterms:created xsi:type="dcterms:W3CDTF">2025-10-13T05:35:02Z</dcterms:created>
  <dcterms:modified xsi:type="dcterms:W3CDTF">2026-02-13T10:56:25Z</dcterms:modified>
</cp:coreProperties>
</file>